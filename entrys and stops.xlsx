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lonso\Documents\GitHub\Trading\"/>
    </mc:Choice>
  </mc:AlternateContent>
  <xr:revisionPtr revIDLastSave="0" documentId="8_{5E22CE8F-5495-42E5-BDAE-DF1C874C4017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31" i="3" l="1"/>
  <c r="M131" i="3" s="1"/>
  <c r="K131" i="3"/>
  <c r="D131" i="3"/>
  <c r="F131" i="3" s="1"/>
  <c r="J131" i="3" s="1"/>
  <c r="L131" i="3" s="1"/>
  <c r="D16" i="1"/>
  <c r="D105" i="1"/>
  <c r="D130" i="3"/>
  <c r="F130" i="3" s="1"/>
  <c r="J130" i="3" s="1"/>
  <c r="L130" i="3" s="1"/>
  <c r="I130" i="3"/>
  <c r="M130" i="3" s="1"/>
  <c r="K130" i="3"/>
  <c r="I129" i="3"/>
  <c r="M129" i="3" s="1"/>
  <c r="K129" i="3"/>
  <c r="D129" i="3"/>
  <c r="F129" i="3" s="1"/>
  <c r="J129" i="3" s="1"/>
  <c r="L129" i="3" l="1"/>
  <c r="I128" i="3" l="1"/>
  <c r="M128" i="3" s="1"/>
  <c r="K128" i="3"/>
  <c r="D128" i="3"/>
  <c r="F128" i="3" s="1"/>
  <c r="J128" i="3" s="1"/>
  <c r="L128" i="3" s="1"/>
  <c r="I127" i="3"/>
  <c r="M127" i="3"/>
  <c r="K127" i="3"/>
  <c r="D127" i="3"/>
  <c r="F127" i="3" s="1"/>
  <c r="J127" i="3" s="1"/>
  <c r="L127" i="3" s="1"/>
  <c r="D121" i="1" l="1"/>
  <c r="D59" i="1"/>
  <c r="D120" i="1"/>
  <c r="D119" i="1"/>
  <c r="D118" i="1"/>
  <c r="I126" i="3" l="1"/>
  <c r="M126" i="3"/>
  <c r="K126" i="3"/>
  <c r="D126" i="3"/>
  <c r="F126" i="3" s="1"/>
  <c r="J126" i="3" s="1"/>
  <c r="L126" i="3" s="1"/>
  <c r="D66" i="1"/>
  <c r="I125" i="3"/>
  <c r="M125" i="3"/>
  <c r="K125" i="3"/>
  <c r="D125" i="3"/>
  <c r="F125" i="3" s="1"/>
  <c r="J125" i="3" s="1"/>
  <c r="L125" i="3" s="1"/>
  <c r="D117" i="1"/>
  <c r="D23" i="1"/>
  <c r="D124" i="3" l="1"/>
  <c r="F124" i="3" s="1"/>
  <c r="J124" i="3" s="1"/>
  <c r="L124" i="3" s="1"/>
  <c r="I124" i="3"/>
  <c r="M124" i="3" s="1"/>
  <c r="K124" i="3"/>
  <c r="D123" i="3"/>
  <c r="F123" i="3" s="1"/>
  <c r="J123" i="3" s="1"/>
  <c r="L123" i="3" s="1"/>
  <c r="I123" i="3"/>
  <c r="M123" i="3" s="1"/>
  <c r="K123" i="3"/>
  <c r="D116" i="1"/>
  <c r="I122" i="3"/>
  <c r="M122" i="3"/>
  <c r="K122" i="3"/>
  <c r="D122" i="3"/>
  <c r="F122" i="3" s="1"/>
  <c r="J122" i="3" s="1"/>
  <c r="L122" i="3" s="1"/>
  <c r="H7" i="1"/>
  <c r="I121" i="3"/>
  <c r="M121" i="3" s="1"/>
  <c r="K121" i="3"/>
  <c r="D121" i="3"/>
  <c r="F121" i="3" s="1"/>
  <c r="J121" i="3" s="1"/>
  <c r="L121" i="3" s="1"/>
  <c r="I120" i="3"/>
  <c r="M120" i="3" s="1"/>
  <c r="K120" i="3"/>
  <c r="D120" i="3"/>
  <c r="F120" i="3" s="1"/>
  <c r="J120" i="3" s="1"/>
  <c r="L120" i="3" s="1"/>
  <c r="D119" i="3"/>
  <c r="F119" i="3" s="1"/>
  <c r="J119" i="3" s="1"/>
  <c r="L119" i="3" s="1"/>
  <c r="I119" i="3"/>
  <c r="M119" i="3" s="1"/>
  <c r="K119" i="3"/>
  <c r="D118" i="3"/>
  <c r="F118" i="3" s="1"/>
  <c r="J118" i="3" s="1"/>
  <c r="L118" i="3" s="1"/>
  <c r="I118" i="3"/>
  <c r="M118" i="3" s="1"/>
  <c r="K118" i="3"/>
  <c r="I117" i="3"/>
  <c r="K117" i="3"/>
  <c r="M117" i="3"/>
  <c r="I116" i="3"/>
  <c r="M116" i="3"/>
  <c r="K116" i="3"/>
  <c r="D116" i="3"/>
  <c r="F116" i="3" s="1"/>
  <c r="J116" i="3" s="1"/>
  <c r="D117" i="3"/>
  <c r="F117" i="3" s="1"/>
  <c r="J117" i="3" s="1"/>
  <c r="L117" i="3" l="1"/>
  <c r="L116" i="3"/>
  <c r="D115" i="1"/>
  <c r="D114" i="1"/>
  <c r="I115" i="3"/>
  <c r="M115" i="3"/>
  <c r="K115" i="3"/>
  <c r="D115" i="3"/>
  <c r="F115" i="3" s="1"/>
  <c r="J115" i="3" s="1"/>
  <c r="L115" i="3" s="1"/>
  <c r="D63" i="1"/>
  <c r="I114" i="3"/>
  <c r="M114" i="3"/>
  <c r="K114" i="3"/>
  <c r="D114" i="3"/>
  <c r="F114" i="3" s="1"/>
  <c r="J114" i="3" s="1"/>
  <c r="I113" i="3"/>
  <c r="M113" i="3" s="1"/>
  <c r="K113" i="3"/>
  <c r="D113" i="3"/>
  <c r="F113" i="3" s="1"/>
  <c r="J113" i="3" s="1"/>
  <c r="I112" i="3"/>
  <c r="M112" i="3" s="1"/>
  <c r="K112" i="3"/>
  <c r="D112" i="3"/>
  <c r="F112" i="3" s="1"/>
  <c r="J112" i="3" s="1"/>
  <c r="L112" i="3" s="1"/>
  <c r="I111" i="3"/>
  <c r="M111" i="3" s="1"/>
  <c r="K111" i="3"/>
  <c r="D111" i="3"/>
  <c r="F111" i="3" s="1"/>
  <c r="J111" i="3" s="1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D111" i="1"/>
  <c r="I107" i="3"/>
  <c r="M107" i="3"/>
  <c r="K107" i="3"/>
  <c r="D107" i="3"/>
  <c r="F107" i="3" s="1"/>
  <c r="J107" i="3" s="1"/>
  <c r="L107" i="3" s="1"/>
  <c r="D19" i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D109" i="1"/>
  <c r="D110" i="1"/>
  <c r="I104" i="3"/>
  <c r="M104" i="3" s="1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 s="1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 s="1"/>
  <c r="K99" i="3"/>
  <c r="D99" i="3"/>
  <c r="F99" i="3" s="1"/>
  <c r="J99" i="3" s="1"/>
  <c r="L99" i="3" s="1"/>
  <c r="I98" i="3"/>
  <c r="M98" i="3"/>
  <c r="K98" i="3"/>
  <c r="D98" i="3"/>
  <c r="F98" i="3" s="1"/>
  <c r="J98" i="3" s="1"/>
  <c r="I97" i="3"/>
  <c r="M97" i="3" s="1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D106" i="1"/>
  <c r="I95" i="3"/>
  <c r="M95" i="3"/>
  <c r="K95" i="3"/>
  <c r="D95" i="3"/>
  <c r="F95" i="3" s="1"/>
  <c r="J95" i="3" s="1"/>
  <c r="L95" i="3" s="1"/>
  <c r="I94" i="3"/>
  <c r="M94" i="3" s="1"/>
  <c r="K94" i="3"/>
  <c r="D94" i="3"/>
  <c r="F94" i="3" s="1"/>
  <c r="J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I84" i="3"/>
  <c r="M84" i="3" s="1"/>
  <c r="K84" i="3"/>
  <c r="D84" i="3"/>
  <c r="F84" i="3" s="1"/>
  <c r="J84" i="3" s="1"/>
  <c r="I83" i="3"/>
  <c r="M83" i="3" s="1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I76" i="3"/>
  <c r="M76" i="3" s="1"/>
  <c r="K76" i="3"/>
  <c r="D76" i="3"/>
  <c r="F76" i="3" s="1"/>
  <c r="J76" i="3" s="1"/>
  <c r="I75" i="3"/>
  <c r="M75" i="3" s="1"/>
  <c r="K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D41" i="3"/>
  <c r="F41" i="3" s="1"/>
  <c r="J41" i="3" s="1"/>
  <c r="L41" i="3" s="1"/>
  <c r="D42" i="3"/>
  <c r="F42" i="3" s="1"/>
  <c r="J42" i="3" s="1"/>
  <c r="D43" i="3"/>
  <c r="F43" i="3" s="1"/>
  <c r="J43" i="3" s="1"/>
  <c r="D44" i="3"/>
  <c r="F44" i="3" s="1"/>
  <c r="J44" i="3" s="1"/>
  <c r="D45" i="3"/>
  <c r="F45" i="3" s="1"/>
  <c r="J45" i="3" s="1"/>
  <c r="D46" i="3"/>
  <c r="F46" i="3" s="1"/>
  <c r="J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D51" i="3"/>
  <c r="F51" i="3" s="1"/>
  <c r="J51" i="3" s="1"/>
  <c r="L51" i="3" s="1"/>
  <c r="D52" i="3"/>
  <c r="F52" i="3" s="1"/>
  <c r="J52" i="3" s="1"/>
  <c r="D53" i="3"/>
  <c r="F53" i="3" s="1"/>
  <c r="J53" i="3" s="1"/>
  <c r="D54" i="3"/>
  <c r="F54" i="3" s="1"/>
  <c r="J54" i="3" s="1"/>
  <c r="L54" i="3" s="1"/>
  <c r="D55" i="3"/>
  <c r="F55" i="3" s="1"/>
  <c r="J55" i="3" s="1"/>
  <c r="D56" i="3"/>
  <c r="F56" i="3" s="1"/>
  <c r="J56" i="3" s="1"/>
  <c r="D57" i="3"/>
  <c r="F57" i="3" s="1"/>
  <c r="J57" i="3" s="1"/>
  <c r="L57" i="3" s="1"/>
  <c r="D58" i="3"/>
  <c r="F58" i="3" s="1"/>
  <c r="J58" i="3" s="1"/>
  <c r="D59" i="3"/>
  <c r="F59" i="3" s="1"/>
  <c r="J59" i="3" s="1"/>
  <c r="D60" i="3"/>
  <c r="F60" i="3" s="1"/>
  <c r="J60" i="3" s="1"/>
  <c r="D61" i="3"/>
  <c r="F61" i="3" s="1"/>
  <c r="J61" i="3" s="1"/>
  <c r="D62" i="3"/>
  <c r="F62" i="3" s="1"/>
  <c r="J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D67" i="3"/>
  <c r="F67" i="3" s="1"/>
  <c r="J67" i="3" s="1"/>
  <c r="L67" i="3" s="1"/>
  <c r="D68" i="3"/>
  <c r="F68" i="3" s="1"/>
  <c r="J68" i="3" s="1"/>
  <c r="D69" i="3"/>
  <c r="F69" i="3" s="1"/>
  <c r="J69" i="3" s="1"/>
  <c r="D70" i="3"/>
  <c r="F70" i="3" s="1"/>
  <c r="J70" i="3" s="1"/>
  <c r="D71" i="3"/>
  <c r="F71" i="3" s="1"/>
  <c r="J71" i="3" s="1"/>
  <c r="D72" i="3"/>
  <c r="F72" i="3" s="1"/>
  <c r="J72" i="3" s="1"/>
  <c r="D73" i="3"/>
  <c r="F73" i="3" s="1"/>
  <c r="J73" i="3" s="1"/>
  <c r="D74" i="3"/>
  <c r="F74" i="3" s="1"/>
  <c r="J74" i="3" s="1"/>
  <c r="D75" i="3"/>
  <c r="F75" i="3" s="1"/>
  <c r="J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H10" i="1" s="1"/>
  <c r="D100" i="1"/>
  <c r="I69" i="3"/>
  <c r="M69" i="3"/>
  <c r="K69" i="3"/>
  <c r="D65" i="1"/>
  <c r="D99" i="1"/>
  <c r="I68" i="3"/>
  <c r="M68" i="3" s="1"/>
  <c r="K68" i="3"/>
  <c r="I67" i="3"/>
  <c r="M67" i="3"/>
  <c r="K67" i="3"/>
  <c r="D69" i="1"/>
  <c r="D98" i="1"/>
  <c r="I66" i="3"/>
  <c r="M66" i="3" s="1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M60" i="3" s="1"/>
  <c r="K60" i="3"/>
  <c r="D51" i="1"/>
  <c r="D90" i="1"/>
  <c r="I59" i="3"/>
  <c r="M59" i="3" s="1"/>
  <c r="K59" i="3"/>
  <c r="I58" i="3"/>
  <c r="M58" i="3" s="1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 s="1"/>
  <c r="K53" i="3"/>
  <c r="I52" i="3"/>
  <c r="M52" i="3" s="1"/>
  <c r="K52" i="3"/>
  <c r="I51" i="3"/>
  <c r="M51" i="3"/>
  <c r="K51" i="3"/>
  <c r="D84" i="1"/>
  <c r="D87" i="1"/>
  <c r="I50" i="3"/>
  <c r="M50" i="3" s="1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 s="1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 s="1"/>
  <c r="K38" i="3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26" i="1"/>
  <c r="D24" i="1"/>
  <c r="C8" i="2" s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D77" i="1"/>
  <c r="D76" i="1"/>
  <c r="D68" i="1"/>
  <c r="D75" i="1"/>
  <c r="D34" i="1"/>
  <c r="I25" i="3"/>
  <c r="M25" i="3" s="1"/>
  <c r="K25" i="3"/>
  <c r="I24" i="3"/>
  <c r="M24" i="3"/>
  <c r="K24" i="3"/>
  <c r="D46" i="1"/>
  <c r="D71" i="1"/>
  <c r="I23" i="3"/>
  <c r="M23" i="3" s="1"/>
  <c r="K23" i="3"/>
  <c r="D25" i="1"/>
  <c r="I13" i="3"/>
  <c r="M13" i="3" s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C7" i="2"/>
  <c r="B4" i="2"/>
  <c r="B5" i="2"/>
  <c r="B6" i="2"/>
  <c r="B3" i="2"/>
  <c r="D22" i="1"/>
  <c r="C6" i="2" s="1"/>
  <c r="D21" i="1"/>
  <c r="C5" i="2" s="1"/>
  <c r="D20" i="1"/>
  <c r="C3" i="2" s="1"/>
  <c r="D18" i="1"/>
  <c r="D17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114" i="3" l="1"/>
  <c r="L111" i="3"/>
  <c r="L113" i="3"/>
  <c r="L62" i="3"/>
  <c r="L46" i="3"/>
  <c r="L61" i="3"/>
  <c r="L45" i="3"/>
  <c r="L29" i="3"/>
  <c r="L60" i="3"/>
  <c r="L44" i="3"/>
  <c r="L75" i="3"/>
  <c r="L59" i="3"/>
  <c r="L43" i="3"/>
  <c r="L74" i="3"/>
  <c r="L58" i="3"/>
  <c r="L42" i="3"/>
  <c r="L84" i="3"/>
  <c r="L96" i="3"/>
  <c r="L72" i="3"/>
  <c r="L56" i="3"/>
  <c r="L40" i="3"/>
  <c r="L73" i="3"/>
  <c r="L71" i="3"/>
  <c r="L55" i="3"/>
  <c r="L76" i="3"/>
  <c r="L81" i="3"/>
  <c r="L85" i="3"/>
  <c r="L89" i="3"/>
  <c r="L70" i="3"/>
  <c r="L69" i="3"/>
  <c r="L53" i="3"/>
  <c r="L68" i="3"/>
  <c r="L52" i="3"/>
  <c r="L36" i="3"/>
  <c r="L77" i="3"/>
  <c r="L94" i="3"/>
  <c r="L105" i="3"/>
  <c r="L66" i="3"/>
  <c r="L50" i="3"/>
  <c r="L98" i="3"/>
  <c r="L92" i="3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<sst xmlns="http://schemas.openxmlformats.org/spreadsheetml/2006/main" count="549" uniqueCount="300">
  <si>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</si>
  <si>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</si>
  <si>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</si>
  <si>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</si>
  <si>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</si>
  <si>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</si>
  <si>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</si>
  <si>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</si>
  <si>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</si>
  <si>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</si>
  <si>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</si>
  <si>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</si>
  <si>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</si>
  <si>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</si>
  <si>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</si>
  <si>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</si>
  <si>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</si>
  <si>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</si>
  <si>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</si>
  <si>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</si>
  <si>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</si>
  <si>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</si>
  <si>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</si>
  <si>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</si>
  <si>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</si>
  <si>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</si>
  <si>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</si>
  <si>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</si>
  <si>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</si>
  <si>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</si>
  <si>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</si>
  <si>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</si>
  <si>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</si>
  <si>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</si>
  <si>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</si>
  <si>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</si>
  <si>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</si>
  <si>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</si>
  <si>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</si>
  <si>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</si>
  <si>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</si>
  <si>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</si>
  <si>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</si>
  <si>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</si>
  <si>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</si>
  <si>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</si>
  <si>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</si>
  <si>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</si>
  <si>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</si>
  <si>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</si>
  <si>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</si>
  <si>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</si>
  <si>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</si>
  <si>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</si>
  <si>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</si>
  <si>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</si>
  <si>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</si>
  <si>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</si>
  <si>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</si>
  <si>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</si>
  <si>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</si>
  <si>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</si>
  <si>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</si>
  <si>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</si>
  <si>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</si>
  <si>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</si>
  <si>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</si>
  <si>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</si>
  <si>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</si>
  <si>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</si>
  <si>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</si>
  <si>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</si>
  <si>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</si>
  <si>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</si>
  <si>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</si>
  <si>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</si>
  <si>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</si>
  <si>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</si>
  <si>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</si>
  <si>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</si>
  <si>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</si>
  <si>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</si>
  <si>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</si>
  <si>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</si>
  <si>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</si>
  <si>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</si>
  <si>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</si>
  <si>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</si>
  <si>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</si>
  <si>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</si>
  <si>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</si>
  <si>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</si>
  <si>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</si>
  <si>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</si>
  <si>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</si>
  <si>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</si>
  <si>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</si>
  <si>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</si>
  <si>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</si>
  <si>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</si>
  <si>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</si>
  <si>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</si>
  <si>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</si>
  <si>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</si>
  <si>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</si>
  <si>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</si>
  <si>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</si>
  <si>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</si>
  <si>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</si>
  <si>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</si>
  <si>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</si>
  <si>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</si>
  <si>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</si>
  <si>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</si>
  <si>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</si>
  <si>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</si>
  <si>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</si>
  <si>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</si>
  <si>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</si>
  <si>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</si>
  <si>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</si>
  <si>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</si>
  <si>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</si>
  <si>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</si>
  <si>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</si>
  <si>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</si>
  <si>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</si>
  <si>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</si>
  <si>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</si>
  <si>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</si>
  <si>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</si>
  <si>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</si>
  <si>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</si>
  <si>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</si>
  <si>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</si>
  <si>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</si>
  <si>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</si>
  <si>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</si>
  <si>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</si>
  <si>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</si>
  <si>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</si>
  <si>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</si>
  <si>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</si>
  <si>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</si>
  <si>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</si>
  <si>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</si>
  <si>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</si>
  <si>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</si>
  <si>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</si>
  <si>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</si>
  <si>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</si>
  <si>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</si>
  <si>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</si>
  <si>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</si>
  <si>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</si>
  <si>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</si>
  <si>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</si>
  <si>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</si>
  <si>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</si>
  <si>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</si>
  <si>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</si>
  <si>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</si>
  <si>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</si>
  <si>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</si>
  <si>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</si>
  <si>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</si>
  <si>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</si>
  <si>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</si>
  <si>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</si>
  <si>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</si>
  <si>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</si>
  <si>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</si>
  <si>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</si>
  <si>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</si>
  <si>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</si>
  <si>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</si>
  <si>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</si>
  <si>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</si>
  <si>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</si>
  <si>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</si>
  <si>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</si>
  <si>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</si>
  <si>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</si>
  <si>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</si>
  <si>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</si>
  <si>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</si>
  <si>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</si>
  <si>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</si>
  <si>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</si>
  <si>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</si>
  <si>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</si>
  <si>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</si>
  <si>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</si>
  <si>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</si>
  <si>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</si>
  <si>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</si>
  <si>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</si>
  <si>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</si>
  <si>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</si>
  <si>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</si>
  <si>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</si>
  <si>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</si>
  <si>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</si>
  <si>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</si>
  <si>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</si>
  <si>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</si>
  <si>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</si>
  <si>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</si>
  <si>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</si>
  <si>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</si>
  <si>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</si>
  <si>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</si>
  <si>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</si>
  <si>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</si>
  <si>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</si>
  <si>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</si>
  <si>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</si>
  <si>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</si>
  <si>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</si>
  <si>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</si>
  <si>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</si>
  <si>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</si>
  <si>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</si>
  <si>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</si>
  <si>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</si>
  <si>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</si>
  <si>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</si>
  <si>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</si>
  <si>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</si>
  <si>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</si>
  <si>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</si>
  <si>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</si>
  <si>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</si>
  <si>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</si>
  <si>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</si>
  <si>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</si>
  <si>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</si>
  <si>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</si>
  <si>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</si>
  <si>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</si>
  <si>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</si>
  <si>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</si>
  <si>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</si>
  <si>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</si>
  <si>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</si>
  <si>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</si>
  <si>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</si>
  <si>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</si>
  <si>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</si>
  <si>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</si>
  <si>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</si>
  <si>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</si>
  <si>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</si>
  <si>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</si>
  <si>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</si>
  <si>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</si>
  <si>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</si>
  <si>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</si>
  <si>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</si>
  <si>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</si>
  <si>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</si>
  <si>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</si>
  <si>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</si>
  <si>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</si>
  <si>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</si>
  <si>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</si>
  <si>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</si>
  <si>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</si>
  <si>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</si>
  <si>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</si>
  <si>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</si>
  <si>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</si>
  <si>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</si>
  <si>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The stock was gaining momentum then it got weak by bad economic results</t>
  </si>
  <si>
    <t>possible cup handle pattern formed, rejected</t>
  </si>
  <si>
    <t>UNH</t>
  </si>
  <si>
    <t>LFS</t>
  </si>
  <si>
    <t>sold half for reducing position since tomorrow there is earnings release</t>
  </si>
  <si>
    <t>Stopped out during strong big move</t>
  </si>
  <si>
    <t>Sold, position, the stock didn't move the way it was expected, after finding a resistance in the same levels where I bought</t>
  </si>
  <si>
    <t>6 days</t>
  </si>
  <si>
    <t>Sold in strenght before earnings release</t>
  </si>
  <si>
    <t>Sold with small loss before earnings, yesterday partially sold, but todays shows more weakness</t>
  </si>
  <si>
    <t>It is showing lateral negative move, it is not increasing despite MACD in green</t>
  </si>
  <si>
    <t>SATS</t>
  </si>
  <si>
    <t>MACD turned to green but there was no follow up and it went back to red</t>
  </si>
  <si>
    <t>It showed rejection at 65 levels and buyers couldn't defend it, it got weak</t>
  </si>
  <si>
    <t>TMDX</t>
  </si>
  <si>
    <t>Sold on strenght</t>
  </si>
  <si>
    <t>Sold before earnings announcement for reducing risk and secure profit. Bad timing for entry</t>
  </si>
  <si>
    <t>QUBT</t>
  </si>
  <si>
    <t>IONQ</t>
  </si>
  <si>
    <t>QBTS</t>
  </si>
  <si>
    <t>OKLO</t>
  </si>
  <si>
    <t>26 days</t>
  </si>
  <si>
    <t>Sold on strenght, volatility has spiked up, and the stock loss momentum</t>
  </si>
  <si>
    <t>Stopped out after long lateral move, today's volatility finally took me out. Bad trade</t>
  </si>
  <si>
    <t>Stopped out during selloff caused by new war</t>
  </si>
  <si>
    <t>Stopped out during war volatility</t>
  </si>
  <si>
    <t>tmdx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</si>
</sst>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21"/>
  <sheetViews>
    <sheetView tabSelected="1" workbookViewId="0">
      <pane xSplit="5" ySplit="13" topLeftCell="F104" activePane="bottomRight" state="frozen"/>
      <selection pane="topRight" activeCell="F1" sqref="F1"/>
      <selection pane="bottomLeft" activeCell="A14" sqref="A14"/>
      <selection pane="bottomRight" activeCell="B118" sqref="B118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299</v>
      </c>
      <c r="G2" t="s">
        <v>26</v>
      </c>
      <c r="H2">
        <v>8000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0.25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137.27000000000001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127.61000000000001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5000</v>
      </c>
    </row>
    <row r="7" spans="1:9" x14ac:dyDescent="0.25">
      <c r="A7" t="s">
        <v>8</v>
      </c>
      <c r="B7">
        <v>22.46</v>
      </c>
      <c r="C7">
        <v>2.0699999999999998</v>
      </c>
      <c r="D7">
        <f t="shared" si="0"/>
        <v>19.355</v>
      </c>
      <c r="G7" t="s">
        <v>48</v>
      </c>
      <c r="H7">
        <f>$H$2*(H3/100)</f>
        <v>20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9.6599999999999966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2.0703933747412018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36.424564726451514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2.0703933747412018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20.000000000000004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0.25000000000000006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88.58</v>
      </c>
      <c r="C16">
        <v>7.63</v>
      </c>
      <c r="D16">
        <f>B16-(1*C16)</f>
        <v>80.95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25">
      <c r="A19" t="s">
        <v>20</v>
      </c>
      <c r="B19">
        <v>79.58</v>
      </c>
      <c r="C19">
        <v>1.68</v>
      </c>
      <c r="D19">
        <f>B19-(0.5*C19)</f>
        <v>78.739999999999995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4.1900000000000004</v>
      </c>
      <c r="C23">
        <v>0.2452</v>
      </c>
      <c r="D23">
        <f>B23-(1*C23)</f>
        <v>3.9448000000000003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2.15</v>
      </c>
      <c r="C27">
        <v>0.192</v>
      </c>
      <c r="D27">
        <f t="shared" si="0"/>
        <v>1.8619999999999999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8.99</v>
      </c>
      <c r="C30">
        <v>0.55000000000000004</v>
      </c>
      <c r="D30">
        <f t="shared" si="0"/>
        <v>8.1650000000000009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11.64</v>
      </c>
      <c r="C35">
        <v>0.84</v>
      </c>
      <c r="D35">
        <f>B35-(1*C35)</f>
        <v>10.8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4.2699999999999996</v>
      </c>
      <c r="C49">
        <v>0.35</v>
      </c>
      <c r="D49">
        <f>B49-(1.5*C49)</f>
        <v>3.7449999999999997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25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92.5</v>
      </c>
      <c r="C59">
        <v>4.78</v>
      </c>
      <c r="D59">
        <f>B59-(1*C59)</f>
        <v>87.72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10.58</v>
      </c>
      <c r="C62">
        <v>1.18</v>
      </c>
      <c r="D62">
        <f>B62-(1*C62)</f>
        <v>9.4</v>
      </c>
    </row>
    <row r="63" spans="1:4" x14ac:dyDescent="0.25">
      <c r="A63" t="s">
        <v>123</v>
      </c>
      <c r="B63">
        <v>10.37</v>
      </c>
      <c r="C63">
        <v>0.91759999999999997</v>
      </c>
      <c r="D63">
        <f>B63-(1*C63)</f>
        <v>9.452399999999999</v>
      </c>
    </row>
    <row r="64" spans="1:4" x14ac:dyDescent="0.25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25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25">
      <c r="A66" t="s">
        <v>126</v>
      </c>
      <c r="B66">
        <v>15.63</v>
      </c>
      <c r="C66">
        <v>1.28</v>
      </c>
      <c r="D66">
        <f>B66-(1.5*C66)</f>
        <v>13.71</v>
      </c>
    </row>
    <row r="67" spans="1:4" x14ac:dyDescent="0.25">
      <c r="A67" t="s">
        <v>127</v>
      </c>
      <c r="B67">
        <v>2.17</v>
      </c>
      <c r="C67">
        <v>0.1605</v>
      </c>
      <c r="D67">
        <f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32.69</v>
      </c>
      <c r="C69">
        <v>2.35</v>
      </c>
      <c r="D69">
        <f>B69-(1.5*C69)</f>
        <v>29.164999999999999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>B71-(2*C71)</f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27.83</v>
      </c>
      <c r="C73">
        <v>0.63</v>
      </c>
      <c r="D73">
        <f>B73-(1.5*C73)</f>
        <v>26.884999999999998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2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2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2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2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2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2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2"/>
        <v>58.625</v>
      </c>
    </row>
    <row r="92" spans="1:4" x14ac:dyDescent="0.25">
      <c r="A92" t="s">
        <v>194</v>
      </c>
      <c r="B92">
        <v>13.39</v>
      </c>
      <c r="C92">
        <v>0.77280000000000004</v>
      </c>
      <c r="D92">
        <f t="shared" si="2"/>
        <v>12.2308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2"/>
        <v>10.8066</v>
      </c>
    </row>
    <row r="94" spans="1:4" x14ac:dyDescent="0.25">
      <c r="A94" t="s">
        <v>198</v>
      </c>
      <c r="B94">
        <v>10.8</v>
      </c>
      <c r="C94">
        <v>1.07</v>
      </c>
      <c r="D94">
        <f t="shared" si="2"/>
        <v>9.1950000000000003</v>
      </c>
    </row>
    <row r="95" spans="1:4" x14ac:dyDescent="0.25">
      <c r="A95" t="s">
        <v>199</v>
      </c>
      <c r="B95">
        <v>220.05</v>
      </c>
      <c r="C95">
        <v>5.05</v>
      </c>
      <c r="D95">
        <f t="shared" si="2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2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2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2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2"/>
        <v>45.964999999999996</v>
      </c>
    </row>
    <row r="100" spans="1:4" x14ac:dyDescent="0.25">
      <c r="A100" t="s">
        <v>212</v>
      </c>
      <c r="B100">
        <v>77.790000000000006</v>
      </c>
      <c r="C100">
        <v>2.11</v>
      </c>
      <c r="D100">
        <f t="shared" si="2"/>
        <v>74.625</v>
      </c>
    </row>
    <row r="101" spans="1:4" x14ac:dyDescent="0.25">
      <c r="A101" t="s">
        <v>217</v>
      </c>
      <c r="B101">
        <v>1.48</v>
      </c>
      <c r="C101">
        <v>8.4599999999999995E-2</v>
      </c>
      <c r="D101">
        <f t="shared" si="2"/>
        <v>1.3531</v>
      </c>
    </row>
    <row r="102" spans="1:4" x14ac:dyDescent="0.25">
      <c r="A102" t="s">
        <v>225</v>
      </c>
      <c r="B102">
        <v>59.2</v>
      </c>
      <c r="C102">
        <v>2.71</v>
      </c>
      <c r="D102">
        <f t="shared" si="2"/>
        <v>55.135000000000005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8.08</v>
      </c>
      <c r="C105">
        <v>0.22</v>
      </c>
      <c r="D105">
        <f>B105-(1.5*C105)</f>
        <v>7.75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25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25">
      <c r="A109" t="s">
        <v>255</v>
      </c>
      <c r="B109">
        <v>92.18</v>
      </c>
      <c r="C109">
        <v>2.82</v>
      </c>
      <c r="D109">
        <f t="shared" ref="D109:D121" si="3">B109-(1.5*C109)</f>
        <v>87.95</v>
      </c>
    </row>
    <row r="110" spans="1:4" x14ac:dyDescent="0.25">
      <c r="A110" t="s">
        <v>257</v>
      </c>
      <c r="B110">
        <v>28.97</v>
      </c>
      <c r="C110">
        <v>0.9</v>
      </c>
      <c r="D110">
        <f t="shared" si="3"/>
        <v>27.619999999999997</v>
      </c>
    </row>
    <row r="111" spans="1:4" x14ac:dyDescent="0.25">
      <c r="A111" t="s">
        <v>263</v>
      </c>
      <c r="B111">
        <v>38.32</v>
      </c>
      <c r="C111">
        <v>4.0199999999999996</v>
      </c>
      <c r="D111">
        <f t="shared" si="3"/>
        <v>32.29</v>
      </c>
    </row>
    <row r="112" spans="1:4" x14ac:dyDescent="0.25">
      <c r="A112" t="s">
        <v>264</v>
      </c>
      <c r="B112">
        <v>33.93</v>
      </c>
      <c r="C112">
        <v>2.08</v>
      </c>
      <c r="D112">
        <f t="shared" si="3"/>
        <v>30.81</v>
      </c>
    </row>
    <row r="113" spans="1:4" x14ac:dyDescent="0.25">
      <c r="A113" t="s">
        <v>266</v>
      </c>
      <c r="B113">
        <v>177.01</v>
      </c>
      <c r="C113">
        <v>6.77</v>
      </c>
      <c r="D113">
        <f t="shared" si="3"/>
        <v>166.85499999999999</v>
      </c>
    </row>
    <row r="114" spans="1:4" x14ac:dyDescent="0.25">
      <c r="A114" t="s">
        <v>275</v>
      </c>
      <c r="B114">
        <v>291.26</v>
      </c>
      <c r="C114">
        <v>10.37</v>
      </c>
      <c r="D114">
        <f t="shared" si="3"/>
        <v>275.70499999999998</v>
      </c>
    </row>
    <row r="115" spans="1:4" x14ac:dyDescent="0.25">
      <c r="A115" t="s">
        <v>276</v>
      </c>
      <c r="B115">
        <v>3.51</v>
      </c>
      <c r="C115">
        <v>0.48209999999999997</v>
      </c>
      <c r="D115">
        <f t="shared" si="3"/>
        <v>2.7868499999999998</v>
      </c>
    </row>
    <row r="116" spans="1:4" x14ac:dyDescent="0.25">
      <c r="A116" t="s">
        <v>284</v>
      </c>
      <c r="B116">
        <v>108.35</v>
      </c>
      <c r="C116">
        <v>5.92</v>
      </c>
      <c r="D116">
        <f t="shared" si="3"/>
        <v>99.47</v>
      </c>
    </row>
    <row r="117" spans="1:4" x14ac:dyDescent="0.25">
      <c r="A117" t="s">
        <v>287</v>
      </c>
      <c r="B117">
        <v>137.27000000000001</v>
      </c>
      <c r="C117">
        <v>6.44</v>
      </c>
      <c r="D117">
        <f t="shared" si="3"/>
        <v>127.61000000000001</v>
      </c>
    </row>
    <row r="118" spans="1:4" x14ac:dyDescent="0.25">
      <c r="A118" t="s">
        <v>291</v>
      </c>
      <c r="B118">
        <v>33.28</v>
      </c>
      <c r="C118">
        <v>3.1</v>
      </c>
      <c r="D118">
        <f t="shared" si="3"/>
        <v>28.630000000000003</v>
      </c>
    </row>
    <row r="119" spans="1:4" x14ac:dyDescent="0.25">
      <c r="A119" t="s">
        <v>290</v>
      </c>
      <c r="B119">
        <v>8.9</v>
      </c>
      <c r="C119">
        <v>0.74280000000000002</v>
      </c>
      <c r="D119">
        <f t="shared" si="3"/>
        <v>7.7858000000000001</v>
      </c>
    </row>
    <row r="120" spans="1:4" x14ac:dyDescent="0.25">
      <c r="A120" t="s">
        <v>292</v>
      </c>
      <c r="B120">
        <v>20.69</v>
      </c>
      <c r="C120">
        <v>1.81</v>
      </c>
      <c r="D120">
        <f t="shared" si="3"/>
        <v>17.975000000000001</v>
      </c>
    </row>
    <row r="121" spans="1:4" x14ac:dyDescent="0.25">
      <c r="A121" t="s">
        <v>293</v>
      </c>
      <c r="B121">
        <v>67.819999999999993</v>
      </c>
      <c r="C121">
        <v>6.21</v>
      </c>
      <c r="D121">
        <f t="shared" si="3"/>
        <v>58.504999999999995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4.1900000000000004</v>
      </c>
      <c r="C7">
        <f>VLOOKUP(A7,'Stop Loss Calculator'!$A$3:$D$99,4,FALSE)</f>
        <v>3.9448000000000003</v>
      </c>
      <c r="D7">
        <f t="shared" si="0"/>
        <v>203.91517128874381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31"/>
  <sheetViews>
    <sheetView workbookViewId="0">
      <pane xSplit="13" ySplit="9" topLeftCell="N118" activePane="bottomRight" state="frozen"/>
      <selection pane="topRight" activeCell="N1" sqref="N1"/>
      <selection pane="bottomLeft" activeCell="A10" sqref="A10"/>
      <selection pane="bottomRight" activeCell="N131" sqref="N131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0.47967479674796748</v>
      </c>
      <c r="C1" t="s">
        <v>92</v>
      </c>
    </row>
    <row r="2" spans="1:14" x14ac:dyDescent="0.25">
      <c r="A2" t="s">
        <v>93</v>
      </c>
      <c r="B2">
        <f>AVERAGEIF(M:M,"Win",I:I)</f>
        <v>9.1221741159303562</v>
      </c>
    </row>
    <row r="3" spans="1:14" x14ac:dyDescent="0.25">
      <c r="A3" t="s">
        <v>94</v>
      </c>
      <c r="B3">
        <f>AVERAGEIF(M:M,"Loss",I:I)</f>
        <v>-4.3508279451477643</v>
      </c>
    </row>
    <row r="4" spans="1:14" x14ac:dyDescent="0.25">
      <c r="A4" t="s">
        <v>95</v>
      </c>
      <c r="B4">
        <f>AVERAGE(L:L)</f>
        <v>0.32979683123008535</v>
      </c>
    </row>
    <row r="5" spans="1:14" x14ac:dyDescent="0.25">
      <c r="A5" t="s">
        <v>96</v>
      </c>
      <c r="B5">
        <f>(B1*B2+(1-B1)*B3)</f>
        <v>2.1118315800848304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4" si="6">(E18-C18)/C18*(100)</f>
        <v>-8.9588377723970982</v>
      </c>
      <c r="J18">
        <f t="shared" ref="J18:J24" si="7">(C18-F18)/C18*100</f>
        <v>8.8547215496368015</v>
      </c>
      <c r="K18">
        <f t="shared" ref="K18:K24" si="8">(E18-C18)/C18*100</f>
        <v>-8.9588377723970982</v>
      </c>
      <c r="L18">
        <f t="shared" ref="L18:L24" si="9">K18/J18</f>
        <v>-1.0117582718074931</v>
      </c>
      <c r="M18" t="str">
        <f t="shared" ref="M18:M24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si="7"/>
        <v>3.8884900693945923</v>
      </c>
      <c r="K21">
        <f t="shared" si="8"/>
        <v>-2.5205392039562979</v>
      </c>
      <c r="L21">
        <f t="shared" si="9"/>
        <v>-0.64820512820513032</v>
      </c>
      <c r="M21" t="str">
        <f t="shared" si="10"/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si="6"/>
        <v>-5.5974165769644735</v>
      </c>
      <c r="J22">
        <f t="shared" si="7"/>
        <v>5.5882669537136689</v>
      </c>
      <c r="K22">
        <f t="shared" si="8"/>
        <v>-5.5974165769644735</v>
      </c>
      <c r="L22">
        <f t="shared" si="9"/>
        <v>-1.0016372917268608</v>
      </c>
      <c r="M22" t="str">
        <f t="shared" si="10"/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3.33</v>
      </c>
      <c r="E23">
        <v>127.82</v>
      </c>
      <c r="F23">
        <f t="shared" si="5"/>
        <v>115.065</v>
      </c>
      <c r="G23" t="s">
        <v>110</v>
      </c>
      <c r="I23">
        <f t="shared" si="6"/>
        <v>6.4634349491920622</v>
      </c>
      <c r="J23">
        <f t="shared" si="7"/>
        <v>4.1604197901049513</v>
      </c>
      <c r="K23">
        <f t="shared" si="8"/>
        <v>6.4634349491920622</v>
      </c>
      <c r="L23">
        <f t="shared" si="9"/>
        <v>1.5535535535535501</v>
      </c>
      <c r="M23" t="str">
        <f t="shared" si="10"/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6"/>
        <v>-8.1936685288640696</v>
      </c>
      <c r="J24">
        <f t="shared" si="7"/>
        <v>6.1452513966480389</v>
      </c>
      <c r="K24">
        <f t="shared" si="8"/>
        <v>-8.1936685288640696</v>
      </c>
      <c r="L24">
        <f t="shared" si="9"/>
        <v>-1.3333333333333361</v>
      </c>
      <c r="M24" t="str">
        <f t="shared" si="10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11">(E25-C25)/C25*(100)</f>
        <v>-8.8311688311688386</v>
      </c>
      <c r="J25">
        <f t="shared" ref="J25:J59" si="12">(C25-F25)/C25*100</f>
        <v>6.62337662337662</v>
      </c>
      <c r="K25">
        <f t="shared" ref="K25:K59" si="13">(E25-C25)/C25*100</f>
        <v>-8.8311688311688386</v>
      </c>
      <c r="L25">
        <f t="shared" ref="L25:L59" si="14">K25/J25</f>
        <v>-1.333333333333335</v>
      </c>
      <c r="M25" t="str">
        <f t="shared" ref="M25:M59" si="15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11"/>
        <v>7.4065685164212987</v>
      </c>
      <c r="J26">
        <f t="shared" si="12"/>
        <v>3.2616081540203803</v>
      </c>
      <c r="K26">
        <f t="shared" si="13"/>
        <v>7.4065685164212987</v>
      </c>
      <c r="L26">
        <f t="shared" si="14"/>
        <v>2.2708333333333388</v>
      </c>
      <c r="M26" t="str">
        <f t="shared" si="15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11"/>
        <v>14.288797755234201</v>
      </c>
      <c r="J27">
        <f t="shared" si="12"/>
        <v>6.9933088711418137</v>
      </c>
      <c r="K27">
        <f t="shared" si="13"/>
        <v>14.288797755234201</v>
      </c>
      <c r="L27">
        <f t="shared" si="14"/>
        <v>2.0432098765432101</v>
      </c>
      <c r="M27" t="str">
        <f t="shared" si="15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11"/>
        <v>16.209799266134269</v>
      </c>
      <c r="J28">
        <f t="shared" si="12"/>
        <v>6.9933088711418137</v>
      </c>
      <c r="K28">
        <f t="shared" si="13"/>
        <v>16.209799266134269</v>
      </c>
      <c r="L28">
        <f t="shared" si="14"/>
        <v>2.3179012345679015</v>
      </c>
      <c r="M28" t="str">
        <f t="shared" si="15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11"/>
        <v>1.5310443677112477</v>
      </c>
      <c r="J29">
        <f t="shared" si="12"/>
        <v>2.0033878428562044</v>
      </c>
      <c r="K29">
        <f t="shared" si="13"/>
        <v>1.5310443677112477</v>
      </c>
      <c r="L29">
        <f t="shared" si="14"/>
        <v>0.76422764227642381</v>
      </c>
      <c r="M29" t="str">
        <f t="shared" si="15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11"/>
        <v>2.7313800657174014</v>
      </c>
      <c r="J30">
        <f t="shared" si="12"/>
        <v>3.0188937568455616</v>
      </c>
      <c r="K30">
        <f t="shared" si="13"/>
        <v>2.7313800657174014</v>
      </c>
      <c r="L30">
        <f t="shared" si="14"/>
        <v>0.90476190476190099</v>
      </c>
      <c r="M30" t="str">
        <f t="shared" si="15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1.18</v>
      </c>
      <c r="E31">
        <v>7.47</v>
      </c>
      <c r="F31">
        <f t="shared" si="5"/>
        <v>6.75</v>
      </c>
      <c r="G31" t="s">
        <v>105</v>
      </c>
      <c r="I31">
        <f t="shared" si="11"/>
        <v>-12.32394366197183</v>
      </c>
      <c r="J31">
        <f t="shared" si="12"/>
        <v>20.77464788732394</v>
      </c>
      <c r="K31">
        <f t="shared" si="13"/>
        <v>-12.32394366197183</v>
      </c>
      <c r="L31">
        <f t="shared" si="14"/>
        <v>-0.59322033898305093</v>
      </c>
      <c r="M31" t="str">
        <f t="shared" si="15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11"/>
        <v>16.749406432117432</v>
      </c>
      <c r="J32">
        <f t="shared" si="12"/>
        <v>6.9933088711418137</v>
      </c>
      <c r="K32">
        <f t="shared" si="13"/>
        <v>16.749406432117432</v>
      </c>
      <c r="L32">
        <f t="shared" si="14"/>
        <v>2.3950617283950622</v>
      </c>
      <c r="M32" t="str">
        <f t="shared" si="15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11"/>
        <v>-1.8490374873353519</v>
      </c>
      <c r="J33">
        <f t="shared" si="12"/>
        <v>2.3936170212765968</v>
      </c>
      <c r="K33">
        <f t="shared" si="13"/>
        <v>-1.8490374873353519</v>
      </c>
      <c r="L33">
        <f t="shared" si="14"/>
        <v>-0.77248677248676889</v>
      </c>
      <c r="M33" t="str">
        <f t="shared" si="15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11"/>
        <v>1.8012422360248395</v>
      </c>
      <c r="J34">
        <f t="shared" si="12"/>
        <v>5.4037267080745286</v>
      </c>
      <c r="K34">
        <f t="shared" si="13"/>
        <v>1.8012422360248395</v>
      </c>
      <c r="L34">
        <f t="shared" si="14"/>
        <v>0.3333333333333327</v>
      </c>
      <c r="M34" t="str">
        <f t="shared" si="15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11"/>
        <v>0.16637616859452384</v>
      </c>
      <c r="J35">
        <f t="shared" si="12"/>
        <v>3.2799873237204888</v>
      </c>
      <c r="K35">
        <f t="shared" si="13"/>
        <v>0.16637616859452384</v>
      </c>
      <c r="L35">
        <f t="shared" si="14"/>
        <v>5.0724637681161339E-2</v>
      </c>
      <c r="M35" t="str">
        <f t="shared" si="15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11"/>
        <v>5.8142399605814221</v>
      </c>
      <c r="J36">
        <f t="shared" si="12"/>
        <v>6.6888396156688916</v>
      </c>
      <c r="K36">
        <f t="shared" si="13"/>
        <v>5.8142399605814221</v>
      </c>
      <c r="L36">
        <f t="shared" si="14"/>
        <v>0.86924493554327675</v>
      </c>
      <c r="M36" t="str">
        <f t="shared" si="15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4.78</v>
      </c>
      <c r="E37">
        <v>91.73</v>
      </c>
      <c r="F37">
        <f t="shared" si="5"/>
        <v>92.26</v>
      </c>
      <c r="G37" t="s">
        <v>162</v>
      </c>
      <c r="I37">
        <f t="shared" si="11"/>
        <v>-7.7441416071608193</v>
      </c>
      <c r="J37">
        <f t="shared" si="12"/>
        <v>7.2111032887458526</v>
      </c>
      <c r="K37">
        <f t="shared" si="13"/>
        <v>-7.7441416071608193</v>
      </c>
      <c r="L37">
        <f t="shared" si="14"/>
        <v>-1.073919107391911</v>
      </c>
      <c r="M37" t="str">
        <f t="shared" si="15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1.28</v>
      </c>
      <c r="E38">
        <v>14.06</v>
      </c>
      <c r="F38">
        <f t="shared" si="5"/>
        <v>10.09</v>
      </c>
      <c r="G38" t="s">
        <v>164</v>
      </c>
      <c r="I38">
        <f t="shared" si="11"/>
        <v>17.069109075770196</v>
      </c>
      <c r="J38">
        <f t="shared" si="12"/>
        <v>15.986677768526228</v>
      </c>
      <c r="K38">
        <f t="shared" si="13"/>
        <v>17.069109075770196</v>
      </c>
      <c r="L38">
        <f t="shared" si="14"/>
        <v>1.0677083333333337</v>
      </c>
      <c r="M38" t="str">
        <f t="shared" si="15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11"/>
        <v>1.7114695340501891</v>
      </c>
      <c r="J39">
        <f t="shared" si="12"/>
        <v>3.9516129032258034</v>
      </c>
      <c r="K39">
        <f t="shared" si="13"/>
        <v>1.7114695340501891</v>
      </c>
      <c r="L39">
        <f t="shared" si="14"/>
        <v>0.43310657596372165</v>
      </c>
      <c r="M39" t="str">
        <f t="shared" si="15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11"/>
        <v>-5.8056554166443055</v>
      </c>
      <c r="J40">
        <f t="shared" si="12"/>
        <v>4.3461930568224467</v>
      </c>
      <c r="K40">
        <f t="shared" si="13"/>
        <v>-5.8056554166443055</v>
      </c>
      <c r="L40">
        <f t="shared" si="14"/>
        <v>-1.3358024691358026</v>
      </c>
      <c r="M40" t="str">
        <f t="shared" si="15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11"/>
        <v>-5.6399132321041359</v>
      </c>
      <c r="J41">
        <f t="shared" si="12"/>
        <v>5.630694143167025</v>
      </c>
      <c r="K41">
        <f t="shared" si="13"/>
        <v>-5.6399132321041359</v>
      </c>
      <c r="L41">
        <f t="shared" si="14"/>
        <v>-1.0016372917268643</v>
      </c>
      <c r="M41" t="str">
        <f t="shared" si="15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11"/>
        <v>-5.2320291173794455</v>
      </c>
      <c r="J42">
        <f t="shared" si="12"/>
        <v>7.9845313921747003</v>
      </c>
      <c r="K42">
        <f t="shared" si="13"/>
        <v>-5.2320291173794455</v>
      </c>
      <c r="L42">
        <f t="shared" si="14"/>
        <v>-0.65527065527065675</v>
      </c>
      <c r="M42" t="str">
        <f t="shared" si="15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11"/>
        <v>-4.4685990338164157</v>
      </c>
      <c r="J43">
        <f t="shared" si="12"/>
        <v>4.0760869565217437</v>
      </c>
      <c r="K43">
        <f t="shared" si="13"/>
        <v>-4.4685990338164157</v>
      </c>
      <c r="L43">
        <f t="shared" si="14"/>
        <v>-1.0962962962962928</v>
      </c>
      <c r="M43" t="str">
        <f t="shared" si="15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11"/>
        <v>2.6695958990746229</v>
      </c>
      <c r="J44">
        <f t="shared" si="12"/>
        <v>2.2168963451168446</v>
      </c>
      <c r="K44">
        <f t="shared" si="13"/>
        <v>2.6695958990746229</v>
      </c>
      <c r="L44">
        <f t="shared" si="14"/>
        <v>1.2042042042041972</v>
      </c>
      <c r="M44" t="str">
        <f t="shared" si="15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11"/>
        <v>-3.0911130499813084</v>
      </c>
      <c r="J45">
        <f t="shared" si="12"/>
        <v>3.5148946778013128</v>
      </c>
      <c r="K45">
        <f t="shared" si="13"/>
        <v>-3.0911130499813084</v>
      </c>
      <c r="L45">
        <f t="shared" si="14"/>
        <v>-0.87943262411347856</v>
      </c>
      <c r="M45" t="str">
        <f t="shared" si="15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3.46</v>
      </c>
      <c r="E46">
        <v>177.02</v>
      </c>
      <c r="F46">
        <f t="shared" si="5"/>
        <v>168.8</v>
      </c>
      <c r="G46" t="s">
        <v>149</v>
      </c>
      <c r="I46">
        <f t="shared" si="11"/>
        <v>1.7414793953675505</v>
      </c>
      <c r="J46">
        <f t="shared" si="12"/>
        <v>2.9829300534513465</v>
      </c>
      <c r="K46">
        <f t="shared" si="13"/>
        <v>1.7414793953675505</v>
      </c>
      <c r="L46">
        <f t="shared" si="14"/>
        <v>0.58381502890173453</v>
      </c>
      <c r="M46" t="str">
        <f t="shared" si="15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1.28</v>
      </c>
      <c r="E47">
        <v>13.75</v>
      </c>
      <c r="F47">
        <f t="shared" si="5"/>
        <v>10.07</v>
      </c>
      <c r="G47" t="s">
        <v>155</v>
      </c>
      <c r="I47">
        <f t="shared" si="11"/>
        <v>14.678899082568805</v>
      </c>
      <c r="J47">
        <f t="shared" si="12"/>
        <v>16.013344453711426</v>
      </c>
      <c r="K47">
        <f t="shared" si="13"/>
        <v>14.678899082568805</v>
      </c>
      <c r="L47">
        <f t="shared" si="14"/>
        <v>0.91666666666666652</v>
      </c>
      <c r="M47" t="str">
        <f t="shared" si="15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11"/>
        <v>0</v>
      </c>
      <c r="J48">
        <f t="shared" si="12"/>
        <v>6.1094224924012144</v>
      </c>
      <c r="K48">
        <f t="shared" si="13"/>
        <v>0</v>
      </c>
      <c r="L48">
        <f t="shared" si="14"/>
        <v>0</v>
      </c>
      <c r="M48" t="str">
        <f t="shared" si="15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11"/>
        <v>-1.9973253957982811</v>
      </c>
      <c r="J49">
        <f t="shared" si="12"/>
        <v>3.9666105862559822</v>
      </c>
      <c r="K49">
        <f t="shared" si="13"/>
        <v>-1.9973253957982811</v>
      </c>
      <c r="L49">
        <f t="shared" si="14"/>
        <v>-0.50353452963567147</v>
      </c>
      <c r="M49" t="str">
        <f t="shared" si="15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11"/>
        <v>3.6271413532395504</v>
      </c>
      <c r="J50">
        <f t="shared" si="12"/>
        <v>2.8854435831180023</v>
      </c>
      <c r="K50">
        <f t="shared" si="13"/>
        <v>3.6271413532395504</v>
      </c>
      <c r="L50">
        <f t="shared" si="14"/>
        <v>1.2570480928689902</v>
      </c>
      <c r="M50" t="str">
        <f t="shared" si="15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11"/>
        <v>2.6300294406280735</v>
      </c>
      <c r="J51">
        <f t="shared" si="12"/>
        <v>7.2129538763493661</v>
      </c>
      <c r="K51">
        <f t="shared" si="13"/>
        <v>2.6300294406280735</v>
      </c>
      <c r="L51">
        <f t="shared" si="14"/>
        <v>0.36462585034013678</v>
      </c>
      <c r="M51" t="str">
        <f t="shared" si="15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0.63</v>
      </c>
      <c r="E52">
        <v>25.12</v>
      </c>
      <c r="F52">
        <f t="shared" si="5"/>
        <v>25.134999999999998</v>
      </c>
      <c r="G52" t="s">
        <v>105</v>
      </c>
      <c r="I52">
        <f t="shared" si="11"/>
        <v>-3.6809815950920144</v>
      </c>
      <c r="J52">
        <f t="shared" si="12"/>
        <v>3.6234662576687131</v>
      </c>
      <c r="K52">
        <f t="shared" si="13"/>
        <v>-3.6809815950920144</v>
      </c>
      <c r="L52">
        <f t="shared" si="14"/>
        <v>-1.0158730158730127</v>
      </c>
      <c r="M52" t="str">
        <f t="shared" si="15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11"/>
        <v>3.2287822878228694</v>
      </c>
      <c r="J53">
        <f t="shared" si="12"/>
        <v>4.8892988929889292</v>
      </c>
      <c r="K53">
        <f t="shared" si="13"/>
        <v>3.2287822878228694</v>
      </c>
      <c r="L53">
        <f t="shared" si="14"/>
        <v>0.66037735849056434</v>
      </c>
      <c r="M53" t="str">
        <f t="shared" si="15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11"/>
        <v>-6.5419538343725963</v>
      </c>
      <c r="J54">
        <f t="shared" si="12"/>
        <v>4.1926485067279256</v>
      </c>
      <c r="K54">
        <f t="shared" si="13"/>
        <v>-6.5419538343725963</v>
      </c>
      <c r="L54">
        <f t="shared" si="14"/>
        <v>-1.5603392041748194</v>
      </c>
      <c r="M54" t="str">
        <f t="shared" si="15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11"/>
        <v>-6.1403508771929731</v>
      </c>
      <c r="J55">
        <f t="shared" si="12"/>
        <v>9.5029239766081837</v>
      </c>
      <c r="K55">
        <f t="shared" si="13"/>
        <v>-6.1403508771929731</v>
      </c>
      <c r="L55">
        <f t="shared" si="14"/>
        <v>-0.64615384615384541</v>
      </c>
      <c r="M55" t="str">
        <f t="shared" si="15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11"/>
        <v>-2.3931623931623878</v>
      </c>
      <c r="J56">
        <f t="shared" si="12"/>
        <v>7.5641025641025621</v>
      </c>
      <c r="K56">
        <f t="shared" si="13"/>
        <v>-2.3931623931623878</v>
      </c>
      <c r="L56">
        <f t="shared" si="14"/>
        <v>-0.31638418079095981</v>
      </c>
      <c r="M56" t="str">
        <f t="shared" si="15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11"/>
        <v>-1.5684015107867721</v>
      </c>
      <c r="J57">
        <f t="shared" si="12"/>
        <v>2.1317457269060958</v>
      </c>
      <c r="K57">
        <f t="shared" si="13"/>
        <v>-1.5684015107867721</v>
      </c>
      <c r="L57">
        <f t="shared" si="14"/>
        <v>-0.73573573573573803</v>
      </c>
      <c r="M57" t="str">
        <f t="shared" si="15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11"/>
        <v>9.6680841011103258</v>
      </c>
      <c r="J58">
        <f t="shared" si="12"/>
        <v>6.5556343019135337</v>
      </c>
      <c r="K58">
        <f t="shared" si="13"/>
        <v>9.6680841011103258</v>
      </c>
      <c r="L58">
        <f t="shared" si="14"/>
        <v>1.4747747747747757</v>
      </c>
      <c r="M58" t="str">
        <f t="shared" si="15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11"/>
        <v>-5.5927342256214114</v>
      </c>
      <c r="J59">
        <f t="shared" si="12"/>
        <v>4.708413001912044</v>
      </c>
      <c r="K59">
        <f t="shared" si="13"/>
        <v>-5.5927342256214114</v>
      </c>
      <c r="L59">
        <f t="shared" si="14"/>
        <v>-1.1878172588832485</v>
      </c>
      <c r="M59" t="str">
        <f t="shared" si="15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16">(E60-C60)/C60*(100)</f>
        <v>-3.359683794466402</v>
      </c>
      <c r="J60">
        <f t="shared" ref="J60:J74" si="17">(C60-F60)/C60*100</f>
        <v>8.0039525691699662</v>
      </c>
      <c r="K60">
        <f t="shared" ref="K60:K74" si="18">(E60-C60)/C60*100</f>
        <v>-3.359683794466402</v>
      </c>
      <c r="L60">
        <f t="shared" ref="L60:L74" si="19">K60/J60</f>
        <v>-0.41975308641975262</v>
      </c>
      <c r="M60" t="str">
        <f t="shared" ref="M60:M74" si="20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16"/>
        <v>-2.815723445776416</v>
      </c>
      <c r="J61">
        <f t="shared" si="17"/>
        <v>2.801784220797324</v>
      </c>
      <c r="K61">
        <f>(E61-C61)/C61*100</f>
        <v>-2.815723445776416</v>
      </c>
      <c r="L61">
        <f t="shared" si="19"/>
        <v>-1.0049751243781098</v>
      </c>
      <c r="M61" t="str">
        <f t="shared" si="20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16"/>
        <v>-2.6446354212811194</v>
      </c>
      <c r="J62">
        <f t="shared" si="17"/>
        <v>3.3556303712235267</v>
      </c>
      <c r="K62">
        <f t="shared" si="18"/>
        <v>-2.6446354212811194</v>
      </c>
      <c r="L62">
        <f t="shared" si="19"/>
        <v>-0.78811881188118915</v>
      </c>
      <c r="M62" t="str">
        <f t="shared" si="20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16"/>
        <v>-6.1265316329082227</v>
      </c>
      <c r="J63">
        <f t="shared" si="17"/>
        <v>3.2883220805201243</v>
      </c>
      <c r="K63">
        <f t="shared" si="18"/>
        <v>-6.1265316329082227</v>
      </c>
      <c r="L63">
        <f t="shared" si="19"/>
        <v>-1.8631178707224354</v>
      </c>
      <c r="M63" t="str">
        <f t="shared" si="20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16"/>
        <v>3.0479605558045706</v>
      </c>
      <c r="J64">
        <f t="shared" si="17"/>
        <v>4.2357687135813551</v>
      </c>
      <c r="K64">
        <f t="shared" si="18"/>
        <v>3.0479605558045706</v>
      </c>
      <c r="L64">
        <f t="shared" si="19"/>
        <v>0.71957671957671898</v>
      </c>
      <c r="M64" t="str">
        <f t="shared" si="20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16"/>
        <v>-4.9363796786477181</v>
      </c>
      <c r="J65">
        <f t="shared" si="17"/>
        <v>5.9905266090833127</v>
      </c>
      <c r="K65">
        <f t="shared" si="18"/>
        <v>-4.9363796786477181</v>
      </c>
      <c r="L65">
        <f t="shared" si="19"/>
        <v>-0.82403100775193738</v>
      </c>
      <c r="M65" t="str">
        <f t="shared" si="20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0.77280000000000004</v>
      </c>
      <c r="E66">
        <v>23.16</v>
      </c>
      <c r="F66">
        <f t="shared" si="5"/>
        <v>19.540800000000001</v>
      </c>
      <c r="G66" t="s">
        <v>176</v>
      </c>
      <c r="I66">
        <f t="shared" si="16"/>
        <v>11.884057971014498</v>
      </c>
      <c r="J66">
        <f t="shared" si="17"/>
        <v>5.5999999999999925</v>
      </c>
      <c r="K66">
        <f t="shared" si="18"/>
        <v>11.884057971014498</v>
      </c>
      <c r="L66">
        <f t="shared" si="19"/>
        <v>2.1221532091097344</v>
      </c>
      <c r="M66" t="str">
        <f t="shared" si="20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16"/>
        <v>-6.6453050989133473</v>
      </c>
      <c r="J67">
        <f t="shared" si="17"/>
        <v>5.9905266090833127</v>
      </c>
      <c r="K67">
        <f t="shared" si="18"/>
        <v>-6.6453050989133473</v>
      </c>
      <c r="L67">
        <f t="shared" si="19"/>
        <v>-1.109302325581395</v>
      </c>
      <c r="M67" t="str">
        <f t="shared" si="20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0.77280000000000004</v>
      </c>
      <c r="E68">
        <v>18.559999999999999</v>
      </c>
      <c r="F68">
        <f t="shared" si="5"/>
        <v>19.540800000000001</v>
      </c>
      <c r="G68" t="s">
        <v>107</v>
      </c>
      <c r="I68">
        <f t="shared" si="16"/>
        <v>-10.338164251207733</v>
      </c>
      <c r="J68">
        <f t="shared" si="17"/>
        <v>5.5999999999999925</v>
      </c>
      <c r="K68">
        <f t="shared" si="18"/>
        <v>-10.338164251207733</v>
      </c>
      <c r="L68">
        <f t="shared" si="19"/>
        <v>-1.8461007591442404</v>
      </c>
      <c r="M68" t="str">
        <f t="shared" si="20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16"/>
        <v>-4.6436285097192318</v>
      </c>
      <c r="J69">
        <f t="shared" si="17"/>
        <v>5.831533477321817</v>
      </c>
      <c r="K69">
        <f t="shared" si="18"/>
        <v>-4.6436285097192318</v>
      </c>
      <c r="L69">
        <f t="shared" si="19"/>
        <v>-0.7962962962962975</v>
      </c>
      <c r="M69" t="str">
        <f t="shared" si="20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16"/>
        <v>11.110497847444528</v>
      </c>
      <c r="J70">
        <f t="shared" si="17"/>
        <v>3.4192515730213007</v>
      </c>
      <c r="K70">
        <f t="shared" si="18"/>
        <v>11.110497847444528</v>
      </c>
      <c r="L70">
        <f t="shared" si="19"/>
        <v>3.24939467312349</v>
      </c>
      <c r="M70" t="str">
        <f t="shared" si="20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1.07</v>
      </c>
      <c r="E71">
        <v>10.94</v>
      </c>
      <c r="F71">
        <f t="shared" si="5"/>
        <v>7.6950000000000003</v>
      </c>
      <c r="G71" t="s">
        <v>108</v>
      </c>
      <c r="I71">
        <f t="shared" si="16"/>
        <v>17.634408602150522</v>
      </c>
      <c r="J71">
        <f t="shared" si="17"/>
        <v>17.258064516129036</v>
      </c>
      <c r="K71">
        <f t="shared" si="18"/>
        <v>17.634408602150522</v>
      </c>
      <c r="L71">
        <f t="shared" si="19"/>
        <v>1.0218068535825535</v>
      </c>
      <c r="M71" t="str">
        <f t="shared" si="20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1.07</v>
      </c>
      <c r="E72">
        <v>11.75</v>
      </c>
      <c r="F72">
        <f t="shared" si="5"/>
        <v>7.6950000000000003</v>
      </c>
      <c r="G72" t="s">
        <v>149</v>
      </c>
      <c r="I72">
        <f t="shared" si="16"/>
        <v>26.344086021505365</v>
      </c>
      <c r="J72">
        <f t="shared" si="17"/>
        <v>17.258064516129036</v>
      </c>
      <c r="K72">
        <f t="shared" si="18"/>
        <v>26.344086021505365</v>
      </c>
      <c r="L72">
        <f t="shared" si="19"/>
        <v>1.5264797507788153</v>
      </c>
      <c r="M72" t="str">
        <f t="shared" si="20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16"/>
        <v>10.283159463487335</v>
      </c>
      <c r="J73">
        <f t="shared" si="17"/>
        <v>3.3532041728763078</v>
      </c>
      <c r="K73">
        <f t="shared" si="18"/>
        <v>10.283159463487335</v>
      </c>
      <c r="L73">
        <f t="shared" si="19"/>
        <v>3.0666666666666642</v>
      </c>
      <c r="M73" t="str">
        <f t="shared" si="20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16"/>
        <v>11.475409836065586</v>
      </c>
      <c r="J74">
        <f t="shared" si="17"/>
        <v>3.3532041728763078</v>
      </c>
      <c r="K74">
        <f t="shared" si="18"/>
        <v>11.475409836065586</v>
      </c>
      <c r="L74">
        <f t="shared" si="19"/>
        <v>3.4222222222222221</v>
      </c>
      <c r="M74" t="str">
        <f t="shared" si="20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8.4599999999999995E-2</v>
      </c>
      <c r="E75">
        <v>1.45</v>
      </c>
      <c r="F75">
        <f t="shared" si="5"/>
        <v>1.3831</v>
      </c>
      <c r="G75" t="s">
        <v>118</v>
      </c>
      <c r="I75">
        <f t="shared" ref="I75:I92" si="21">(E75-C75)/C75*(100)</f>
        <v>-3.9735099337748379</v>
      </c>
      <c r="J75">
        <f t="shared" ref="J75:J92" si="22">(C75-F75)/C75*100</f>
        <v>8.4039735099337758</v>
      </c>
      <c r="K75">
        <f t="shared" ref="K75:K92" si="23">(E75-C75)/C75*100</f>
        <v>-3.9735099337748379</v>
      </c>
      <c r="L75">
        <f t="shared" ref="L75:L92" si="24">K75/J75</f>
        <v>-0.47281323877068593</v>
      </c>
      <c r="M75" t="str">
        <f t="shared" ref="M75:M92" si="25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21"/>
        <v>2.5203465476502851</v>
      </c>
      <c r="J76">
        <f t="shared" si="22"/>
        <v>2.4809661328432662</v>
      </c>
      <c r="K76">
        <f t="shared" si="23"/>
        <v>2.5203465476502851</v>
      </c>
      <c r="L76">
        <f t="shared" si="24"/>
        <v>1.0158730158730089</v>
      </c>
      <c r="M76" t="str">
        <f t="shared" si="25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21"/>
        <v>30.075187969924805</v>
      </c>
      <c r="J77">
        <f t="shared" si="22"/>
        <v>11.560150375939852</v>
      </c>
      <c r="K77">
        <f t="shared" si="23"/>
        <v>30.075187969924805</v>
      </c>
      <c r="L77">
        <f t="shared" si="24"/>
        <v>2.6016260162601617</v>
      </c>
      <c r="M77" t="str">
        <f t="shared" si="25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2.35</v>
      </c>
      <c r="E78">
        <v>36.22</v>
      </c>
      <c r="F78">
        <f t="shared" si="5"/>
        <v>27.305</v>
      </c>
      <c r="G78" t="s">
        <v>108</v>
      </c>
      <c r="I78">
        <f t="shared" si="21"/>
        <v>17.482971132014274</v>
      </c>
      <c r="J78">
        <f t="shared" si="22"/>
        <v>11.433668504703206</v>
      </c>
      <c r="K78">
        <f t="shared" si="23"/>
        <v>17.482971132014274</v>
      </c>
      <c r="L78">
        <f t="shared" si="24"/>
        <v>1.529078014184398</v>
      </c>
      <c r="M78" t="str">
        <f t="shared" si="25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21"/>
        <v>7.1211463308727767</v>
      </c>
      <c r="J79">
        <f t="shared" si="22"/>
        <v>4.1033434650455938</v>
      </c>
      <c r="K79">
        <f t="shared" si="23"/>
        <v>7.1211463308727767</v>
      </c>
      <c r="L79">
        <f t="shared" si="24"/>
        <v>1.7354497354497356</v>
      </c>
      <c r="M79" t="str">
        <f t="shared" si="25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4.78</v>
      </c>
      <c r="E80">
        <v>104.54</v>
      </c>
      <c r="F80">
        <f t="shared" si="5"/>
        <v>99.679999999999993</v>
      </c>
      <c r="G80" t="s">
        <v>118</v>
      </c>
      <c r="I80">
        <f t="shared" si="21"/>
        <v>-2.1619092185306394</v>
      </c>
      <c r="J80">
        <f t="shared" si="22"/>
        <v>6.7103416003743588</v>
      </c>
      <c r="K80">
        <f t="shared" si="23"/>
        <v>-2.1619092185306394</v>
      </c>
      <c r="L80">
        <f t="shared" si="24"/>
        <v>-0.32217573221757145</v>
      </c>
      <c r="M80" t="str">
        <f t="shared" si="25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1.07</v>
      </c>
      <c r="E81">
        <v>11.23</v>
      </c>
      <c r="F81">
        <f t="shared" si="5"/>
        <v>7.6950000000000003</v>
      </c>
      <c r="G81" t="s">
        <v>152</v>
      </c>
      <c r="I81">
        <f t="shared" si="21"/>
        <v>20.752688172043008</v>
      </c>
      <c r="J81">
        <f t="shared" si="22"/>
        <v>17.258064516129036</v>
      </c>
      <c r="K81">
        <f t="shared" si="23"/>
        <v>20.752688172043008</v>
      </c>
      <c r="L81">
        <f t="shared" si="24"/>
        <v>1.2024922118380059</v>
      </c>
      <c r="M81" t="str">
        <f t="shared" si="25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8.4599999999999995E-2</v>
      </c>
      <c r="E82">
        <v>1.82</v>
      </c>
      <c r="F82">
        <f t="shared" si="5"/>
        <v>1.3631</v>
      </c>
      <c r="G82" t="s">
        <v>176</v>
      </c>
      <c r="I82">
        <f t="shared" si="21"/>
        <v>22.147651006711413</v>
      </c>
      <c r="J82">
        <f t="shared" si="22"/>
        <v>8.5167785234899327</v>
      </c>
      <c r="K82">
        <f t="shared" si="23"/>
        <v>22.147651006711413</v>
      </c>
      <c r="L82">
        <f t="shared" si="24"/>
        <v>2.6004728132387713</v>
      </c>
      <c r="M82" t="str">
        <f t="shared" si="25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21"/>
        <v>0.46948356807511077</v>
      </c>
      <c r="J83">
        <f t="shared" si="22"/>
        <v>1.977619139494494</v>
      </c>
      <c r="K83">
        <f t="shared" si="23"/>
        <v>0.46948356807511077</v>
      </c>
      <c r="L83">
        <f t="shared" si="24"/>
        <v>0.23739837398373737</v>
      </c>
      <c r="M83" t="str">
        <f t="shared" si="25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2.35</v>
      </c>
      <c r="E84">
        <v>33.24</v>
      </c>
      <c r="F84">
        <f t="shared" si="5"/>
        <v>27.305</v>
      </c>
      <c r="G84" t="s">
        <v>188</v>
      </c>
      <c r="I84">
        <f t="shared" si="21"/>
        <v>7.8170613039247607</v>
      </c>
      <c r="J84">
        <f t="shared" si="22"/>
        <v>11.433668504703206</v>
      </c>
      <c r="K84">
        <f t="shared" si="23"/>
        <v>7.8170613039247607</v>
      </c>
      <c r="L84">
        <f t="shared" si="24"/>
        <v>0.68368794326241267</v>
      </c>
      <c r="M84" t="str">
        <f t="shared" si="25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8.4599999999999995E-2</v>
      </c>
      <c r="E85">
        <v>1.62</v>
      </c>
      <c r="F85">
        <f t="shared" si="5"/>
        <v>1.3631</v>
      </c>
      <c r="G85" t="s">
        <v>105</v>
      </c>
      <c r="I85">
        <f t="shared" si="21"/>
        <v>8.7248322147651081</v>
      </c>
      <c r="J85">
        <f t="shared" si="22"/>
        <v>8.5167785234899327</v>
      </c>
      <c r="K85">
        <f t="shared" si="23"/>
        <v>8.7248322147651081</v>
      </c>
      <c r="L85">
        <f t="shared" si="24"/>
        <v>1.0244286840031529</v>
      </c>
      <c r="M85" t="str">
        <f t="shared" si="25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21"/>
        <v>-4.0679387712308612</v>
      </c>
      <c r="J86">
        <f t="shared" si="22"/>
        <v>3.617110505347036</v>
      </c>
      <c r="K86">
        <f t="shared" si="23"/>
        <v>-4.0679387712308612</v>
      </c>
      <c r="L86">
        <f t="shared" si="24"/>
        <v>-1.1246376811594181</v>
      </c>
      <c r="M86" t="str">
        <f t="shared" si="25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21"/>
        <v>0.77175381053443215</v>
      </c>
      <c r="J87">
        <f t="shared" si="22"/>
        <v>1.977619139494494</v>
      </c>
      <c r="K87">
        <f t="shared" si="23"/>
        <v>0.77175381053443215</v>
      </c>
      <c r="L87">
        <f t="shared" si="24"/>
        <v>0.39024390243902213</v>
      </c>
      <c r="M87" t="str">
        <f t="shared" si="25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21"/>
        <v>20.268256333830116</v>
      </c>
      <c r="J88">
        <f t="shared" si="22"/>
        <v>3.3532041728763078</v>
      </c>
      <c r="K88">
        <f t="shared" si="23"/>
        <v>20.268256333830116</v>
      </c>
      <c r="L88">
        <f t="shared" si="24"/>
        <v>6.0444444444444416</v>
      </c>
      <c r="M88" t="str">
        <f t="shared" si="25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31" si="26">C89-(1.5*D89)</f>
        <v>314.98500000000001</v>
      </c>
      <c r="G89" t="s">
        <v>118</v>
      </c>
      <c r="I89">
        <f t="shared" si="21"/>
        <v>-2.1711824869908458</v>
      </c>
      <c r="J89">
        <f t="shared" si="22"/>
        <v>5.8002870985106707</v>
      </c>
      <c r="K89">
        <f t="shared" si="23"/>
        <v>-2.1711824869908458</v>
      </c>
      <c r="L89">
        <f t="shared" si="24"/>
        <v>-0.37432327919566888</v>
      </c>
      <c r="M89" t="str">
        <f t="shared" si="25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26"/>
        <v>80.809999999999988</v>
      </c>
      <c r="G90" t="s">
        <v>105</v>
      </c>
      <c r="I90">
        <f t="shared" si="21"/>
        <v>0.26796589524969411</v>
      </c>
      <c r="J90">
        <f t="shared" si="22"/>
        <v>1.5712545676004948</v>
      </c>
      <c r="K90">
        <f t="shared" si="23"/>
        <v>0.26796589524969411</v>
      </c>
      <c r="L90">
        <f t="shared" si="24"/>
        <v>0.17054263565891303</v>
      </c>
      <c r="M90" t="str">
        <f t="shared" si="25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26"/>
        <v>212.47500000000002</v>
      </c>
      <c r="G91" t="s">
        <v>113</v>
      </c>
      <c r="I91">
        <f t="shared" si="21"/>
        <v>-1.3815042035901024</v>
      </c>
      <c r="J91">
        <f t="shared" si="22"/>
        <v>3.4423994546693879</v>
      </c>
      <c r="K91">
        <f t="shared" si="23"/>
        <v>-1.3815042035901024</v>
      </c>
      <c r="L91">
        <f t="shared" si="24"/>
        <v>-0.40132013201320466</v>
      </c>
      <c r="M91" t="str">
        <f t="shared" si="25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26"/>
        <v>438.61</v>
      </c>
      <c r="G92" t="s">
        <v>118</v>
      </c>
      <c r="I92">
        <f t="shared" si="21"/>
        <v>-4.8650637349319412</v>
      </c>
      <c r="J92">
        <f t="shared" si="22"/>
        <v>5.0771528123444458</v>
      </c>
      <c r="K92">
        <f t="shared" si="23"/>
        <v>-4.8650637349319412</v>
      </c>
      <c r="L92">
        <f t="shared" si="24"/>
        <v>-0.9582267689684586</v>
      </c>
      <c r="M92" t="str">
        <f t="shared" si="25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26"/>
        <v>182.66500000000002</v>
      </c>
      <c r="G93" t="s">
        <v>118</v>
      </c>
      <c r="I93">
        <f t="shared" ref="I93:I116" si="27">(E93-C93)/C93*(100)</f>
        <v>-0.69353228602953898</v>
      </c>
      <c r="J93">
        <f t="shared" ref="J93:J116" si="28">(C93-F93)/C93*100</f>
        <v>4.0272158881941849</v>
      </c>
      <c r="K93">
        <f t="shared" ref="K93:K116" si="29">(E93-C93)/C93*100</f>
        <v>-0.69353228602953898</v>
      </c>
      <c r="L93">
        <f t="shared" ref="L93:L116" si="30">K93/J93</f>
        <v>-0.17221135029354506</v>
      </c>
      <c r="M93" t="str">
        <f t="shared" ref="M93:M116" si="31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26"/>
        <v>313.41500000000002</v>
      </c>
      <c r="G94" t="s">
        <v>118</v>
      </c>
      <c r="I94">
        <f t="shared" si="27"/>
        <v>-2.4097833598749983</v>
      </c>
      <c r="J94">
        <f t="shared" si="28"/>
        <v>5.8276494095730245</v>
      </c>
      <c r="K94">
        <f t="shared" si="29"/>
        <v>-2.4097833598749983</v>
      </c>
      <c r="L94">
        <f t="shared" si="30"/>
        <v>-0.41350863624645467</v>
      </c>
      <c r="M94" t="str">
        <f t="shared" si="31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2.71</v>
      </c>
      <c r="E95">
        <v>55.04</v>
      </c>
      <c r="F95">
        <f t="shared" si="26"/>
        <v>55.135000000000005</v>
      </c>
      <c r="G95" t="s">
        <v>176</v>
      </c>
      <c r="I95">
        <f t="shared" si="27"/>
        <v>-7.0270270270270334</v>
      </c>
      <c r="J95">
        <f t="shared" si="28"/>
        <v>6.8665540540540499</v>
      </c>
      <c r="K95">
        <f t="shared" si="29"/>
        <v>-7.0270270270270334</v>
      </c>
      <c r="L95">
        <f t="shared" si="30"/>
        <v>-1.0233702337023385</v>
      </c>
      <c r="M95" t="str">
        <f t="shared" si="31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26"/>
        <v>19.454999999999998</v>
      </c>
      <c r="G96" t="s">
        <v>244</v>
      </c>
      <c r="I96">
        <f t="shared" si="27"/>
        <v>16.24441132637854</v>
      </c>
      <c r="J96">
        <f t="shared" si="28"/>
        <v>3.3532041728763078</v>
      </c>
      <c r="K96">
        <f t="shared" si="29"/>
        <v>16.24441132637854</v>
      </c>
      <c r="L96">
        <f t="shared" si="30"/>
        <v>4.8444444444444388</v>
      </c>
      <c r="M96" t="str">
        <f t="shared" si="31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0.22</v>
      </c>
      <c r="E97">
        <v>8.73</v>
      </c>
      <c r="F97">
        <f t="shared" si="26"/>
        <v>7.64</v>
      </c>
      <c r="G97" t="s">
        <v>113</v>
      </c>
      <c r="I97">
        <f t="shared" si="27"/>
        <v>9.5357590966123045</v>
      </c>
      <c r="J97">
        <f t="shared" si="28"/>
        <v>4.1405269761606034</v>
      </c>
      <c r="K97">
        <f t="shared" si="29"/>
        <v>9.5357590966123045</v>
      </c>
      <c r="L97">
        <f t="shared" si="30"/>
        <v>2.3030303030303045</v>
      </c>
      <c r="M97" t="str">
        <f t="shared" si="31"/>
        <v>Win</v>
      </c>
      <c r="N97" t="s">
        <v>248</v>
      </c>
    </row>
    <row r="98" spans="1:14" x14ac:dyDescent="0.25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26"/>
        <v>184.095</v>
      </c>
      <c r="G98" t="s">
        <v>176</v>
      </c>
      <c r="I98">
        <f t="shared" si="27"/>
        <v>-4.010221109720483</v>
      </c>
      <c r="J98">
        <f t="shared" si="28"/>
        <v>3.9971839799749649</v>
      </c>
      <c r="K98">
        <f t="shared" si="29"/>
        <v>-4.010221109720483</v>
      </c>
      <c r="L98">
        <f t="shared" si="30"/>
        <v>-1.0032615786040451</v>
      </c>
      <c r="M98" t="str">
        <f t="shared" si="31"/>
        <v>Loss</v>
      </c>
      <c r="N98" t="s">
        <v>249</v>
      </c>
    </row>
    <row r="99" spans="1:14" x14ac:dyDescent="0.25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26"/>
        <v>314.41500000000002</v>
      </c>
      <c r="G99" t="s">
        <v>113</v>
      </c>
      <c r="I99">
        <f t="shared" si="27"/>
        <v>-1.9412240496090645</v>
      </c>
      <c r="J99">
        <f t="shared" si="28"/>
        <v>5.8101914262604426</v>
      </c>
      <c r="K99">
        <f t="shared" si="29"/>
        <v>-1.9412240496090645</v>
      </c>
      <c r="L99">
        <f t="shared" si="30"/>
        <v>-0.33410672853828427</v>
      </c>
      <c r="M99" t="str">
        <f t="shared" si="31"/>
        <v>Loss</v>
      </c>
      <c r="N99" t="s">
        <v>250</v>
      </c>
    </row>
    <row r="100" spans="1:14" x14ac:dyDescent="0.25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26"/>
        <v>4.7050000000000001</v>
      </c>
      <c r="G100" t="s">
        <v>188</v>
      </c>
      <c r="I100">
        <f t="shared" si="27"/>
        <v>4.6992481203007515</v>
      </c>
      <c r="J100">
        <f t="shared" si="28"/>
        <v>11.560150375939852</v>
      </c>
      <c r="K100">
        <f t="shared" si="29"/>
        <v>4.6992481203007515</v>
      </c>
      <c r="L100">
        <f t="shared" si="30"/>
        <v>0.40650406504065029</v>
      </c>
      <c r="M100" t="str">
        <f t="shared" si="31"/>
        <v>Win</v>
      </c>
      <c r="N100" t="s">
        <v>252</v>
      </c>
    </row>
    <row r="101" spans="1:14" x14ac:dyDescent="0.25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26"/>
        <v>52.82</v>
      </c>
      <c r="G101" t="s">
        <v>176</v>
      </c>
      <c r="I101">
        <f t="shared" si="27"/>
        <v>-1.9086692829111671</v>
      </c>
      <c r="J101">
        <f t="shared" si="28"/>
        <v>5.7795219407777418</v>
      </c>
      <c r="K101">
        <f t="shared" si="29"/>
        <v>-1.9086692829111671</v>
      </c>
      <c r="L101">
        <f t="shared" si="30"/>
        <v>-0.33024691358024677</v>
      </c>
      <c r="M101" t="str">
        <f t="shared" si="31"/>
        <v>Loss</v>
      </c>
      <c r="N101" t="s">
        <v>253</v>
      </c>
    </row>
    <row r="102" spans="1:14" x14ac:dyDescent="0.25">
      <c r="A102" s="2">
        <v>46057</v>
      </c>
      <c r="B102" t="s">
        <v>246</v>
      </c>
      <c r="C102">
        <v>7.97</v>
      </c>
      <c r="D102">
        <f>VLOOKUP(B102,'Stop Loss Calculator'!$A$3:$D$999,3,FALSE)</f>
        <v>0.22</v>
      </c>
      <c r="E102">
        <v>8.2200000000000006</v>
      </c>
      <c r="F102">
        <f t="shared" si="26"/>
        <v>7.64</v>
      </c>
      <c r="G102" t="s">
        <v>107</v>
      </c>
      <c r="I102">
        <f t="shared" si="27"/>
        <v>3.1367628607277402</v>
      </c>
      <c r="J102">
        <f t="shared" si="28"/>
        <v>4.1405269761606034</v>
      </c>
      <c r="K102">
        <f t="shared" si="29"/>
        <v>3.1367628607277402</v>
      </c>
      <c r="L102">
        <f t="shared" si="30"/>
        <v>0.75757575757576012</v>
      </c>
      <c r="M102" t="str">
        <f t="shared" si="31"/>
        <v>Win</v>
      </c>
      <c r="N102" t="s">
        <v>254</v>
      </c>
    </row>
    <row r="103" spans="1:14" x14ac:dyDescent="0.25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26"/>
        <v>314.7</v>
      </c>
      <c r="G103" t="s">
        <v>105</v>
      </c>
      <c r="I103">
        <f t="shared" si="27"/>
        <v>-4.5182663108493664</v>
      </c>
      <c r="J103">
        <f t="shared" si="28"/>
        <v>3.4692187356216078</v>
      </c>
      <c r="K103">
        <f t="shared" si="29"/>
        <v>-4.5182663108493664</v>
      </c>
      <c r="L103">
        <f t="shared" si="30"/>
        <v>-1.3023872679045105</v>
      </c>
      <c r="M103" t="str">
        <f t="shared" si="31"/>
        <v>Loss</v>
      </c>
      <c r="N103" t="s">
        <v>256</v>
      </c>
    </row>
    <row r="104" spans="1:14" x14ac:dyDescent="0.25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26"/>
        <v>54.96</v>
      </c>
      <c r="G104" t="s">
        <v>113</v>
      </c>
      <c r="I104">
        <f t="shared" si="27"/>
        <v>-2.5386889236654513</v>
      </c>
      <c r="J104">
        <f t="shared" si="28"/>
        <v>4.4340114762649927</v>
      </c>
      <c r="K104">
        <f t="shared" si="29"/>
        <v>-2.5386889236654513</v>
      </c>
      <c r="L104">
        <f t="shared" si="30"/>
        <v>-0.5725490196078441</v>
      </c>
      <c r="M104" t="str">
        <f t="shared" si="31"/>
        <v>Loss</v>
      </c>
      <c r="N104" t="s">
        <v>258</v>
      </c>
    </row>
    <row r="105" spans="1:14" x14ac:dyDescent="0.25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26"/>
        <v>525.49</v>
      </c>
      <c r="G105" t="s">
        <v>105</v>
      </c>
      <c r="I105">
        <f t="shared" si="27"/>
        <v>-0.74716354579834976</v>
      </c>
      <c r="J105">
        <f t="shared" si="28"/>
        <v>3.0550687205977209</v>
      </c>
      <c r="K105">
        <f t="shared" si="29"/>
        <v>-0.74716354579834976</v>
      </c>
      <c r="L105">
        <f t="shared" si="30"/>
        <v>-0.24456521739130241</v>
      </c>
      <c r="M105" t="str">
        <f t="shared" si="31"/>
        <v>Loss</v>
      </c>
      <c r="N105" t="s">
        <v>259</v>
      </c>
    </row>
    <row r="106" spans="1:14" x14ac:dyDescent="0.25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26"/>
        <v>27.61</v>
      </c>
      <c r="G106" t="s">
        <v>118</v>
      </c>
      <c r="I106">
        <f t="shared" si="27"/>
        <v>-3.8674033149171305</v>
      </c>
      <c r="J106">
        <f t="shared" si="28"/>
        <v>4.661602209944756</v>
      </c>
      <c r="K106">
        <f t="shared" si="29"/>
        <v>-3.8674033149171305</v>
      </c>
      <c r="L106">
        <f t="shared" si="30"/>
        <v>-0.82962962962962949</v>
      </c>
      <c r="M106" t="str">
        <f t="shared" si="31"/>
        <v>Loss</v>
      </c>
      <c r="N106" t="s">
        <v>260</v>
      </c>
    </row>
    <row r="107" spans="1:14" x14ac:dyDescent="0.25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26"/>
        <v>174.88500000000002</v>
      </c>
      <c r="G107" t="s">
        <v>261</v>
      </c>
      <c r="I107">
        <f t="shared" si="27"/>
        <v>6.875414181577197</v>
      </c>
      <c r="J107">
        <f t="shared" si="28"/>
        <v>3.4211398277004599</v>
      </c>
      <c r="K107">
        <f t="shared" si="29"/>
        <v>6.875414181577197</v>
      </c>
      <c r="L107">
        <f t="shared" si="30"/>
        <v>2.0096852300242136</v>
      </c>
      <c r="M107" t="str">
        <f t="shared" si="31"/>
        <v>Win</v>
      </c>
      <c r="N107" t="s">
        <v>262</v>
      </c>
    </row>
    <row r="108" spans="1:14" x14ac:dyDescent="0.25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26"/>
        <v>55.72</v>
      </c>
      <c r="G108" t="s">
        <v>176</v>
      </c>
      <c r="I108">
        <f t="shared" si="27"/>
        <v>-5.5970149253731414</v>
      </c>
      <c r="J108">
        <f t="shared" si="28"/>
        <v>5.495251017639081</v>
      </c>
      <c r="K108">
        <f t="shared" si="29"/>
        <v>-5.5970149253731414</v>
      </c>
      <c r="L108">
        <f t="shared" si="30"/>
        <v>-1.018518518518519</v>
      </c>
      <c r="M108" t="str">
        <f t="shared" si="31"/>
        <v>Loss</v>
      </c>
      <c r="N108" t="s">
        <v>265</v>
      </c>
    </row>
    <row r="109" spans="1:14" x14ac:dyDescent="0.25">
      <c r="A109" s="2">
        <v>46064</v>
      </c>
      <c r="B109" t="s">
        <v>122</v>
      </c>
      <c r="C109">
        <v>10.08</v>
      </c>
      <c r="D109">
        <f>VLOOKUP(B109,'Stop Loss Calculator'!$A$3:$D$999,3,FALSE)</f>
        <v>1.18</v>
      </c>
      <c r="E109">
        <v>9.39</v>
      </c>
      <c r="F109">
        <f t="shared" si="26"/>
        <v>8.31</v>
      </c>
      <c r="G109" t="s">
        <v>113</v>
      </c>
      <c r="I109">
        <f t="shared" si="27"/>
        <v>-6.8452380952380905</v>
      </c>
      <c r="J109">
        <f t="shared" si="28"/>
        <v>17.559523809523807</v>
      </c>
      <c r="K109">
        <f t="shared" si="29"/>
        <v>-6.8452380952380905</v>
      </c>
      <c r="L109">
        <f t="shared" si="30"/>
        <v>-0.38983050847457607</v>
      </c>
      <c r="M109" t="str">
        <f t="shared" si="31"/>
        <v>Loss</v>
      </c>
      <c r="N109" t="s">
        <v>267</v>
      </c>
    </row>
    <row r="110" spans="1:14" x14ac:dyDescent="0.25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26"/>
        <v>55.970000000000006</v>
      </c>
      <c r="G110" t="s">
        <v>176</v>
      </c>
      <c r="I110">
        <f t="shared" si="27"/>
        <v>9.07382091592617</v>
      </c>
      <c r="J110">
        <f t="shared" si="28"/>
        <v>4.3574846206425102</v>
      </c>
      <c r="K110">
        <f t="shared" si="29"/>
        <v>9.07382091592617</v>
      </c>
      <c r="L110">
        <f t="shared" si="30"/>
        <v>2.0823529411764712</v>
      </c>
      <c r="M110" t="str">
        <f t="shared" si="31"/>
        <v>Win</v>
      </c>
      <c r="N110" t="s">
        <v>268</v>
      </c>
    </row>
    <row r="111" spans="1:14" x14ac:dyDescent="0.25">
      <c r="A111" s="2">
        <v>46065</v>
      </c>
      <c r="B111" t="s">
        <v>63</v>
      </c>
      <c r="C111">
        <v>11.64</v>
      </c>
      <c r="D111">
        <f>VLOOKUP(B111,'Stop Loss Calculator'!$A$3:$D$999,3,FALSE)</f>
        <v>0.84</v>
      </c>
      <c r="E111">
        <v>11.29</v>
      </c>
      <c r="F111">
        <f t="shared" si="26"/>
        <v>10.38</v>
      </c>
      <c r="G111" t="s">
        <v>113</v>
      </c>
      <c r="I111">
        <f t="shared" si="27"/>
        <v>-3.0068728522336894</v>
      </c>
      <c r="J111">
        <f t="shared" si="28"/>
        <v>10.824742268041234</v>
      </c>
      <c r="K111">
        <f t="shared" si="29"/>
        <v>-3.0068728522336894</v>
      </c>
      <c r="L111">
        <f t="shared" si="30"/>
        <v>-0.27777777777777901</v>
      </c>
      <c r="M111" t="str">
        <f t="shared" si="31"/>
        <v>Loss</v>
      </c>
      <c r="N111" t="s">
        <v>269</v>
      </c>
    </row>
    <row r="112" spans="1:14" x14ac:dyDescent="0.25">
      <c r="A112" s="2">
        <v>46065</v>
      </c>
      <c r="B112" t="s">
        <v>264</v>
      </c>
      <c r="C112">
        <v>33.93</v>
      </c>
      <c r="D112">
        <f>VLOOKUP(B112,'Stop Loss Calculator'!$A$3:$D$999,3,FALSE)</f>
        <v>2.08</v>
      </c>
      <c r="E112">
        <v>31.3</v>
      </c>
      <c r="F112">
        <f t="shared" si="26"/>
        <v>30.81</v>
      </c>
      <c r="G112" t="s">
        <v>176</v>
      </c>
      <c r="I112">
        <f t="shared" si="27"/>
        <v>-7.7512525788387823</v>
      </c>
      <c r="J112">
        <f t="shared" si="28"/>
        <v>9.1954022988505777</v>
      </c>
      <c r="K112">
        <f t="shared" si="29"/>
        <v>-7.7512525788387823</v>
      </c>
      <c r="L112">
        <f t="shared" si="30"/>
        <v>-0.84294871794871729</v>
      </c>
      <c r="M112" t="str">
        <f t="shared" si="31"/>
        <v>Loss</v>
      </c>
      <c r="N112" t="s">
        <v>270</v>
      </c>
    </row>
    <row r="113" spans="1:14" x14ac:dyDescent="0.25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26"/>
        <v>87.95</v>
      </c>
      <c r="G113" t="s">
        <v>271</v>
      </c>
      <c r="I113">
        <f t="shared" si="27"/>
        <v>-3.8511607724018351</v>
      </c>
      <c r="J113">
        <f t="shared" si="28"/>
        <v>4.5888479062703453</v>
      </c>
      <c r="K113">
        <f t="shared" si="29"/>
        <v>-3.8511607724018351</v>
      </c>
      <c r="L113">
        <f t="shared" si="30"/>
        <v>-0.83924349881796878</v>
      </c>
      <c r="M113" t="str">
        <f t="shared" si="31"/>
        <v>Loss</v>
      </c>
      <c r="N113" t="s">
        <v>272</v>
      </c>
    </row>
    <row r="114" spans="1:14" x14ac:dyDescent="0.25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26"/>
        <v>52.54</v>
      </c>
      <c r="G114" t="s">
        <v>271</v>
      </c>
      <c r="I114">
        <f t="shared" si="27"/>
        <v>-2.0898834843721148</v>
      </c>
      <c r="J114">
        <f t="shared" si="28"/>
        <v>2.8296652487516205</v>
      </c>
      <c r="K114">
        <f t="shared" si="29"/>
        <v>-2.0898834843721148</v>
      </c>
      <c r="L114">
        <f t="shared" si="30"/>
        <v>-0.73856209150326901</v>
      </c>
      <c r="M114" t="str">
        <f t="shared" si="31"/>
        <v>Loss</v>
      </c>
      <c r="N114" t="s">
        <v>273</v>
      </c>
    </row>
    <row r="115" spans="1:14" x14ac:dyDescent="0.25">
      <c r="A115" s="2">
        <v>46070</v>
      </c>
      <c r="B115" t="s">
        <v>123</v>
      </c>
      <c r="C115">
        <v>10.31</v>
      </c>
      <c r="D115">
        <f>VLOOKUP(B115,'Stop Loss Calculator'!$A$3:$D$999,3,FALSE)</f>
        <v>0.91759999999999997</v>
      </c>
      <c r="E115">
        <v>9.8800000000000008</v>
      </c>
      <c r="F115">
        <f t="shared" si="26"/>
        <v>8.9336000000000002</v>
      </c>
      <c r="G115" t="s">
        <v>118</v>
      </c>
      <c r="I115">
        <f t="shared" si="27"/>
        <v>-4.170708050436466</v>
      </c>
      <c r="J115">
        <f t="shared" si="28"/>
        <v>13.350145489815715</v>
      </c>
      <c r="K115">
        <f t="shared" si="29"/>
        <v>-4.170708050436466</v>
      </c>
      <c r="L115">
        <f t="shared" si="30"/>
        <v>-0.31240918337692503</v>
      </c>
      <c r="M115" t="str">
        <f t="shared" si="31"/>
        <v>Loss</v>
      </c>
      <c r="N115" t="s">
        <v>274</v>
      </c>
    </row>
    <row r="116" spans="1:14" x14ac:dyDescent="0.25">
      <c r="A116" s="2">
        <v>46071</v>
      </c>
      <c r="B116" t="s">
        <v>19</v>
      </c>
      <c r="C116">
        <v>40.99</v>
      </c>
      <c r="D116">
        <f>VLOOKUP(B116,'Stop Loss Calculator'!$A$3:$D$999,3,FALSE)</f>
        <v>0.63</v>
      </c>
      <c r="E116">
        <v>42.04</v>
      </c>
      <c r="F116">
        <f t="shared" si="26"/>
        <v>40.045000000000002</v>
      </c>
      <c r="G116" t="s">
        <v>105</v>
      </c>
      <c r="I116">
        <f t="shared" si="27"/>
        <v>2.5616003903391</v>
      </c>
      <c r="J116">
        <f t="shared" si="28"/>
        <v>2.3054403513051969</v>
      </c>
      <c r="K116">
        <f t="shared" si="29"/>
        <v>2.5616003903391</v>
      </c>
      <c r="L116">
        <f t="shared" si="30"/>
        <v>1.1111111111111078</v>
      </c>
      <c r="M116" t="str">
        <f t="shared" si="31"/>
        <v>Win</v>
      </c>
      <c r="N116" t="s">
        <v>277</v>
      </c>
    </row>
    <row r="117" spans="1:14" x14ac:dyDescent="0.25">
      <c r="A117" s="2">
        <v>46071</v>
      </c>
      <c r="B117" t="s">
        <v>145</v>
      </c>
      <c r="C117">
        <v>36.229999999999997</v>
      </c>
      <c r="D117">
        <f>VLOOKUP(B117,'Stop Loss Calculator'!$A$3:$D$999,3,FALSE)</f>
        <v>1.06</v>
      </c>
      <c r="E117">
        <v>36.700000000000003</v>
      </c>
      <c r="F117">
        <f t="shared" si="26"/>
        <v>34.639999999999993</v>
      </c>
      <c r="G117" t="s">
        <v>171</v>
      </c>
      <c r="I117">
        <f t="shared" ref="I117:I131" si="32">(E117-C117)/C117*(100)</f>
        <v>1.2972674579078278</v>
      </c>
      <c r="J117">
        <f t="shared" ref="J117:J131" si="33">(C117-F117)/C117*100</f>
        <v>4.3886282086668604</v>
      </c>
      <c r="K117">
        <f t="shared" ref="K117:K131" si="34">(E117-C117)/C117*100</f>
        <v>1.2972674579078278</v>
      </c>
      <c r="L117">
        <f t="shared" ref="L117:L131" si="35">K117/J117</f>
        <v>0.29559748427673271</v>
      </c>
      <c r="M117" t="str">
        <f t="shared" ref="M117:M131" si="36">IF(I117&gt;0,"Win","Loss")</f>
        <v>Win</v>
      </c>
      <c r="N117" t="s">
        <v>277</v>
      </c>
    </row>
    <row r="118" spans="1:14" x14ac:dyDescent="0.25">
      <c r="A118" s="2">
        <v>46072</v>
      </c>
      <c r="B118" t="s">
        <v>251</v>
      </c>
      <c r="C118">
        <v>19.23</v>
      </c>
      <c r="D118">
        <f>VLOOKUP(B118,'Stop Loss Calculator'!$A$3:$D$999,3,FALSE)</f>
        <v>0.4</v>
      </c>
      <c r="E118">
        <v>19.350000000000001</v>
      </c>
      <c r="F118">
        <f t="shared" si="26"/>
        <v>18.63</v>
      </c>
      <c r="G118" t="s">
        <v>108</v>
      </c>
      <c r="I118">
        <f t="shared" si="32"/>
        <v>0.62402496099844507</v>
      </c>
      <c r="J118">
        <f t="shared" si="33"/>
        <v>3.1201248049922072</v>
      </c>
      <c r="K118">
        <f t="shared" si="34"/>
        <v>0.62402496099844507</v>
      </c>
      <c r="L118">
        <f t="shared" si="35"/>
        <v>0.20000000000000115</v>
      </c>
      <c r="M118" t="str">
        <f t="shared" si="36"/>
        <v>Win</v>
      </c>
      <c r="N118" t="s">
        <v>278</v>
      </c>
    </row>
    <row r="119" spans="1:14" x14ac:dyDescent="0.25">
      <c r="A119" s="2">
        <v>46072</v>
      </c>
      <c r="B119" t="s">
        <v>135</v>
      </c>
      <c r="C119">
        <v>27.83</v>
      </c>
      <c r="D119">
        <f>VLOOKUP(B119,'Stop Loss Calculator'!$A$3:$D$999,3,FALSE)</f>
        <v>0.63</v>
      </c>
      <c r="E119">
        <v>26.95</v>
      </c>
      <c r="F119">
        <f t="shared" si="26"/>
        <v>26.884999999999998</v>
      </c>
      <c r="G119" t="s">
        <v>107</v>
      </c>
      <c r="I119">
        <f t="shared" si="32"/>
        <v>-3.1620553359683758</v>
      </c>
      <c r="J119">
        <f t="shared" si="33"/>
        <v>3.3956162414660449</v>
      </c>
      <c r="K119">
        <f t="shared" si="34"/>
        <v>-3.1620553359683758</v>
      </c>
      <c r="L119">
        <f t="shared" si="35"/>
        <v>-0.93121693121692983</v>
      </c>
      <c r="M119" t="str">
        <f t="shared" si="36"/>
        <v>Loss</v>
      </c>
      <c r="N119" t="s">
        <v>279</v>
      </c>
    </row>
    <row r="120" spans="1:14" x14ac:dyDescent="0.25">
      <c r="A120" s="2">
        <v>46072</v>
      </c>
      <c r="B120" t="s">
        <v>19</v>
      </c>
      <c r="C120">
        <v>40.99</v>
      </c>
      <c r="D120">
        <f>VLOOKUP(B120,'Stop Loss Calculator'!$A$3:$D$999,3,FALSE)</f>
        <v>0.63</v>
      </c>
      <c r="E120">
        <v>42.45</v>
      </c>
      <c r="F120">
        <f t="shared" si="26"/>
        <v>40.045000000000002</v>
      </c>
      <c r="G120" t="s">
        <v>280</v>
      </c>
      <c r="I120">
        <f t="shared" si="32"/>
        <v>3.5618443522810459</v>
      </c>
      <c r="J120">
        <f t="shared" si="33"/>
        <v>2.3054403513051969</v>
      </c>
      <c r="K120">
        <f t="shared" si="34"/>
        <v>3.5618443522810459</v>
      </c>
      <c r="L120">
        <f t="shared" si="35"/>
        <v>1.5449735449735453</v>
      </c>
      <c r="M120" t="str">
        <f t="shared" si="36"/>
        <v>Win</v>
      </c>
      <c r="N120" t="s">
        <v>281</v>
      </c>
    </row>
    <row r="121" spans="1:14" x14ac:dyDescent="0.25">
      <c r="A121" s="2">
        <v>46072</v>
      </c>
      <c r="B121" t="s">
        <v>145</v>
      </c>
      <c r="C121">
        <v>36.229999999999997</v>
      </c>
      <c r="D121">
        <f>VLOOKUP(B121,'Stop Loss Calculator'!$A$3:$D$999,3,FALSE)</f>
        <v>1.06</v>
      </c>
      <c r="E121">
        <v>35.82</v>
      </c>
      <c r="F121">
        <f t="shared" si="26"/>
        <v>34.639999999999993</v>
      </c>
      <c r="G121" t="s">
        <v>271</v>
      </c>
      <c r="I121">
        <f t="shared" si="32"/>
        <v>-1.1316588462599964</v>
      </c>
      <c r="J121">
        <f t="shared" si="33"/>
        <v>4.3886282086668604</v>
      </c>
      <c r="K121">
        <f t="shared" si="34"/>
        <v>-1.1316588462599964</v>
      </c>
      <c r="L121">
        <f t="shared" si="35"/>
        <v>-0.25786163522012312</v>
      </c>
      <c r="M121" t="str">
        <f t="shared" si="36"/>
        <v>Loss</v>
      </c>
      <c r="N121" t="s">
        <v>282</v>
      </c>
    </row>
    <row r="122" spans="1:14" x14ac:dyDescent="0.25">
      <c r="A122" s="2">
        <v>46076</v>
      </c>
      <c r="B122" t="s">
        <v>275</v>
      </c>
      <c r="C122">
        <v>291.26</v>
      </c>
      <c r="D122">
        <f>VLOOKUP(B122,'Stop Loss Calculator'!$A$3:$D$999,3,FALSE)</f>
        <v>10.37</v>
      </c>
      <c r="E122">
        <v>287.49</v>
      </c>
      <c r="F122">
        <f t="shared" si="26"/>
        <v>275.70499999999998</v>
      </c>
      <c r="G122" t="s">
        <v>105</v>
      </c>
      <c r="I122">
        <f t="shared" si="32"/>
        <v>-1.2943761587584912</v>
      </c>
      <c r="J122">
        <f t="shared" si="33"/>
        <v>5.3405891643205408</v>
      </c>
      <c r="K122">
        <f t="shared" si="34"/>
        <v>-1.2943761587584912</v>
      </c>
      <c r="L122">
        <f t="shared" si="35"/>
        <v>-0.24236579877852651</v>
      </c>
      <c r="M122" t="str">
        <f t="shared" si="36"/>
        <v>Loss</v>
      </c>
      <c r="N122" t="s">
        <v>283</v>
      </c>
    </row>
    <row r="123" spans="1:14" x14ac:dyDescent="0.25">
      <c r="A123" s="2">
        <v>46077</v>
      </c>
      <c r="B123" t="s">
        <v>122</v>
      </c>
      <c r="C123">
        <v>11.15</v>
      </c>
      <c r="D123">
        <f>VLOOKUP(B123,'Stop Loss Calculator'!$A$3:$D$999,3,FALSE)</f>
        <v>1.18</v>
      </c>
      <c r="E123">
        <v>9.82</v>
      </c>
      <c r="F123">
        <f t="shared" si="26"/>
        <v>9.3800000000000008</v>
      </c>
      <c r="G123" t="s">
        <v>107</v>
      </c>
      <c r="I123">
        <f t="shared" si="32"/>
        <v>-11.928251121076233</v>
      </c>
      <c r="J123">
        <f t="shared" si="33"/>
        <v>15.874439461883405</v>
      </c>
      <c r="K123">
        <f t="shared" si="34"/>
        <v>-11.928251121076233</v>
      </c>
      <c r="L123">
        <f t="shared" si="35"/>
        <v>-0.75141242937853125</v>
      </c>
      <c r="M123" t="str">
        <f t="shared" si="36"/>
        <v>Loss</v>
      </c>
      <c r="N123" t="s">
        <v>285</v>
      </c>
    </row>
    <row r="124" spans="1:14" x14ac:dyDescent="0.25">
      <c r="A124" s="2">
        <v>46077</v>
      </c>
      <c r="B124" t="s">
        <v>67</v>
      </c>
      <c r="C124">
        <v>58.52</v>
      </c>
      <c r="D124">
        <f>VLOOKUP(B124,'Stop Loss Calculator'!$A$3:$D$999,3,FALSE)</f>
        <v>1.7</v>
      </c>
      <c r="E124">
        <v>63.075000000000003</v>
      </c>
      <c r="F124">
        <f t="shared" si="26"/>
        <v>55.970000000000006</v>
      </c>
      <c r="G124" t="s">
        <v>162</v>
      </c>
      <c r="I124">
        <f t="shared" si="32"/>
        <v>7.7836637047163357</v>
      </c>
      <c r="J124">
        <f t="shared" si="33"/>
        <v>4.3574846206425102</v>
      </c>
      <c r="K124">
        <f t="shared" si="34"/>
        <v>7.7836637047163357</v>
      </c>
      <c r="L124">
        <f t="shared" si="35"/>
        <v>1.7862745098039237</v>
      </c>
      <c r="M124" t="str">
        <f t="shared" si="36"/>
        <v>Win</v>
      </c>
      <c r="N124" t="s">
        <v>286</v>
      </c>
    </row>
    <row r="125" spans="1:14" x14ac:dyDescent="0.25">
      <c r="A125" s="2">
        <v>46077</v>
      </c>
      <c r="B125" t="s">
        <v>123</v>
      </c>
      <c r="C125">
        <v>10.37</v>
      </c>
      <c r="D125">
        <f>VLOOKUP(B125,'Stop Loss Calculator'!$A$3:$D$999,3,FALSE)</f>
        <v>0.91759999999999997</v>
      </c>
      <c r="E125">
        <v>11.765000000000001</v>
      </c>
      <c r="F125">
        <f t="shared" si="26"/>
        <v>8.9935999999999989</v>
      </c>
      <c r="G125" t="s">
        <v>105</v>
      </c>
      <c r="I125">
        <f t="shared" si="32"/>
        <v>13.452266152362599</v>
      </c>
      <c r="J125">
        <f t="shared" si="33"/>
        <v>13.272902603664422</v>
      </c>
      <c r="K125">
        <f t="shared" si="34"/>
        <v>13.452266152362599</v>
      </c>
      <c r="L125">
        <f t="shared" si="35"/>
        <v>1.0135135135135143</v>
      </c>
      <c r="M125" t="str">
        <f t="shared" si="36"/>
        <v>Win</v>
      </c>
      <c r="N125" t="s">
        <v>288</v>
      </c>
    </row>
    <row r="126" spans="1:14" x14ac:dyDescent="0.25">
      <c r="A126" s="2">
        <v>46078</v>
      </c>
      <c r="B126" t="s">
        <v>50</v>
      </c>
      <c r="C126">
        <v>4.18</v>
      </c>
      <c r="D126">
        <f>VLOOKUP(B126,'Stop Loss Calculator'!$A$3:$D$999,3,FALSE)</f>
        <v>0.2452</v>
      </c>
      <c r="E126">
        <v>4.29</v>
      </c>
      <c r="F126">
        <f t="shared" si="26"/>
        <v>3.8121999999999998</v>
      </c>
      <c r="G126" t="s">
        <v>113</v>
      </c>
      <c r="I126">
        <f t="shared" si="32"/>
        <v>2.6315789473684288</v>
      </c>
      <c r="J126">
        <f t="shared" si="33"/>
        <v>8.7990430622009548</v>
      </c>
      <c r="K126">
        <f t="shared" si="34"/>
        <v>2.6315789473684288</v>
      </c>
      <c r="L126">
        <f t="shared" si="35"/>
        <v>0.29907558455682531</v>
      </c>
      <c r="M126" t="str">
        <f t="shared" si="36"/>
        <v>Win</v>
      </c>
      <c r="N126" t="s">
        <v>289</v>
      </c>
    </row>
    <row r="127" spans="1:14" x14ac:dyDescent="0.25">
      <c r="A127" s="2">
        <v>46083</v>
      </c>
      <c r="B127" t="s">
        <v>20</v>
      </c>
      <c r="C127">
        <v>75.67</v>
      </c>
      <c r="D127">
        <f>VLOOKUP(B127,'Stop Loss Calculator'!$A$3:$D$999,3,FALSE)</f>
        <v>1.68</v>
      </c>
      <c r="E127">
        <v>82.37</v>
      </c>
      <c r="F127">
        <f t="shared" si="26"/>
        <v>73.150000000000006</v>
      </c>
      <c r="G127" t="s">
        <v>294</v>
      </c>
      <c r="I127">
        <f t="shared" si="32"/>
        <v>8.8542354962336489</v>
      </c>
      <c r="J127">
        <f t="shared" si="33"/>
        <v>3.3302497687326493</v>
      </c>
      <c r="K127">
        <f t="shared" si="34"/>
        <v>8.8542354962336489</v>
      </c>
      <c r="L127">
        <f t="shared" si="35"/>
        <v>2.6587301587301639</v>
      </c>
      <c r="M127" t="str">
        <f t="shared" si="36"/>
        <v>Win</v>
      </c>
      <c r="N127" t="s">
        <v>295</v>
      </c>
    </row>
    <row r="128" spans="1:14" x14ac:dyDescent="0.25">
      <c r="A128" s="2">
        <v>46083</v>
      </c>
      <c r="B128" t="s">
        <v>246</v>
      </c>
      <c r="C128">
        <v>8.2899999999999991</v>
      </c>
      <c r="D128">
        <f>VLOOKUP(B128,'Stop Loss Calculator'!$A$3:$D$999,3,FALSE)</f>
        <v>0.22</v>
      </c>
      <c r="E128">
        <v>7.86</v>
      </c>
      <c r="F128">
        <f t="shared" si="26"/>
        <v>7.9599999999999991</v>
      </c>
      <c r="G128" t="s">
        <v>152</v>
      </c>
      <c r="I128">
        <f t="shared" si="32"/>
        <v>-5.1869722557297813</v>
      </c>
      <c r="J128">
        <f t="shared" si="33"/>
        <v>3.980699638118216</v>
      </c>
      <c r="K128">
        <f t="shared" si="34"/>
        <v>-5.1869722557297813</v>
      </c>
      <c r="L128">
        <f t="shared" si="35"/>
        <v>-1.3030303030302992</v>
      </c>
      <c r="M128" t="str">
        <f t="shared" si="36"/>
        <v>Loss</v>
      </c>
      <c r="N128" t="s">
        <v>296</v>
      </c>
    </row>
    <row r="129" spans="1:14" x14ac:dyDescent="0.25">
      <c r="A129" s="2">
        <v>46084</v>
      </c>
      <c r="B129" t="s">
        <v>123</v>
      </c>
      <c r="C129">
        <v>10.37</v>
      </c>
      <c r="D129">
        <f>VLOOKUP(B129,'Stop Loss Calculator'!$A$3:$D$999,3,FALSE)</f>
        <v>0.91759999999999997</v>
      </c>
      <c r="E129">
        <v>12.27</v>
      </c>
      <c r="F129">
        <f t="shared" si="26"/>
        <v>8.9935999999999989</v>
      </c>
      <c r="G129" t="s">
        <v>149</v>
      </c>
      <c r="I129">
        <f t="shared" si="32"/>
        <v>18.322082931533274</v>
      </c>
      <c r="J129">
        <f t="shared" si="33"/>
        <v>13.272902603664422</v>
      </c>
      <c r="K129">
        <f t="shared" si="34"/>
        <v>18.322082931533274</v>
      </c>
      <c r="L129">
        <f t="shared" si="35"/>
        <v>1.3804126707352511</v>
      </c>
      <c r="M129" t="str">
        <f t="shared" si="36"/>
        <v>Win</v>
      </c>
      <c r="N129" t="s">
        <v>297</v>
      </c>
    </row>
    <row r="130" spans="1:14" x14ac:dyDescent="0.25">
      <c r="A130" s="2">
        <v>46084</v>
      </c>
      <c r="B130" t="s">
        <v>124</v>
      </c>
      <c r="C130">
        <v>152.18</v>
      </c>
      <c r="D130">
        <f>VLOOKUP(B130,'Stop Loss Calculator'!$A$3:$D$999,3,FALSE)</f>
        <v>2.94</v>
      </c>
      <c r="E130">
        <v>156.24</v>
      </c>
      <c r="F130">
        <f t="shared" si="26"/>
        <v>147.77000000000001</v>
      </c>
      <c r="G130" t="s">
        <v>233</v>
      </c>
      <c r="I130">
        <f t="shared" si="32"/>
        <v>2.6678932842686307</v>
      </c>
      <c r="J130">
        <f t="shared" si="33"/>
        <v>2.8978840846366123</v>
      </c>
      <c r="K130">
        <f t="shared" si="34"/>
        <v>2.6678932842686307</v>
      </c>
      <c r="L130">
        <f t="shared" si="35"/>
        <v>0.92063492063492181</v>
      </c>
      <c r="M130" t="str">
        <f t="shared" si="36"/>
        <v>Win</v>
      </c>
      <c r="N130" t="s">
        <v>297</v>
      </c>
    </row>
    <row r="131" spans="1:14" x14ac:dyDescent="0.25">
      <c r="A131" s="2">
        <v>46085</v>
      </c>
      <c r="B131" t="s">
        <v>194</v>
      </c>
      <c r="C131">
        <v>13.39</v>
      </c>
      <c r="D131">
        <f>VLOOKUP(B131,'Stop Loss Calculator'!$A$3:$D$999,3,FALSE)</f>
        <v>0.77280000000000004</v>
      </c>
      <c r="E131">
        <v>12.832000000000001</v>
      </c>
      <c r="F131">
        <f t="shared" si="26"/>
        <v>12.2308</v>
      </c>
      <c r="G131" t="s">
        <v>271</v>
      </c>
      <c r="I131">
        <f t="shared" si="32"/>
        <v>-4.1672890216579521</v>
      </c>
      <c r="J131">
        <f t="shared" si="33"/>
        <v>8.6572068707991061</v>
      </c>
      <c r="K131">
        <f t="shared" si="34"/>
        <v>-4.1672890216579521</v>
      </c>
      <c r="L131">
        <f t="shared" si="35"/>
        <v>-0.48136645962732888</v>
      </c>
      <c r="M131" t="str">
        <f t="shared" si="36"/>
        <v>Loss</v>
      </c>
      <c r="N131" t="s">
        <v>298</v>
      </c>
    </row>
  </sheetData>
  <phoneticPr fontId="1" type="noConversion"/>
  <conditionalFormatting sqref="E23:E131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Alonso</cp:lastModifiedBy>
  <cp:lastPrinted>2025-11-18T17:18:00Z</cp:lastPrinted>
  <dcterms:created xsi:type="dcterms:W3CDTF">2025-10-30T17:34:36Z</dcterms:created>
  <dcterms:modified xsi:type="dcterms:W3CDTF">2026-03-06T17:13:50Z</dcterms:modified>
</cp:coreProperties>
</file>