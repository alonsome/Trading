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ocuments\"/>
    </mc:Choice>
  </mc:AlternateContent>
  <xr:revisionPtr revIDLastSave="0" documentId="13_ncr:1_{22E5E191-DA7D-4BA8-8215-F8808C83D7AC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6" i="3" l="1"/>
  <c r="M96" i="3" s="1"/>
  <c r="K96" i="3"/>
  <c r="D96" i="3"/>
  <c r="F96" i="3" s="1"/>
  <c r="J96" i="3" s="1"/>
  <c r="L96" i="3" s="1"/>
  <c r="D106" i="1"/>
  <c r="D105" i="1"/>
  <c r="I95" i="3"/>
  <c r="M95" i="3"/>
  <c r="K95" i="3"/>
  <c r="D95" i="3"/>
  <c r="F95" i="3" s="1"/>
  <c r="J95" i="3" s="1"/>
  <c r="L95" i="3" s="1"/>
  <c r="I94" i="3"/>
  <c r="M94" i="3"/>
  <c r="K94" i="3"/>
  <c r="D94" i="3"/>
  <c r="F94" i="3" s="1"/>
  <c r="J94" i="3" s="1"/>
  <c r="L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L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L85" i="3" s="1"/>
  <c r="I84" i="3"/>
  <c r="M84" i="3" s="1"/>
  <c r="K84" i="3"/>
  <c r="D84" i="3"/>
  <c r="F84" i="3" s="1"/>
  <c r="J84" i="3" s="1"/>
  <c r="L84" i="3" s="1"/>
  <c r="I83" i="3"/>
  <c r="M83" i="3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L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L77" i="3" s="1"/>
  <c r="I76" i="3"/>
  <c r="M76" i="3" s="1"/>
  <c r="K76" i="3"/>
  <c r="D76" i="3"/>
  <c r="F76" i="3" s="1"/>
  <c r="J76" i="3" s="1"/>
  <c r="L76" i="3" s="1"/>
  <c r="I75" i="3"/>
  <c r="K75" i="3"/>
  <c r="M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L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L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L40" i="3" s="1"/>
  <c r="D41" i="3"/>
  <c r="F41" i="3" s="1"/>
  <c r="J41" i="3" s="1"/>
  <c r="L41" i="3" s="1"/>
  <c r="D42" i="3"/>
  <c r="F42" i="3" s="1"/>
  <c r="J42" i="3" s="1"/>
  <c r="L42" i="3" s="1"/>
  <c r="D43" i="3"/>
  <c r="F43" i="3" s="1"/>
  <c r="J43" i="3" s="1"/>
  <c r="L43" i="3" s="1"/>
  <c r="D44" i="3"/>
  <c r="F44" i="3" s="1"/>
  <c r="J44" i="3" s="1"/>
  <c r="L44" i="3" s="1"/>
  <c r="D45" i="3"/>
  <c r="F45" i="3" s="1"/>
  <c r="J45" i="3" s="1"/>
  <c r="L45" i="3" s="1"/>
  <c r="D46" i="3"/>
  <c r="F46" i="3" s="1"/>
  <c r="J46" i="3" s="1"/>
  <c r="L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L50" i="3" s="1"/>
  <c r="D51" i="3"/>
  <c r="F51" i="3" s="1"/>
  <c r="J51" i="3" s="1"/>
  <c r="L51" i="3" s="1"/>
  <c r="D52" i="3"/>
  <c r="F52" i="3" s="1"/>
  <c r="J52" i="3" s="1"/>
  <c r="L52" i="3" s="1"/>
  <c r="D53" i="3"/>
  <c r="F53" i="3" s="1"/>
  <c r="J53" i="3" s="1"/>
  <c r="L53" i="3" s="1"/>
  <c r="D54" i="3"/>
  <c r="F54" i="3" s="1"/>
  <c r="J54" i="3" s="1"/>
  <c r="L54" i="3" s="1"/>
  <c r="D55" i="3"/>
  <c r="F55" i="3" s="1"/>
  <c r="J55" i="3" s="1"/>
  <c r="L55" i="3" s="1"/>
  <c r="D56" i="3"/>
  <c r="F56" i="3" s="1"/>
  <c r="J56" i="3" s="1"/>
  <c r="L56" i="3" s="1"/>
  <c r="D57" i="3"/>
  <c r="F57" i="3" s="1"/>
  <c r="J57" i="3" s="1"/>
  <c r="L57" i="3" s="1"/>
  <c r="D58" i="3"/>
  <c r="F58" i="3" s="1"/>
  <c r="J58" i="3" s="1"/>
  <c r="L58" i="3" s="1"/>
  <c r="D59" i="3"/>
  <c r="F59" i="3" s="1"/>
  <c r="J59" i="3" s="1"/>
  <c r="L59" i="3" s="1"/>
  <c r="D60" i="3"/>
  <c r="F60" i="3" s="1"/>
  <c r="J60" i="3" s="1"/>
  <c r="L60" i="3" s="1"/>
  <c r="D61" i="3"/>
  <c r="F61" i="3" s="1"/>
  <c r="J61" i="3" s="1"/>
  <c r="L61" i="3" s="1"/>
  <c r="D62" i="3"/>
  <c r="F62" i="3" s="1"/>
  <c r="J62" i="3" s="1"/>
  <c r="L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L66" i="3" s="1"/>
  <c r="D67" i="3"/>
  <c r="F67" i="3" s="1"/>
  <c r="J67" i="3" s="1"/>
  <c r="L67" i="3" s="1"/>
  <c r="D68" i="3"/>
  <c r="F68" i="3" s="1"/>
  <c r="J68" i="3" s="1"/>
  <c r="L68" i="3" s="1"/>
  <c r="D69" i="3"/>
  <c r="F69" i="3" s="1"/>
  <c r="J69" i="3" s="1"/>
  <c r="L69" i="3" s="1"/>
  <c r="D70" i="3"/>
  <c r="F70" i="3" s="1"/>
  <c r="J70" i="3" s="1"/>
  <c r="L70" i="3" s="1"/>
  <c r="D71" i="3"/>
  <c r="F71" i="3" s="1"/>
  <c r="J71" i="3" s="1"/>
  <c r="L71" i="3" s="1"/>
  <c r="D72" i="3"/>
  <c r="F72" i="3" s="1"/>
  <c r="J72" i="3" s="1"/>
  <c r="L72" i="3" s="1"/>
  <c r="D73" i="3"/>
  <c r="F73" i="3" s="1"/>
  <c r="J73" i="3" s="1"/>
  <c r="L73" i="3" s="1"/>
  <c r="D74" i="3"/>
  <c r="F74" i="3" s="1"/>
  <c r="J74" i="3" s="1"/>
  <c r="L74" i="3" s="1"/>
  <c r="D75" i="3"/>
  <c r="F75" i="3" s="1"/>
  <c r="J75" i="3" s="1"/>
  <c r="L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D100" i="1"/>
  <c r="I69" i="3"/>
  <c r="M69" i="3"/>
  <c r="K69" i="3"/>
  <c r="D65" i="1"/>
  <c r="D99" i="1"/>
  <c r="I68" i="3"/>
  <c r="M68" i="3"/>
  <c r="K68" i="3"/>
  <c r="I67" i="3"/>
  <c r="M67" i="3"/>
  <c r="K67" i="3"/>
  <c r="D69" i="1"/>
  <c r="D98" i="1"/>
  <c r="I66" i="3"/>
  <c r="M66" i="3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K60" i="3"/>
  <c r="M60" i="3"/>
  <c r="D51" i="1"/>
  <c r="D90" i="1"/>
  <c r="I59" i="3"/>
  <c r="M59" i="3"/>
  <c r="K59" i="3"/>
  <c r="I58" i="3"/>
  <c r="M58" i="3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/>
  <c r="K53" i="3"/>
  <c r="I52" i="3"/>
  <c r="M52" i="3"/>
  <c r="K52" i="3"/>
  <c r="I51" i="3"/>
  <c r="M51" i="3"/>
  <c r="K51" i="3"/>
  <c r="D84" i="1"/>
  <c r="D88" i="1"/>
  <c r="D87" i="1"/>
  <c r="I50" i="3"/>
  <c r="M50" i="3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/>
  <c r="K38" i="3"/>
  <c r="D66" i="1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62" i="1"/>
  <c r="D59" i="1"/>
  <c r="D26" i="1"/>
  <c r="D24" i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C8" i="2"/>
  <c r="D77" i="1"/>
  <c r="D76" i="1"/>
  <c r="D68" i="1"/>
  <c r="D75" i="1"/>
  <c r="D34" i="1"/>
  <c r="I25" i="3"/>
  <c r="K25" i="3"/>
  <c r="M25" i="3"/>
  <c r="I24" i="3"/>
  <c r="M24" i="3"/>
  <c r="K24" i="3"/>
  <c r="D46" i="1"/>
  <c r="D71" i="1"/>
  <c r="I23" i="3"/>
  <c r="K23" i="3"/>
  <c r="M23" i="3"/>
  <c r="D25" i="1"/>
  <c r="I13" i="3"/>
  <c r="M13" i="3" s="1"/>
  <c r="D63" i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39" i="1"/>
  <c r="D42" i="1"/>
  <c r="D41" i="1"/>
  <c r="D36" i="1"/>
  <c r="D35" i="1"/>
  <c r="D29" i="1"/>
  <c r="C11" i="2" s="1"/>
  <c r="D33" i="1"/>
  <c r="B13" i="2"/>
  <c r="H7" i="1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D23" i="1"/>
  <c r="C7" i="2" s="1"/>
  <c r="B4" i="2"/>
  <c r="B5" i="2"/>
  <c r="B6" i="2"/>
  <c r="B3" i="2"/>
  <c r="D22" i="1"/>
  <c r="C6" i="2" s="1"/>
  <c r="D21" i="1"/>
  <c r="C5" i="2" s="1"/>
  <c r="D20" i="1"/>
  <c r="C3" i="2" s="1"/>
  <c r="D19" i="1"/>
  <c r="D18" i="1"/>
  <c r="D17" i="1"/>
  <c r="D16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92" i="3" l="1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H10" i="1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<sst xmlns="http://schemas.openxmlformats.org/spreadsheetml/2006/main" count="429" uniqueCount="248">
  <si>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</si>
  <si>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</si>
  <si>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</si>
  <si>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</si>
  <si>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</si>
  <si>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</si>
  <si>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</si>
  <si>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</si>
  <si>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</si>
  <si>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</si>
  <si>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</si>
  <si>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</si>
  <si>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</si>
  <si>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</si>
  <si>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</si>
  <si>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</si>
  <si>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</si>
  <si>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</si>
  <si>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</si>
  <si>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</si>
  <si>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</si>
  <si>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</si>
  <si>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</si>
  <si>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</si>
  <si>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</si>
  <si>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</si>
  <si>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</si>
  <si>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</si>
  <si>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</si>
  <si>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</si>
  <si>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</si>
  <si>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</si>
  <si>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</si>
  <si>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</si>
  <si>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</si>
  <si>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</si>
  <si>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</si>
  <si>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</si>
  <si>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</si>
  <si>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</si>
  <si>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</si>
  <si>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</si>
  <si>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</si>
  <si>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</si>
  <si>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</si>
  <si>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</si>
  <si>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</si>
  <si>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</si>
  <si>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</si>
  <si>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</si>
  <si>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</si>
  <si>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</si>
  <si>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</si>
  <si>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</si>
  <si>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</si>
  <si>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</si>
  <si>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</si>
  <si>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</si>
  <si>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</si>
  <si>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</si>
  <si>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</si>
  <si>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</si>
  <si>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</si>
  <si>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</si>
  <si>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</si>
  <si>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</si>
  <si>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</si>
  <si>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</si>
  <si>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</si>
  <si>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</si>
  <si>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</si>
  <si>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</si>
  <si>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</si>
  <si>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</si>
  <si>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</si>
  <si>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</si>
  <si>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</si>
  <si>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</si>
  <si>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</si>
  <si>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</si>
  <si>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</si>
  <si>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</si>
  <si>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</si>
  <si>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</si>
  <si>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</si>
  <si>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</si>
  <si>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</si>
  <si>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</si>
  <si>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</si>
  <si>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</si>
  <si>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</si>
  <si>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</si>
  <si>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</si>
  <si>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</si>
  <si>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</si>
  <si>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</si>
  <si>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</si>
  <si>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</si>
  <si>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</si>
  <si>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</si>
  <si>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</si>
  <si>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</si>
  <si>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</si>
  <si>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</si>
  <si>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</si>
  <si>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</si>
  <si>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</si>
  <si>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</si>
  <si>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</si>
  <si>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</si>
  <si>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</si>
  <si>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</si>
  <si>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</si>
  <si>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</si>
  <si>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</si>
  <si>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</si>
  <si>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</si>
  <si>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</si>
  <si>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</si>
  <si>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</si>
  <si>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</si>
  <si>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</si>
  <si>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</si>
  <si>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</si>
  <si>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</si>
  <si>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</si>
  <si>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</si>
  <si>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</si>
  <si>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</si>
  <si>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</si>
  <si>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</si>
  <si>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</si>
  <si>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</si>
  <si>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</si>
  <si>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</si>
  <si>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</si>
  <si>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</si>
  <si>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</si>
  <si>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</si>
  <si>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</si>
  <si>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</si>
  <si>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</si>
  <si>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</si>
  <si>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</si>
  <si>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</si>
  <si>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</si>
  <si>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</si>
  <si>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</si>
  <si>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</si>
  <si>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</si>
  <si>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</si>
  <si>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</si>
  <si>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</si>
  <si>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</si>
  <si>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</si>
  <si>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</si>
  <si>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</si>
  <si>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</si>
  <si>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</si>
  <si>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</si>
  <si>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</si>
  <si>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</si>
  <si>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</si>
  <si>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</si>
  <si>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</si>
  <si>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</si>
  <si>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</si>
  <si>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</si>
  <si>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</si>
  <si>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</si>
  <si>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</si>
  <si>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</si>
  <si>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</si>
  <si>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</si>
  <si>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</si>
  <si>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</si>
  <si>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</si>
  <si>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</si>
  <si>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</si>
  <si>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</si>
  <si>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</si>
  <si>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</si>
  <si>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</si>
  <si>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</si>
  <si>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</si>
  <si>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</si>
  <si>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</si>
  <si>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</si>
  <si>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</si>
  <si>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</si>
  <si>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</si>
  <si>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</si>
  <si>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</si>
  <si>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</si>
  <si>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</si>
  <si>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</si>
  <si>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</si>
  <si>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</si>
  <si>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</si>
  <si>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</si>
  <si>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</si>
  <si>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</si>
  <si>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</si>
  <si>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</si>
  <si>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</si>
  <si>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</si>
  <si>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</si>
  <si>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</si>
  <si>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</si>
  <si>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</si>
  <si>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</si>
  <si>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</si>
  <si>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</si>
  <si>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</si>
  <si>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</si>
  <si>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</si>
  <si>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</si>
  <si>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</si>
  <si>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</si>
  <si>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</si>
  <si>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</si>
  <si>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</si>
  <si>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</si>
  <si>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</si>
  <si>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</si>
  <si>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</si>
  <si>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</si>
  <si>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</si>
  <si>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</si>
  <si>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</si>
  <si>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</si>
  <si>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</si>
  <si>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</si>
  <si>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</si>
  <si>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</si>
  <si>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</si>
  <si>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</si>
  <si>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</si>
  <si>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</si>
  <si>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</si>
  <si>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</si>
  <si>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</si>
  <si>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</si>
  <si>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</si>
  <si>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</si>
  <si>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</si>
  <si>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</si>
  <si>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IHS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</si>
</sst>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06"/>
  <sheetViews>
    <sheetView tabSelected="1" workbookViewId="0">
      <pane xSplit="5" ySplit="13" topLeftCell="F89" activePane="bottomRight" state="frozen"/>
      <selection pane="topRight" activeCell="F1" sqref="F1"/>
      <selection pane="bottomLeft" activeCell="A14" sqref="A14"/>
      <selection pane="bottomRight" activeCell="C106" sqref="C106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246</v>
      </c>
      <c r="G2" t="s">
        <v>26</v>
      </c>
      <c r="H2">
        <v>9400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7.96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7.6899999999999995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4100</v>
      </c>
    </row>
    <row r="7" spans="1:9" x14ac:dyDescent="0.25">
      <c r="A7" t="s">
        <v>8</v>
      </c>
      <c r="B7">
        <v>20.38</v>
      </c>
      <c r="C7">
        <v>2.5</v>
      </c>
      <c r="D7">
        <f t="shared" si="0"/>
        <v>16.63</v>
      </c>
      <c r="G7" t="s">
        <v>48</v>
      </c>
      <c r="H7">
        <f>$H$2*(H3/100)</f>
        <v>47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0.27000000000000046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174.07407407407376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515.0753768844221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174.07407407407376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47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91.33</v>
      </c>
      <c r="C16">
        <v>5.3</v>
      </c>
      <c r="D16">
        <f t="shared" si="0"/>
        <v>83.38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39.74</v>
      </c>
      <c r="C18">
        <v>0.64</v>
      </c>
      <c r="D18">
        <f t="shared" si="0"/>
        <v>38.78</v>
      </c>
    </row>
    <row r="19" spans="1:4" x14ac:dyDescent="0.25">
      <c r="A19" t="s">
        <v>20</v>
      </c>
      <c r="B19">
        <v>77.92</v>
      </c>
      <c r="C19">
        <v>1.68</v>
      </c>
      <c r="D19">
        <f t="shared" si="0"/>
        <v>75.400000000000006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2.95</v>
      </c>
      <c r="C23">
        <v>0.23599999999999999</v>
      </c>
      <c r="D23">
        <f t="shared" si="0"/>
        <v>2.5960000000000001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3.17</v>
      </c>
      <c r="C27">
        <v>0.28710000000000002</v>
      </c>
      <c r="D27">
        <f t="shared" si="0"/>
        <v>2.73935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6.32</v>
      </c>
      <c r="C30">
        <v>0.21</v>
      </c>
      <c r="D30">
        <f t="shared" si="0"/>
        <v>6.0049999999999999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16.420000000000002</v>
      </c>
      <c r="C35">
        <v>0.98</v>
      </c>
      <c r="D35">
        <f>B35-(1*C35)</f>
        <v>15.440000000000001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57.51</v>
      </c>
      <c r="C39">
        <v>1.44</v>
      </c>
      <c r="D39">
        <f>B39-(1*C39)</f>
        <v>56.07</v>
      </c>
    </row>
    <row r="40" spans="1:4" x14ac:dyDescent="0.25">
      <c r="A40" t="s">
        <v>68</v>
      </c>
      <c r="B40">
        <v>191.56</v>
      </c>
      <c r="C40">
        <v>5.1100000000000003</v>
      </c>
      <c r="D40">
        <f>B40-(1.5*C40)</f>
        <v>183.89500000000001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6.02</v>
      </c>
      <c r="C49">
        <v>0.58540000000000003</v>
      </c>
      <c r="D49">
        <f>B49-(1.5*C49)</f>
        <v>5.1418999999999997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38.479999999999997</v>
      </c>
      <c r="C51">
        <v>0.54</v>
      </c>
      <c r="D51">
        <f>B51-(1.5*C51)</f>
        <v>37.669999999999995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106.85</v>
      </c>
      <c r="C59">
        <v>4.29</v>
      </c>
      <c r="D59">
        <f>B59-(1.5*C59)</f>
        <v>100.41499999999999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8.52</v>
      </c>
      <c r="C62">
        <v>1.03</v>
      </c>
      <c r="D62">
        <f>B62-(1*C62)</f>
        <v>7.4899999999999993</v>
      </c>
    </row>
    <row r="63" spans="1:4" x14ac:dyDescent="0.25">
      <c r="A63" t="s">
        <v>123</v>
      </c>
      <c r="B63">
        <v>9.09</v>
      </c>
      <c r="C63">
        <v>0.49840000000000001</v>
      </c>
      <c r="D63">
        <f>B63-(2*C63)</f>
        <v>8.0931999999999995</v>
      </c>
    </row>
    <row r="64" spans="1:4" x14ac:dyDescent="0.25">
      <c r="A64" t="s">
        <v>124</v>
      </c>
      <c r="B64">
        <v>154.36000000000001</v>
      </c>
      <c r="C64">
        <v>2.94</v>
      </c>
      <c r="D64">
        <f>B64-(1*C64)</f>
        <v>151.42000000000002</v>
      </c>
    </row>
    <row r="65" spans="1:4" x14ac:dyDescent="0.25">
      <c r="A65" t="s">
        <v>125</v>
      </c>
      <c r="B65">
        <v>55.65</v>
      </c>
      <c r="C65">
        <v>1.74</v>
      </c>
      <c r="D65">
        <f>B65-(1.5*C65)</f>
        <v>53.04</v>
      </c>
    </row>
    <row r="66" spans="1:4" x14ac:dyDescent="0.25">
      <c r="A66" t="s">
        <v>126</v>
      </c>
      <c r="B66">
        <v>12.92</v>
      </c>
      <c r="C66">
        <v>1.04</v>
      </c>
      <c r="D66">
        <f>B66-(1*C66)</f>
        <v>11.879999999999999</v>
      </c>
    </row>
    <row r="67" spans="1:4" x14ac:dyDescent="0.25">
      <c r="A67" t="s">
        <v>127</v>
      </c>
      <c r="B67">
        <v>2.17</v>
      </c>
      <c r="C67">
        <v>0.1605</v>
      </c>
      <c r="D67">
        <f t="shared" ref="D67:D71" si="2"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30.83</v>
      </c>
      <c r="C69">
        <v>1.57</v>
      </c>
      <c r="D69">
        <f>B69-(1.5*C69)</f>
        <v>28.474999999999998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 t="shared" si="2"/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26.08</v>
      </c>
      <c r="C73">
        <v>0.64</v>
      </c>
      <c r="D73">
        <f>B73-(1.5*C73)</f>
        <v>25.119999999999997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6.07</v>
      </c>
      <c r="C79">
        <v>0.41</v>
      </c>
      <c r="D79">
        <f>B79-(1.5*C79)</f>
        <v>5.4550000000000001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32.51</v>
      </c>
      <c r="C81">
        <v>1.1299999999999999</v>
      </c>
      <c r="D81">
        <f>B81-(1.5*C81)</f>
        <v>30.814999999999998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3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3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3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3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3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3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3"/>
        <v>58.625</v>
      </c>
    </row>
    <row r="92" spans="1:4" x14ac:dyDescent="0.25">
      <c r="A92" t="s">
        <v>194</v>
      </c>
      <c r="B92">
        <v>20.6</v>
      </c>
      <c r="C92">
        <v>0.71879999999999999</v>
      </c>
      <c r="D92">
        <f t="shared" si="3"/>
        <v>19.521800000000002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3"/>
        <v>10.8066</v>
      </c>
    </row>
    <row r="94" spans="1:4" x14ac:dyDescent="0.25">
      <c r="A94" t="s">
        <v>198</v>
      </c>
      <c r="B94">
        <v>11.98</v>
      </c>
      <c r="C94">
        <v>0.86099999999999999</v>
      </c>
      <c r="D94">
        <f t="shared" si="3"/>
        <v>10.688500000000001</v>
      </c>
    </row>
    <row r="95" spans="1:4" x14ac:dyDescent="0.25">
      <c r="A95" t="s">
        <v>199</v>
      </c>
      <c r="B95">
        <v>220.05</v>
      </c>
      <c r="C95">
        <v>5.05</v>
      </c>
      <c r="D95">
        <f t="shared" si="3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3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3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3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3"/>
        <v>45.964999999999996</v>
      </c>
    </row>
    <row r="100" spans="1:4" x14ac:dyDescent="0.25">
      <c r="A100" t="s">
        <v>212</v>
      </c>
      <c r="B100">
        <v>75.900000000000006</v>
      </c>
      <c r="C100">
        <v>1.33</v>
      </c>
      <c r="D100">
        <f t="shared" si="3"/>
        <v>73.905000000000001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3"/>
        <v>1.3531</v>
      </c>
    </row>
    <row r="102" spans="1:4" x14ac:dyDescent="0.25">
      <c r="A102" t="s">
        <v>225</v>
      </c>
      <c r="B102">
        <v>59.2</v>
      </c>
      <c r="C102">
        <v>2.71</v>
      </c>
      <c r="D102">
        <f t="shared" si="3"/>
        <v>55.135000000000005</v>
      </c>
    </row>
    <row r="103" spans="1:4" x14ac:dyDescent="0.25">
      <c r="A103" t="s">
        <v>232</v>
      </c>
      <c r="B103">
        <v>334.38</v>
      </c>
      <c r="C103">
        <v>12.93</v>
      </c>
      <c r="D103">
        <f>B103-(1*C103)</f>
        <v>321.45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247</v>
      </c>
      <c r="B105">
        <v>7.96</v>
      </c>
      <c r="C105">
        <v>0.27</v>
      </c>
      <c r="D105">
        <f>B105-(1*C105)</f>
        <v>7.6899999999999995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2.95</v>
      </c>
      <c r="C7">
        <f>VLOOKUP(A7,'Stop Loss Calculator'!$A$3:$D$99,4,FALSE)</f>
        <v>2.5960000000000001</v>
      </c>
      <c r="D7">
        <f t="shared" si="0"/>
        <v>141.24293785310732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 t="shared" ref="D13" si="1"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96"/>
  <sheetViews>
    <sheetView workbookViewId="0">
      <pane xSplit="13" ySplit="9" topLeftCell="N79" activePane="bottomRight" state="frozen"/>
      <selection pane="topRight" activeCell="N1" sqref="N1"/>
      <selection pane="bottomLeft" activeCell="A10" sqref="A10"/>
      <selection pane="bottomRight" activeCell="N96" sqref="N96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0.5</v>
      </c>
      <c r="C1" t="s">
        <v>92</v>
      </c>
    </row>
    <row r="2" spans="1:14" x14ac:dyDescent="0.25">
      <c r="A2" t="s">
        <v>93</v>
      </c>
      <c r="B2">
        <f>AVERAGEIF(M:M,"Win",I:I)</f>
        <v>10.071154772425853</v>
      </c>
    </row>
    <row r="3" spans="1:14" x14ac:dyDescent="0.25">
      <c r="A3" t="s">
        <v>94</v>
      </c>
      <c r="B3">
        <f>AVERAGEIF(M:M,"Loss",I:I)</f>
        <v>-4.5206462908951899</v>
      </c>
    </row>
    <row r="4" spans="1:14" x14ac:dyDescent="0.25">
      <c r="A4" t="s">
        <v>95</v>
      </c>
      <c r="B4">
        <f>AVERAGE(L:L)</f>
        <v>0.43817709654998532</v>
      </c>
    </row>
    <row r="5" spans="1:14" x14ac:dyDescent="0.25">
      <c r="A5" t="s">
        <v>96</v>
      </c>
      <c r="B5">
        <f>(B1*B2+(1-B1)*B3)</f>
        <v>2.7752542407653316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1" si="6">(E18-C18)/C18*(100)</f>
        <v>-8.9588377723970982</v>
      </c>
      <c r="J18">
        <f t="shared" ref="J18:J20" si="7">(C18-F18)/C18*100</f>
        <v>8.8547215496368015</v>
      </c>
      <c r="K18">
        <f t="shared" ref="K18:K20" si="8">(E18-C18)/C18*100</f>
        <v>-8.9588377723970982</v>
      </c>
      <c r="L18">
        <f t="shared" ref="L18:L20" si="9">K18/J18</f>
        <v>-1.0117582718074931</v>
      </c>
      <c r="M18" t="str">
        <f t="shared" ref="M18:M20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ref="J21" si="11">(C21-F21)/C21*100</f>
        <v>3.8884900693945923</v>
      </c>
      <c r="K21">
        <f t="shared" ref="K21" si="12">(E21-C21)/C21*100</f>
        <v>-2.5205392039562979</v>
      </c>
      <c r="L21">
        <f t="shared" ref="L21" si="13">K21/J21</f>
        <v>-0.64820512820513032</v>
      </c>
      <c r="M21" t="str">
        <f t="shared" ref="M21" si="14">IF(I21&gt;0,"Win","Loss")</f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ref="I22" si="15">(E22-C22)/C22*(100)</f>
        <v>-5.5974165769644735</v>
      </c>
      <c r="J22">
        <f t="shared" ref="J22" si="16">(C22-F22)/C22*100</f>
        <v>5.5882669537136689</v>
      </c>
      <c r="K22">
        <f t="shared" ref="K22" si="17">(E22-C22)/C22*100</f>
        <v>-5.5974165769644735</v>
      </c>
      <c r="L22">
        <f t="shared" ref="L22" si="18">K22/J22</f>
        <v>-1.0016372917268608</v>
      </c>
      <c r="M22" t="str">
        <f t="shared" ref="M22" si="19">IF(I22&gt;0,"Win","Loss")</f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ref="I23:I24" si="20">(E23-C23)/C23*(100)</f>
        <v>6.4634349491920622</v>
      </c>
      <c r="J23">
        <f t="shared" ref="J23:J24" si="21">(C23-F23)/C23*100</f>
        <v>4.1604197901049513</v>
      </c>
      <c r="K23">
        <f t="shared" ref="K23:K24" si="22">(E23-C23)/C23*100</f>
        <v>6.4634349491920622</v>
      </c>
      <c r="L23">
        <f t="shared" ref="L23:L24" si="23">K23/J23</f>
        <v>1.5535535535535501</v>
      </c>
      <c r="M23" t="str">
        <f t="shared" ref="M23:M24" si="24">IF(I23&gt;0,"Win","Loss")</f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20"/>
        <v>-8.1936685288640696</v>
      </c>
      <c r="J24">
        <f t="shared" si="21"/>
        <v>6.1452513966480389</v>
      </c>
      <c r="K24">
        <f t="shared" si="22"/>
        <v>-8.1936685288640696</v>
      </c>
      <c r="L24">
        <f t="shared" si="23"/>
        <v>-1.3333333333333361</v>
      </c>
      <c r="M24" t="str">
        <f t="shared" si="24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25">(E25-C25)/C25*(100)</f>
        <v>-8.8311688311688386</v>
      </c>
      <c r="J25">
        <f t="shared" ref="J25:J59" si="26">(C25-F25)/C25*100</f>
        <v>6.62337662337662</v>
      </c>
      <c r="K25">
        <f t="shared" ref="K25:K59" si="27">(E25-C25)/C25*100</f>
        <v>-8.8311688311688386</v>
      </c>
      <c r="L25">
        <f t="shared" ref="L25:L59" si="28">K25/J25</f>
        <v>-1.333333333333335</v>
      </c>
      <c r="M25" t="str">
        <f t="shared" ref="M25:M59" si="29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25"/>
        <v>7.4065685164212987</v>
      </c>
      <c r="J26">
        <f t="shared" si="26"/>
        <v>3.2616081540203803</v>
      </c>
      <c r="K26">
        <f t="shared" si="27"/>
        <v>7.4065685164212987</v>
      </c>
      <c r="L26">
        <f t="shared" si="28"/>
        <v>2.2708333333333388</v>
      </c>
      <c r="M26" t="str">
        <f t="shared" si="29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1.74</v>
      </c>
      <c r="E27">
        <v>52.95</v>
      </c>
      <c r="F27">
        <f t="shared" si="5"/>
        <v>43.72</v>
      </c>
      <c r="G27" t="s">
        <v>117</v>
      </c>
      <c r="I27">
        <f t="shared" si="25"/>
        <v>14.288797755234201</v>
      </c>
      <c r="J27">
        <f t="shared" si="26"/>
        <v>5.6334988128642332</v>
      </c>
      <c r="K27">
        <f t="shared" si="27"/>
        <v>14.288797755234201</v>
      </c>
      <c r="L27">
        <f t="shared" si="28"/>
        <v>2.5363984674329529</v>
      </c>
      <c r="M27" t="str">
        <f t="shared" si="29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1.74</v>
      </c>
      <c r="E28">
        <v>53.84</v>
      </c>
      <c r="F28">
        <f t="shared" si="5"/>
        <v>43.72</v>
      </c>
      <c r="G28" t="s">
        <v>117</v>
      </c>
      <c r="I28">
        <f t="shared" si="25"/>
        <v>16.209799266134269</v>
      </c>
      <c r="J28">
        <f t="shared" si="26"/>
        <v>5.6334988128642332</v>
      </c>
      <c r="K28">
        <f t="shared" si="27"/>
        <v>16.209799266134269</v>
      </c>
      <c r="L28">
        <f t="shared" si="28"/>
        <v>2.8773946360153291</v>
      </c>
      <c r="M28" t="str">
        <f t="shared" si="29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25"/>
        <v>1.5310443677112477</v>
      </c>
      <c r="J29">
        <f t="shared" si="26"/>
        <v>2.0033878428562044</v>
      </c>
      <c r="K29">
        <f t="shared" si="27"/>
        <v>1.5310443677112477</v>
      </c>
      <c r="L29">
        <f t="shared" si="28"/>
        <v>0.76422764227642381</v>
      </c>
      <c r="M29" t="str">
        <f t="shared" si="29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25"/>
        <v>2.7313800657174014</v>
      </c>
      <c r="J30">
        <f t="shared" si="26"/>
        <v>3.0188937568455616</v>
      </c>
      <c r="K30">
        <f t="shared" si="27"/>
        <v>2.7313800657174014</v>
      </c>
      <c r="L30">
        <f t="shared" si="28"/>
        <v>0.90476190476190099</v>
      </c>
      <c r="M30" t="str">
        <f t="shared" si="29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1.03</v>
      </c>
      <c r="E31">
        <v>7.47</v>
      </c>
      <c r="F31">
        <f t="shared" si="5"/>
        <v>6.9749999999999996</v>
      </c>
      <c r="G31" t="s">
        <v>105</v>
      </c>
      <c r="I31">
        <f t="shared" si="25"/>
        <v>-12.32394366197183</v>
      </c>
      <c r="J31">
        <f t="shared" si="26"/>
        <v>18.133802816901408</v>
      </c>
      <c r="K31">
        <f t="shared" si="27"/>
        <v>-12.32394366197183</v>
      </c>
      <c r="L31">
        <f t="shared" si="28"/>
        <v>-0.67961165048543681</v>
      </c>
      <c r="M31" t="str">
        <f t="shared" si="29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1.74</v>
      </c>
      <c r="E32">
        <v>54.09</v>
      </c>
      <c r="F32">
        <f t="shared" si="5"/>
        <v>43.72</v>
      </c>
      <c r="G32" t="s">
        <v>155</v>
      </c>
      <c r="I32">
        <f t="shared" si="25"/>
        <v>16.749406432117432</v>
      </c>
      <c r="J32">
        <f t="shared" si="26"/>
        <v>5.6334988128642332</v>
      </c>
      <c r="K32">
        <f t="shared" si="27"/>
        <v>16.749406432117432</v>
      </c>
      <c r="L32">
        <f t="shared" si="28"/>
        <v>2.9731800766283558</v>
      </c>
      <c r="M32" t="str">
        <f t="shared" si="29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0.64</v>
      </c>
      <c r="E33">
        <v>38.75</v>
      </c>
      <c r="F33">
        <f t="shared" si="5"/>
        <v>38.519999999999996</v>
      </c>
      <c r="G33" t="s">
        <v>155</v>
      </c>
      <c r="I33">
        <f t="shared" si="25"/>
        <v>-1.8490374873353519</v>
      </c>
      <c r="J33">
        <f t="shared" si="26"/>
        <v>2.4316109422492427</v>
      </c>
      <c r="K33">
        <f t="shared" si="27"/>
        <v>-1.8490374873353519</v>
      </c>
      <c r="L33">
        <f t="shared" si="28"/>
        <v>-0.76041666666666263</v>
      </c>
      <c r="M33" t="str">
        <f t="shared" si="29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25"/>
        <v>1.8012422360248395</v>
      </c>
      <c r="J34">
        <f t="shared" si="26"/>
        <v>5.4037267080745286</v>
      </c>
      <c r="K34">
        <f t="shared" si="27"/>
        <v>1.8012422360248395</v>
      </c>
      <c r="L34">
        <f t="shared" si="28"/>
        <v>0.3333333333333327</v>
      </c>
      <c r="M34" t="str">
        <f t="shared" si="29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25"/>
        <v>0.16637616859452384</v>
      </c>
      <c r="J35">
        <f t="shared" si="26"/>
        <v>3.2799873237204888</v>
      </c>
      <c r="K35">
        <f t="shared" si="27"/>
        <v>0.16637616859452384</v>
      </c>
      <c r="L35">
        <f t="shared" si="28"/>
        <v>5.0724637681161339E-2</v>
      </c>
      <c r="M35" t="str">
        <f t="shared" si="29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25"/>
        <v>5.8142399605814221</v>
      </c>
      <c r="J36">
        <f t="shared" si="26"/>
        <v>6.6888396156688916</v>
      </c>
      <c r="K36">
        <f t="shared" si="27"/>
        <v>5.8142399605814221</v>
      </c>
      <c r="L36">
        <f t="shared" si="28"/>
        <v>0.86924493554327675</v>
      </c>
      <c r="M36" t="str">
        <f t="shared" si="29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4.29</v>
      </c>
      <c r="E37">
        <v>91.73</v>
      </c>
      <c r="F37">
        <f t="shared" si="5"/>
        <v>92.995000000000005</v>
      </c>
      <c r="G37" t="s">
        <v>162</v>
      </c>
      <c r="I37">
        <f t="shared" si="25"/>
        <v>-7.7441416071608193</v>
      </c>
      <c r="J37">
        <f t="shared" si="26"/>
        <v>6.4718897716986845</v>
      </c>
      <c r="K37">
        <f t="shared" si="27"/>
        <v>-7.7441416071608193</v>
      </c>
      <c r="L37">
        <f t="shared" si="28"/>
        <v>-1.1965811965811965</v>
      </c>
      <c r="M37" t="str">
        <f t="shared" si="29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1.04</v>
      </c>
      <c r="E38">
        <v>14.06</v>
      </c>
      <c r="F38">
        <f t="shared" si="5"/>
        <v>10.45</v>
      </c>
      <c r="G38" t="s">
        <v>164</v>
      </c>
      <c r="I38">
        <f t="shared" si="25"/>
        <v>17.069109075770196</v>
      </c>
      <c r="J38">
        <f t="shared" si="26"/>
        <v>12.989175686927565</v>
      </c>
      <c r="K38">
        <f t="shared" si="27"/>
        <v>17.069109075770196</v>
      </c>
      <c r="L38">
        <f t="shared" si="28"/>
        <v>1.3141025641025641</v>
      </c>
      <c r="M38" t="str">
        <f t="shared" si="29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25"/>
        <v>1.7114695340501891</v>
      </c>
      <c r="J39">
        <f t="shared" si="26"/>
        <v>3.9516129032258034</v>
      </c>
      <c r="K39">
        <f t="shared" si="27"/>
        <v>1.7114695340501891</v>
      </c>
      <c r="L39">
        <f t="shared" si="28"/>
        <v>0.43310657596372165</v>
      </c>
      <c r="M39" t="str">
        <f t="shared" si="29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25"/>
        <v>-5.8056554166443055</v>
      </c>
      <c r="J40">
        <f t="shared" si="26"/>
        <v>4.3461930568224467</v>
      </c>
      <c r="K40">
        <f t="shared" si="27"/>
        <v>-5.8056554166443055</v>
      </c>
      <c r="L40">
        <f t="shared" si="28"/>
        <v>-1.3358024691358026</v>
      </c>
      <c r="M40" t="str">
        <f t="shared" si="29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25"/>
        <v>-5.6399132321041359</v>
      </c>
      <c r="J41">
        <f t="shared" si="26"/>
        <v>5.630694143167025</v>
      </c>
      <c r="K41">
        <f t="shared" si="27"/>
        <v>-5.6399132321041359</v>
      </c>
      <c r="L41">
        <f t="shared" si="28"/>
        <v>-1.0016372917268643</v>
      </c>
      <c r="M41" t="str">
        <f t="shared" si="29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25"/>
        <v>-5.2320291173794455</v>
      </c>
      <c r="J42">
        <f t="shared" si="26"/>
        <v>7.9845313921747003</v>
      </c>
      <c r="K42">
        <f t="shared" si="27"/>
        <v>-5.2320291173794455</v>
      </c>
      <c r="L42">
        <f t="shared" si="28"/>
        <v>-0.65527065527065675</v>
      </c>
      <c r="M42" t="str">
        <f t="shared" si="29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25"/>
        <v>-4.4685990338164157</v>
      </c>
      <c r="J43">
        <f t="shared" si="26"/>
        <v>4.0760869565217437</v>
      </c>
      <c r="K43">
        <f t="shared" si="27"/>
        <v>-4.4685990338164157</v>
      </c>
      <c r="L43">
        <f t="shared" si="28"/>
        <v>-1.0962962962962928</v>
      </c>
      <c r="M43" t="str">
        <f t="shared" si="29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25"/>
        <v>2.6695958990746229</v>
      </c>
      <c r="J44">
        <f t="shared" si="26"/>
        <v>2.2168963451168446</v>
      </c>
      <c r="K44">
        <f t="shared" si="27"/>
        <v>2.6695958990746229</v>
      </c>
      <c r="L44">
        <f t="shared" si="28"/>
        <v>1.2042042042041972</v>
      </c>
      <c r="M44" t="str">
        <f t="shared" si="29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25"/>
        <v>-3.0911130499813084</v>
      </c>
      <c r="J45">
        <f t="shared" si="26"/>
        <v>3.5148946778013128</v>
      </c>
      <c r="K45">
        <f t="shared" si="27"/>
        <v>-3.0911130499813084</v>
      </c>
      <c r="L45">
        <f t="shared" si="28"/>
        <v>-0.87943262411347856</v>
      </c>
      <c r="M45" t="str">
        <f t="shared" si="29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25"/>
        <v>1.7414793953675505</v>
      </c>
      <c r="J46">
        <f t="shared" si="26"/>
        <v>2.9829300534513465</v>
      </c>
      <c r="K46">
        <f t="shared" si="27"/>
        <v>1.7414793953675505</v>
      </c>
      <c r="L46">
        <f t="shared" si="28"/>
        <v>0.58381502890173453</v>
      </c>
      <c r="M46" t="str">
        <f t="shared" si="29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1.04</v>
      </c>
      <c r="E47">
        <v>13.75</v>
      </c>
      <c r="F47">
        <f t="shared" si="5"/>
        <v>10.43</v>
      </c>
      <c r="G47" t="s">
        <v>155</v>
      </c>
      <c r="I47">
        <f t="shared" si="25"/>
        <v>14.678899082568805</v>
      </c>
      <c r="J47">
        <f t="shared" si="26"/>
        <v>13.010842368640537</v>
      </c>
      <c r="K47">
        <f t="shared" si="27"/>
        <v>14.678899082568805</v>
      </c>
      <c r="L47">
        <f t="shared" si="28"/>
        <v>1.1282051282051277</v>
      </c>
      <c r="M47" t="str">
        <f t="shared" si="29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25"/>
        <v>0</v>
      </c>
      <c r="J48">
        <f t="shared" si="26"/>
        <v>6.1094224924012144</v>
      </c>
      <c r="K48">
        <f t="shared" si="27"/>
        <v>0</v>
      </c>
      <c r="L48">
        <f t="shared" si="28"/>
        <v>0</v>
      </c>
      <c r="M48" t="str">
        <f t="shared" si="29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25"/>
        <v>-1.9973253957982811</v>
      </c>
      <c r="J49">
        <f t="shared" si="26"/>
        <v>3.9666105862559822</v>
      </c>
      <c r="K49">
        <f t="shared" si="27"/>
        <v>-1.9973253957982811</v>
      </c>
      <c r="L49">
        <f t="shared" si="28"/>
        <v>-0.50353452963567147</v>
      </c>
      <c r="M49" t="str">
        <f t="shared" si="29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25"/>
        <v>3.6271413532395504</v>
      </c>
      <c r="J50">
        <f t="shared" si="26"/>
        <v>2.8854435831180023</v>
      </c>
      <c r="K50">
        <f t="shared" si="27"/>
        <v>3.6271413532395504</v>
      </c>
      <c r="L50">
        <f t="shared" si="28"/>
        <v>1.2570480928689902</v>
      </c>
      <c r="M50" t="str">
        <f t="shared" si="29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25"/>
        <v>2.6300294406280735</v>
      </c>
      <c r="J51">
        <f t="shared" si="26"/>
        <v>7.2129538763493661</v>
      </c>
      <c r="K51">
        <f t="shared" si="27"/>
        <v>2.6300294406280735</v>
      </c>
      <c r="L51">
        <f t="shared" si="28"/>
        <v>0.36462585034013678</v>
      </c>
      <c r="M51" t="str">
        <f t="shared" si="29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0.64</v>
      </c>
      <c r="E52">
        <v>25.12</v>
      </c>
      <c r="F52">
        <f t="shared" si="5"/>
        <v>25.119999999999997</v>
      </c>
      <c r="G52" t="s">
        <v>105</v>
      </c>
      <c r="I52">
        <f t="shared" si="25"/>
        <v>-3.6809815950920144</v>
      </c>
      <c r="J52">
        <f t="shared" si="26"/>
        <v>3.6809815950920282</v>
      </c>
      <c r="K52">
        <f t="shared" si="27"/>
        <v>-3.6809815950920144</v>
      </c>
      <c r="L52">
        <f t="shared" si="28"/>
        <v>-0.99999999999999623</v>
      </c>
      <c r="M52" t="str">
        <f t="shared" si="29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1.1299999999999999</v>
      </c>
      <c r="E53">
        <v>33.57</v>
      </c>
      <c r="F53">
        <f t="shared" si="5"/>
        <v>30.825000000000003</v>
      </c>
      <c r="G53" t="s">
        <v>162</v>
      </c>
      <c r="I53">
        <f t="shared" si="25"/>
        <v>3.2287822878228694</v>
      </c>
      <c r="J53">
        <f t="shared" si="26"/>
        <v>5.2121771217712176</v>
      </c>
      <c r="K53">
        <f t="shared" si="27"/>
        <v>3.2287822878228694</v>
      </c>
      <c r="L53">
        <f t="shared" si="28"/>
        <v>0.61946902654867086</v>
      </c>
      <c r="M53" t="str">
        <f t="shared" si="29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25"/>
        <v>-6.5419538343725963</v>
      </c>
      <c r="J54">
        <f t="shared" si="26"/>
        <v>4.1926485067279256</v>
      </c>
      <c r="K54">
        <f t="shared" si="27"/>
        <v>-6.5419538343725963</v>
      </c>
      <c r="L54">
        <f t="shared" si="28"/>
        <v>-1.5603392041748194</v>
      </c>
      <c r="M54" t="str">
        <f t="shared" si="29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25"/>
        <v>-6.1403508771929731</v>
      </c>
      <c r="J55">
        <f t="shared" si="26"/>
        <v>9.5029239766081837</v>
      </c>
      <c r="K55">
        <f t="shared" si="27"/>
        <v>-6.1403508771929731</v>
      </c>
      <c r="L55">
        <f t="shared" si="28"/>
        <v>-0.64615384615384541</v>
      </c>
      <c r="M55" t="str">
        <f t="shared" si="29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25"/>
        <v>-2.3931623931623878</v>
      </c>
      <c r="J56">
        <f t="shared" si="26"/>
        <v>7.5641025641025621</v>
      </c>
      <c r="K56">
        <f t="shared" si="27"/>
        <v>-2.3931623931623878</v>
      </c>
      <c r="L56">
        <f t="shared" si="28"/>
        <v>-0.31638418079095981</v>
      </c>
      <c r="M56" t="str">
        <f t="shared" si="29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25"/>
        <v>-1.5684015107867721</v>
      </c>
      <c r="J57">
        <f t="shared" si="26"/>
        <v>2.1317457269060958</v>
      </c>
      <c r="K57">
        <f t="shared" si="27"/>
        <v>-1.5684015107867721</v>
      </c>
      <c r="L57">
        <f t="shared" si="28"/>
        <v>-0.73573573573573803</v>
      </c>
      <c r="M57" t="str">
        <f t="shared" si="29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25"/>
        <v>9.6680841011103258</v>
      </c>
      <c r="J58">
        <f t="shared" si="26"/>
        <v>6.5556343019135337</v>
      </c>
      <c r="K58">
        <f t="shared" si="27"/>
        <v>9.6680841011103258</v>
      </c>
      <c r="L58">
        <f t="shared" si="28"/>
        <v>1.4747747747747757</v>
      </c>
      <c r="M58" t="str">
        <f t="shared" si="29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25"/>
        <v>-5.5927342256214114</v>
      </c>
      <c r="J59">
        <f t="shared" si="26"/>
        <v>4.708413001912044</v>
      </c>
      <c r="K59">
        <f t="shared" si="27"/>
        <v>-5.5927342256214114</v>
      </c>
      <c r="L59">
        <f t="shared" si="28"/>
        <v>-1.1878172588832485</v>
      </c>
      <c r="M59" t="str">
        <f t="shared" si="29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30">(E60-C60)/C60*(100)</f>
        <v>-3.359683794466402</v>
      </c>
      <c r="J60">
        <f t="shared" ref="J60:J74" si="31">(C60-F60)/C60*100</f>
        <v>8.0039525691699662</v>
      </c>
      <c r="K60">
        <f t="shared" ref="K60:K74" si="32">(E60-C60)/C60*100</f>
        <v>-3.359683794466402</v>
      </c>
      <c r="L60">
        <f t="shared" ref="L60:L74" si="33">K60/J60</f>
        <v>-0.41975308641975262</v>
      </c>
      <c r="M60" t="str">
        <f t="shared" ref="M60:M74" si="34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30"/>
        <v>-2.815723445776416</v>
      </c>
      <c r="J61">
        <f t="shared" si="31"/>
        <v>2.801784220797324</v>
      </c>
      <c r="K61">
        <f>(E61-C61)/C61*100</f>
        <v>-2.815723445776416</v>
      </c>
      <c r="L61">
        <f t="shared" si="33"/>
        <v>-1.0049751243781098</v>
      </c>
      <c r="M61" t="str">
        <f t="shared" si="34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30"/>
        <v>-2.6446354212811194</v>
      </c>
      <c r="J62">
        <f t="shared" si="31"/>
        <v>3.3556303712235267</v>
      </c>
      <c r="K62">
        <f t="shared" si="32"/>
        <v>-2.6446354212811194</v>
      </c>
      <c r="L62">
        <f t="shared" si="33"/>
        <v>-0.78811881188118915</v>
      </c>
      <c r="M62" t="str">
        <f t="shared" si="34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30"/>
        <v>-6.1265316329082227</v>
      </c>
      <c r="J63">
        <f t="shared" si="31"/>
        <v>3.2883220805201243</v>
      </c>
      <c r="K63">
        <f t="shared" si="32"/>
        <v>-6.1265316329082227</v>
      </c>
      <c r="L63">
        <f t="shared" si="33"/>
        <v>-1.8631178707224354</v>
      </c>
      <c r="M63" t="str">
        <f t="shared" si="34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30"/>
        <v>3.0479605558045706</v>
      </c>
      <c r="J64">
        <f t="shared" si="31"/>
        <v>4.2357687135813551</v>
      </c>
      <c r="K64">
        <f t="shared" si="32"/>
        <v>3.0479605558045706</v>
      </c>
      <c r="L64">
        <f t="shared" si="33"/>
        <v>0.71957671957671898</v>
      </c>
      <c r="M64" t="str">
        <f t="shared" si="34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30"/>
        <v>-4.9363796786477181</v>
      </c>
      <c r="J65">
        <f t="shared" si="31"/>
        <v>5.9905266090833127</v>
      </c>
      <c r="K65">
        <f t="shared" si="32"/>
        <v>-4.9363796786477181</v>
      </c>
      <c r="L65">
        <f t="shared" si="33"/>
        <v>-0.82403100775193738</v>
      </c>
      <c r="M65" t="str">
        <f t="shared" si="34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0.71879999999999999</v>
      </c>
      <c r="E66">
        <v>23.16</v>
      </c>
      <c r="F66">
        <f t="shared" si="5"/>
        <v>19.6218</v>
      </c>
      <c r="G66" t="s">
        <v>176</v>
      </c>
      <c r="I66">
        <f t="shared" si="30"/>
        <v>11.884057971014498</v>
      </c>
      <c r="J66">
        <f t="shared" si="31"/>
        <v>5.2086956521739083</v>
      </c>
      <c r="K66">
        <f t="shared" si="32"/>
        <v>11.884057971014498</v>
      </c>
      <c r="L66">
        <f t="shared" si="33"/>
        <v>2.2815804117974432</v>
      </c>
      <c r="M66" t="str">
        <f t="shared" si="34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30"/>
        <v>-6.6453050989133473</v>
      </c>
      <c r="J67">
        <f t="shared" si="31"/>
        <v>5.9905266090833127</v>
      </c>
      <c r="K67">
        <f t="shared" si="32"/>
        <v>-6.6453050989133473</v>
      </c>
      <c r="L67">
        <f t="shared" si="33"/>
        <v>-1.109302325581395</v>
      </c>
      <c r="M67" t="str">
        <f t="shared" si="34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0.71879999999999999</v>
      </c>
      <c r="E68">
        <v>18.559999999999999</v>
      </c>
      <c r="F68">
        <f t="shared" si="5"/>
        <v>19.6218</v>
      </c>
      <c r="G68" t="s">
        <v>107</v>
      </c>
      <c r="I68">
        <f t="shared" si="30"/>
        <v>-10.338164251207733</v>
      </c>
      <c r="J68">
        <f t="shared" si="31"/>
        <v>5.2086956521739083</v>
      </c>
      <c r="K68">
        <f t="shared" si="32"/>
        <v>-10.338164251207733</v>
      </c>
      <c r="L68">
        <f t="shared" si="33"/>
        <v>-1.9847894639213528</v>
      </c>
      <c r="M68" t="str">
        <f t="shared" si="34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1.74</v>
      </c>
      <c r="E69">
        <v>52.98</v>
      </c>
      <c r="F69">
        <f t="shared" si="5"/>
        <v>52.95</v>
      </c>
      <c r="G69" t="s">
        <v>113</v>
      </c>
      <c r="I69">
        <f t="shared" si="30"/>
        <v>-4.6436285097192318</v>
      </c>
      <c r="J69">
        <f t="shared" si="31"/>
        <v>4.6976241900647935</v>
      </c>
      <c r="K69">
        <f t="shared" si="32"/>
        <v>-4.6436285097192318</v>
      </c>
      <c r="L69">
        <f t="shared" si="33"/>
        <v>-0.98850574712643902</v>
      </c>
      <c r="M69" t="str">
        <f t="shared" si="34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30"/>
        <v>11.110497847444528</v>
      </c>
      <c r="J70">
        <f t="shared" si="31"/>
        <v>3.4192515730213007</v>
      </c>
      <c r="K70">
        <f t="shared" si="32"/>
        <v>11.110497847444528</v>
      </c>
      <c r="L70">
        <f t="shared" si="33"/>
        <v>3.24939467312349</v>
      </c>
      <c r="M70" t="str">
        <f t="shared" si="34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0.86099999999999999</v>
      </c>
      <c r="E71">
        <v>10.94</v>
      </c>
      <c r="F71">
        <f t="shared" si="5"/>
        <v>8.0085000000000015</v>
      </c>
      <c r="G71" t="s">
        <v>108</v>
      </c>
      <c r="I71">
        <f t="shared" si="30"/>
        <v>17.634408602150522</v>
      </c>
      <c r="J71">
        <f t="shared" si="31"/>
        <v>13.887096774193539</v>
      </c>
      <c r="K71">
        <f t="shared" si="32"/>
        <v>17.634408602150522</v>
      </c>
      <c r="L71">
        <f t="shared" si="33"/>
        <v>1.2698412698412695</v>
      </c>
      <c r="M71" t="str">
        <f t="shared" si="34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0.86099999999999999</v>
      </c>
      <c r="E72">
        <v>11.75</v>
      </c>
      <c r="F72">
        <f t="shared" si="5"/>
        <v>8.0085000000000015</v>
      </c>
      <c r="G72" t="s">
        <v>149</v>
      </c>
      <c r="I72">
        <f t="shared" si="30"/>
        <v>26.344086021505365</v>
      </c>
      <c r="J72">
        <f t="shared" si="31"/>
        <v>13.887096774193539</v>
      </c>
      <c r="K72">
        <f t="shared" si="32"/>
        <v>26.344086021505365</v>
      </c>
      <c r="L72">
        <f t="shared" si="33"/>
        <v>1.8970189701897024</v>
      </c>
      <c r="M72" t="str">
        <f t="shared" si="34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30"/>
        <v>10.283159463487335</v>
      </c>
      <c r="J73">
        <f t="shared" si="31"/>
        <v>3.3532041728763078</v>
      </c>
      <c r="K73">
        <f t="shared" si="32"/>
        <v>10.283159463487335</v>
      </c>
      <c r="L73">
        <f t="shared" si="33"/>
        <v>3.0666666666666642</v>
      </c>
      <c r="M73" t="str">
        <f t="shared" si="34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30"/>
        <v>11.475409836065586</v>
      </c>
      <c r="J74">
        <f t="shared" si="31"/>
        <v>3.3532041728763078</v>
      </c>
      <c r="K74">
        <f t="shared" si="32"/>
        <v>11.475409836065586</v>
      </c>
      <c r="L74">
        <f t="shared" si="33"/>
        <v>3.4222222222222221</v>
      </c>
      <c r="M74" t="str">
        <f t="shared" si="34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35">(E75-C75)/C75*(100)</f>
        <v>-3.9735099337748379</v>
      </c>
      <c r="J75">
        <f t="shared" ref="J75:J92" si="36">(C75-F75)/C75*100</f>
        <v>8.4039735099337758</v>
      </c>
      <c r="K75">
        <f t="shared" ref="K75:K92" si="37">(E75-C75)/C75*100</f>
        <v>-3.9735099337748379</v>
      </c>
      <c r="L75">
        <f t="shared" ref="L75:L92" si="38">K75/J75</f>
        <v>-0.47281323877068593</v>
      </c>
      <c r="M75" t="str">
        <f t="shared" ref="M75:M92" si="39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0.64</v>
      </c>
      <c r="E76">
        <v>39.049999999999997</v>
      </c>
      <c r="F76">
        <f t="shared" si="5"/>
        <v>37.130000000000003</v>
      </c>
      <c r="G76" t="s">
        <v>183</v>
      </c>
      <c r="I76">
        <f t="shared" si="35"/>
        <v>2.5203465476502851</v>
      </c>
      <c r="J76">
        <f t="shared" si="36"/>
        <v>2.5203465476503037</v>
      </c>
      <c r="K76">
        <f t="shared" si="37"/>
        <v>2.5203465476502851</v>
      </c>
      <c r="L76">
        <f t="shared" si="38"/>
        <v>0.99999999999999256</v>
      </c>
      <c r="M76" t="str">
        <f t="shared" si="39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35"/>
        <v>30.075187969924805</v>
      </c>
      <c r="J77">
        <f t="shared" si="36"/>
        <v>11.560150375939852</v>
      </c>
      <c r="K77">
        <f t="shared" si="37"/>
        <v>30.075187969924805</v>
      </c>
      <c r="L77">
        <f t="shared" si="38"/>
        <v>2.6016260162601617</v>
      </c>
      <c r="M77" t="str">
        <f t="shared" si="39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1.57</v>
      </c>
      <c r="E78">
        <v>36.22</v>
      </c>
      <c r="F78">
        <f t="shared" si="5"/>
        <v>28.474999999999998</v>
      </c>
      <c r="G78" t="s">
        <v>108</v>
      </c>
      <c r="I78">
        <f t="shared" si="35"/>
        <v>17.482971132014274</v>
      </c>
      <c r="J78">
        <f t="shared" si="36"/>
        <v>7.6386636393123597</v>
      </c>
      <c r="K78">
        <f t="shared" si="37"/>
        <v>17.482971132014274</v>
      </c>
      <c r="L78">
        <f t="shared" si="38"/>
        <v>2.2887473460721868</v>
      </c>
      <c r="M78" t="str">
        <f t="shared" si="39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35"/>
        <v>7.1211463308727767</v>
      </c>
      <c r="J79">
        <f t="shared" si="36"/>
        <v>4.1033434650455938</v>
      </c>
      <c r="K79">
        <f t="shared" si="37"/>
        <v>7.1211463308727767</v>
      </c>
      <c r="L79">
        <f t="shared" si="38"/>
        <v>1.7354497354497356</v>
      </c>
      <c r="M79" t="str">
        <f t="shared" si="39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4.29</v>
      </c>
      <c r="E80">
        <v>104.54</v>
      </c>
      <c r="F80">
        <f t="shared" si="5"/>
        <v>100.41499999999999</v>
      </c>
      <c r="G80" t="s">
        <v>118</v>
      </c>
      <c r="I80">
        <f t="shared" si="35"/>
        <v>-2.1619092185306394</v>
      </c>
      <c r="J80">
        <f t="shared" si="36"/>
        <v>6.0224613944782428</v>
      </c>
      <c r="K80">
        <f t="shared" si="37"/>
        <v>-2.1619092185306394</v>
      </c>
      <c r="L80">
        <f t="shared" si="38"/>
        <v>-0.35897435897435703</v>
      </c>
      <c r="M80" t="str">
        <f t="shared" si="39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0.86099999999999999</v>
      </c>
      <c r="E81">
        <v>11.23</v>
      </c>
      <c r="F81">
        <f t="shared" si="5"/>
        <v>8.0085000000000015</v>
      </c>
      <c r="G81" t="s">
        <v>152</v>
      </c>
      <c r="I81">
        <f t="shared" si="35"/>
        <v>20.752688172043008</v>
      </c>
      <c r="J81">
        <f t="shared" si="36"/>
        <v>13.887096774193539</v>
      </c>
      <c r="K81">
        <f t="shared" si="37"/>
        <v>20.752688172043008</v>
      </c>
      <c r="L81">
        <f t="shared" si="38"/>
        <v>1.4943863724351538</v>
      </c>
      <c r="M81" t="str">
        <f t="shared" si="39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35"/>
        <v>22.147651006711413</v>
      </c>
      <c r="J82">
        <f t="shared" si="36"/>
        <v>8.5167785234899327</v>
      </c>
      <c r="K82">
        <f t="shared" si="37"/>
        <v>22.147651006711413</v>
      </c>
      <c r="L82">
        <f t="shared" si="38"/>
        <v>2.6004728132387713</v>
      </c>
      <c r="M82" t="str">
        <f t="shared" si="39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35"/>
        <v>0.46948356807511077</v>
      </c>
      <c r="J83">
        <f t="shared" si="36"/>
        <v>1.977619139494494</v>
      </c>
      <c r="K83">
        <f t="shared" si="37"/>
        <v>0.46948356807511077</v>
      </c>
      <c r="L83">
        <f t="shared" si="38"/>
        <v>0.23739837398373737</v>
      </c>
      <c r="M83" t="str">
        <f t="shared" si="39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1.57</v>
      </c>
      <c r="E84">
        <v>33.24</v>
      </c>
      <c r="F84">
        <f t="shared" si="5"/>
        <v>28.474999999999998</v>
      </c>
      <c r="G84" t="s">
        <v>188</v>
      </c>
      <c r="I84">
        <f t="shared" si="35"/>
        <v>7.8170613039247607</v>
      </c>
      <c r="J84">
        <f t="shared" si="36"/>
        <v>7.6386636393123597</v>
      </c>
      <c r="K84">
        <f t="shared" si="37"/>
        <v>7.8170613039247607</v>
      </c>
      <c r="L84">
        <f t="shared" si="38"/>
        <v>1.02335456475584</v>
      </c>
      <c r="M84" t="str">
        <f t="shared" si="39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35"/>
        <v>8.7248322147651081</v>
      </c>
      <c r="J85">
        <f t="shared" si="36"/>
        <v>8.5167785234899327</v>
      </c>
      <c r="K85">
        <f t="shared" si="37"/>
        <v>8.7248322147651081</v>
      </c>
      <c r="L85">
        <f t="shared" si="38"/>
        <v>1.0244286840031529</v>
      </c>
      <c r="M85" t="str">
        <f t="shared" si="39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35"/>
        <v>-4.0679387712308612</v>
      </c>
      <c r="J86">
        <f t="shared" si="36"/>
        <v>3.617110505347036</v>
      </c>
      <c r="K86">
        <f t="shared" si="37"/>
        <v>-4.0679387712308612</v>
      </c>
      <c r="L86">
        <f t="shared" si="38"/>
        <v>-1.1246376811594181</v>
      </c>
      <c r="M86" t="str">
        <f t="shared" si="39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35"/>
        <v>0.77175381053443215</v>
      </c>
      <c r="J87">
        <f t="shared" si="36"/>
        <v>1.977619139494494</v>
      </c>
      <c r="K87">
        <f t="shared" si="37"/>
        <v>0.77175381053443215</v>
      </c>
      <c r="L87">
        <f t="shared" si="38"/>
        <v>0.39024390243902213</v>
      </c>
      <c r="M87" t="str">
        <f t="shared" si="39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35"/>
        <v>20.268256333830116</v>
      </c>
      <c r="J88">
        <f t="shared" si="36"/>
        <v>3.3532041728763078</v>
      </c>
      <c r="K88">
        <f t="shared" si="37"/>
        <v>20.268256333830116</v>
      </c>
      <c r="L88">
        <f t="shared" si="38"/>
        <v>6.0444444444444416</v>
      </c>
      <c r="M88" t="str">
        <f t="shared" si="39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96" si="40">C89-(1.5*D89)</f>
        <v>314.98500000000001</v>
      </c>
      <c r="G89" t="s">
        <v>118</v>
      </c>
      <c r="I89">
        <f t="shared" si="35"/>
        <v>-2.1711824869908458</v>
      </c>
      <c r="J89">
        <f t="shared" si="36"/>
        <v>5.8002870985106707</v>
      </c>
      <c r="K89">
        <f t="shared" si="37"/>
        <v>-2.1711824869908458</v>
      </c>
      <c r="L89">
        <f t="shared" si="38"/>
        <v>-0.37432327919566888</v>
      </c>
      <c r="M89" t="str">
        <f t="shared" si="39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40"/>
        <v>80.809999999999988</v>
      </c>
      <c r="G90" t="s">
        <v>105</v>
      </c>
      <c r="I90">
        <f t="shared" si="35"/>
        <v>0.26796589524969411</v>
      </c>
      <c r="J90">
        <f t="shared" si="36"/>
        <v>1.5712545676004948</v>
      </c>
      <c r="K90">
        <f t="shared" si="37"/>
        <v>0.26796589524969411</v>
      </c>
      <c r="L90">
        <f t="shared" si="38"/>
        <v>0.17054263565891303</v>
      </c>
      <c r="M90" t="str">
        <f t="shared" si="39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40"/>
        <v>212.47500000000002</v>
      </c>
      <c r="G91" t="s">
        <v>113</v>
      </c>
      <c r="I91">
        <f t="shared" si="35"/>
        <v>-1.3815042035901024</v>
      </c>
      <c r="J91">
        <f t="shared" si="36"/>
        <v>3.4423994546693879</v>
      </c>
      <c r="K91">
        <f t="shared" si="37"/>
        <v>-1.3815042035901024</v>
      </c>
      <c r="L91">
        <f t="shared" si="38"/>
        <v>-0.40132013201320466</v>
      </c>
      <c r="M91" t="str">
        <f t="shared" si="39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40"/>
        <v>438.61</v>
      </c>
      <c r="G92" t="s">
        <v>118</v>
      </c>
      <c r="I92">
        <f t="shared" si="35"/>
        <v>-4.8650637349319412</v>
      </c>
      <c r="J92">
        <f t="shared" si="36"/>
        <v>5.0771528123444458</v>
      </c>
      <c r="K92">
        <f t="shared" si="37"/>
        <v>-4.8650637349319412</v>
      </c>
      <c r="L92">
        <f t="shared" si="38"/>
        <v>-0.9582267689684586</v>
      </c>
      <c r="M92" t="str">
        <f t="shared" si="39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40"/>
        <v>182.66500000000002</v>
      </c>
      <c r="G93" t="s">
        <v>118</v>
      </c>
      <c r="I93">
        <f t="shared" ref="I93:I96" si="41">(E93-C93)/C93*(100)</f>
        <v>-0.69353228602953898</v>
      </c>
      <c r="J93">
        <f t="shared" ref="J93:J96" si="42">(C93-F93)/C93*100</f>
        <v>4.0272158881941849</v>
      </c>
      <c r="K93">
        <f t="shared" ref="K93:K96" si="43">(E93-C93)/C93*100</f>
        <v>-0.69353228602953898</v>
      </c>
      <c r="L93">
        <f t="shared" ref="L93:L96" si="44">K93/J93</f>
        <v>-0.17221135029354506</v>
      </c>
      <c r="M93" t="str">
        <f t="shared" ref="M93:M96" si="45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40"/>
        <v>313.41500000000002</v>
      </c>
      <c r="G94" t="s">
        <v>118</v>
      </c>
      <c r="I94">
        <f t="shared" si="41"/>
        <v>-2.4097833598749983</v>
      </c>
      <c r="J94">
        <f t="shared" si="42"/>
        <v>5.8276494095730245</v>
      </c>
      <c r="K94">
        <f t="shared" si="43"/>
        <v>-2.4097833598749983</v>
      </c>
      <c r="L94">
        <f t="shared" si="44"/>
        <v>-0.41350863624645467</v>
      </c>
      <c r="M94" t="str">
        <f t="shared" si="45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2.71</v>
      </c>
      <c r="E95">
        <v>55.04</v>
      </c>
      <c r="F95">
        <f t="shared" si="40"/>
        <v>55.135000000000005</v>
      </c>
      <c r="G95" t="s">
        <v>176</v>
      </c>
      <c r="I95">
        <f t="shared" si="41"/>
        <v>-7.0270270270270334</v>
      </c>
      <c r="J95">
        <f t="shared" si="42"/>
        <v>6.8665540540540499</v>
      </c>
      <c r="K95">
        <f t="shared" si="43"/>
        <v>-7.0270270270270334</v>
      </c>
      <c r="L95">
        <f t="shared" si="44"/>
        <v>-1.0233702337023385</v>
      </c>
      <c r="M95" t="str">
        <f t="shared" si="45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40"/>
        <v>19.454999999999998</v>
      </c>
      <c r="G96" t="s">
        <v>244</v>
      </c>
      <c r="I96">
        <f t="shared" si="41"/>
        <v>16.24441132637854</v>
      </c>
      <c r="J96">
        <f t="shared" si="42"/>
        <v>3.3532041728763078</v>
      </c>
      <c r="K96">
        <f t="shared" si="43"/>
        <v>16.24441132637854</v>
      </c>
      <c r="L96">
        <f t="shared" si="44"/>
        <v>4.8444444444444388</v>
      </c>
      <c r="M96" t="str">
        <f t="shared" si="45"/>
        <v>Win</v>
      </c>
      <c r="N96" t="s">
        <v>245</v>
      </c>
    </row>
  </sheetData>
  <phoneticPr fontId="1" type="noConversion"/>
  <conditionalFormatting sqref="E23:E96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2026-01-30T18:52:08Z</dcterms:modified>
</cp:coreProperties>
</file>