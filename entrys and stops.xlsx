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nso\Documents\GitHub\Trading\"/>
    </mc:Choice>
  </mc:AlternateContent>
  <xr:revisionPtr revIDLastSave="0" documentId="13_ncr:1_{0BEF3C76-B35F-42F2-8591-A1E157E1C091}" xr6:coauthVersionLast="47" xr6:coauthVersionMax="47" xr10:uidLastSave="{00000000-0000-0000-0000-000000000000}"/>
  <bookViews>
    <workbookView xWindow="-120" yWindow="-120" windowWidth="29040" windowHeight="15720" activeTab="2" xr2:uid="{700066B9-5A74-44E1-ACE9-D49B5F1E5EBB}"/>
  </bookViews>
  <sheets>
    <sheet name="Stop Loss Calculator" sheetId="1" r:id="rId1"/>
    <sheet name="Shares calculator" sheetId="2" r:id="rId2"/>
    <sheet name="Resul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10" i="3" l="1"/>
  <c r="J110" i="3"/>
  <c r="F110" i="3"/>
  <c r="I110" i="3"/>
  <c r="M110" i="3" s="1"/>
  <c r="K110" i="3"/>
  <c r="D110" i="3"/>
  <c r="I109" i="3"/>
  <c r="M109" i="3" s="1"/>
  <c r="K109" i="3"/>
  <c r="D109" i="3"/>
  <c r="F109" i="3" s="1"/>
  <c r="J109" i="3" s="1"/>
  <c r="L109" i="3" s="1"/>
  <c r="D113" i="1"/>
  <c r="D62" i="1"/>
  <c r="I108" i="3"/>
  <c r="M108" i="3" s="1"/>
  <c r="K108" i="3"/>
  <c r="D108" i="3"/>
  <c r="F108" i="3" s="1"/>
  <c r="J108" i="3" s="1"/>
  <c r="L108" i="3" s="1"/>
  <c r="D112" i="1"/>
  <c r="D111" i="1"/>
  <c r="I107" i="3"/>
  <c r="M107" i="3"/>
  <c r="K107" i="3"/>
  <c r="D107" i="3"/>
  <c r="F107" i="3" s="1"/>
  <c r="J107" i="3" s="1"/>
  <c r="L107" i="3" s="1"/>
  <c r="D19" i="1"/>
  <c r="D88" i="1"/>
  <c r="D39" i="1"/>
  <c r="I106" i="3"/>
  <c r="M106" i="3" s="1"/>
  <c r="K106" i="3"/>
  <c r="D106" i="3"/>
  <c r="F106" i="3" s="1"/>
  <c r="J106" i="3" s="1"/>
  <c r="L106" i="3" s="1"/>
  <c r="I105" i="3"/>
  <c r="M105" i="3" s="1"/>
  <c r="K105" i="3"/>
  <c r="D105" i="3"/>
  <c r="F105" i="3" s="1"/>
  <c r="J105" i="3" s="1"/>
  <c r="L105" i="3" s="1"/>
  <c r="D109" i="1"/>
  <c r="D110" i="1"/>
  <c r="I104" i="3"/>
  <c r="M104" i="3"/>
  <c r="K104" i="3"/>
  <c r="D104" i="3"/>
  <c r="F104" i="3" s="1"/>
  <c r="J104" i="3" s="1"/>
  <c r="L104" i="3" s="1"/>
  <c r="I103" i="3"/>
  <c r="M103" i="3" s="1"/>
  <c r="K103" i="3"/>
  <c r="D103" i="3"/>
  <c r="F103" i="3" s="1"/>
  <c r="J103" i="3" s="1"/>
  <c r="L103" i="3" s="1"/>
  <c r="I102" i="3"/>
  <c r="M102" i="3"/>
  <c r="K102" i="3"/>
  <c r="D102" i="3"/>
  <c r="F102" i="3" s="1"/>
  <c r="J102" i="3" s="1"/>
  <c r="L102" i="3" s="1"/>
  <c r="I101" i="3"/>
  <c r="M101" i="3"/>
  <c r="K101" i="3"/>
  <c r="D101" i="3"/>
  <c r="F101" i="3" s="1"/>
  <c r="J101" i="3" s="1"/>
  <c r="L101" i="3" s="1"/>
  <c r="I100" i="3"/>
  <c r="M100" i="3"/>
  <c r="K100" i="3"/>
  <c r="D100" i="3"/>
  <c r="F100" i="3" s="1"/>
  <c r="J100" i="3" s="1"/>
  <c r="L100" i="3" s="1"/>
  <c r="D108" i="1"/>
  <c r="I99" i="3"/>
  <c r="M99" i="3"/>
  <c r="K99" i="3"/>
  <c r="D99" i="3"/>
  <c r="F99" i="3" s="1"/>
  <c r="J99" i="3" s="1"/>
  <c r="L99" i="3" s="1"/>
  <c r="I98" i="3"/>
  <c r="M98" i="3"/>
  <c r="K98" i="3"/>
  <c r="D98" i="3"/>
  <c r="F98" i="3" s="1"/>
  <c r="J98" i="3" s="1"/>
  <c r="L98" i="3" s="1"/>
  <c r="I97" i="3"/>
  <c r="M97" i="3"/>
  <c r="K97" i="3"/>
  <c r="D97" i="3"/>
  <c r="F97" i="3" s="1"/>
  <c r="J97" i="3" s="1"/>
  <c r="L97" i="3" s="1"/>
  <c r="D107" i="1"/>
  <c r="I96" i="3"/>
  <c r="M96" i="3" s="1"/>
  <c r="K96" i="3"/>
  <c r="D96" i="3"/>
  <c r="F96" i="3" s="1"/>
  <c r="J96" i="3" s="1"/>
  <c r="L96" i="3" s="1"/>
  <c r="D106" i="1"/>
  <c r="D105" i="1"/>
  <c r="I95" i="3"/>
  <c r="M95" i="3"/>
  <c r="K95" i="3"/>
  <c r="D95" i="3"/>
  <c r="F95" i="3" s="1"/>
  <c r="J95" i="3" s="1"/>
  <c r="L95" i="3" s="1"/>
  <c r="I94" i="3"/>
  <c r="M94" i="3"/>
  <c r="K94" i="3"/>
  <c r="D94" i="3"/>
  <c r="F94" i="3" s="1"/>
  <c r="J94" i="3" s="1"/>
  <c r="L94" i="3" s="1"/>
  <c r="I93" i="3"/>
  <c r="K93" i="3"/>
  <c r="M93" i="3"/>
  <c r="D93" i="3"/>
  <c r="F93" i="3" s="1"/>
  <c r="J93" i="3" s="1"/>
  <c r="L93" i="3" s="1"/>
  <c r="I92" i="3"/>
  <c r="M92" i="3" s="1"/>
  <c r="K92" i="3"/>
  <c r="D92" i="3"/>
  <c r="F92" i="3" s="1"/>
  <c r="J92" i="3" s="1"/>
  <c r="D104" i="1"/>
  <c r="I91" i="3"/>
  <c r="M91" i="3" s="1"/>
  <c r="K91" i="3"/>
  <c r="D91" i="3"/>
  <c r="F91" i="3" s="1"/>
  <c r="J91" i="3" s="1"/>
  <c r="L91" i="3" s="1"/>
  <c r="I90" i="3"/>
  <c r="M90" i="3"/>
  <c r="K90" i="3"/>
  <c r="D90" i="3"/>
  <c r="F90" i="3" s="1"/>
  <c r="J90" i="3" s="1"/>
  <c r="L90" i="3" s="1"/>
  <c r="I89" i="3"/>
  <c r="M89" i="3"/>
  <c r="K89" i="3"/>
  <c r="D89" i="3"/>
  <c r="F89" i="3" s="1"/>
  <c r="J89" i="3" s="1"/>
  <c r="L89" i="3" s="1"/>
  <c r="I88" i="3"/>
  <c r="M88" i="3"/>
  <c r="K88" i="3"/>
  <c r="D88" i="3"/>
  <c r="F88" i="3" s="1"/>
  <c r="J88" i="3" s="1"/>
  <c r="L88" i="3" s="1"/>
  <c r="D103" i="1"/>
  <c r="I87" i="3"/>
  <c r="M87" i="3"/>
  <c r="K87" i="3"/>
  <c r="D87" i="3"/>
  <c r="F87" i="3" s="1"/>
  <c r="J87" i="3" s="1"/>
  <c r="L87" i="3" s="1"/>
  <c r="I86" i="3"/>
  <c r="M86" i="3" s="1"/>
  <c r="K86" i="3"/>
  <c r="D86" i="3"/>
  <c r="F86" i="3" s="1"/>
  <c r="J86" i="3" s="1"/>
  <c r="L86" i="3" s="1"/>
  <c r="I85" i="3"/>
  <c r="M85" i="3"/>
  <c r="K85" i="3"/>
  <c r="D85" i="3"/>
  <c r="F85" i="3" s="1"/>
  <c r="J85" i="3" s="1"/>
  <c r="L85" i="3" s="1"/>
  <c r="I84" i="3"/>
  <c r="M84" i="3" s="1"/>
  <c r="K84" i="3"/>
  <c r="D84" i="3"/>
  <c r="F84" i="3" s="1"/>
  <c r="J84" i="3" s="1"/>
  <c r="L84" i="3" s="1"/>
  <c r="I83" i="3"/>
  <c r="M83" i="3"/>
  <c r="K83" i="3"/>
  <c r="D83" i="3"/>
  <c r="F83" i="3" s="1"/>
  <c r="J83" i="3" s="1"/>
  <c r="L83" i="3" s="1"/>
  <c r="K61" i="3"/>
  <c r="I82" i="3"/>
  <c r="M82" i="3"/>
  <c r="K82" i="3"/>
  <c r="D82" i="3"/>
  <c r="F82" i="3" s="1"/>
  <c r="J82" i="3" s="1"/>
  <c r="L82" i="3" s="1"/>
  <c r="D102" i="1"/>
  <c r="I81" i="3"/>
  <c r="M81" i="3" s="1"/>
  <c r="K81" i="3"/>
  <c r="D81" i="3"/>
  <c r="F81" i="3" s="1"/>
  <c r="J81" i="3" s="1"/>
  <c r="L81" i="3" s="1"/>
  <c r="I80" i="3"/>
  <c r="M80" i="3"/>
  <c r="K80" i="3"/>
  <c r="D80" i="3"/>
  <c r="F80" i="3" s="1"/>
  <c r="J80" i="3" s="1"/>
  <c r="L80" i="3" s="1"/>
  <c r="I79" i="3"/>
  <c r="M79" i="3" s="1"/>
  <c r="K79" i="3"/>
  <c r="D79" i="3"/>
  <c r="F79" i="3" s="1"/>
  <c r="J79" i="3" s="1"/>
  <c r="L79" i="3" s="1"/>
  <c r="I78" i="3"/>
  <c r="M78" i="3" s="1"/>
  <c r="K78" i="3"/>
  <c r="D78" i="3"/>
  <c r="F78" i="3" s="1"/>
  <c r="J78" i="3" s="1"/>
  <c r="L78" i="3" s="1"/>
  <c r="I77" i="3"/>
  <c r="M77" i="3" s="1"/>
  <c r="K77" i="3"/>
  <c r="D77" i="3"/>
  <c r="F77" i="3" s="1"/>
  <c r="J77" i="3" s="1"/>
  <c r="L77" i="3" s="1"/>
  <c r="I76" i="3"/>
  <c r="M76" i="3" s="1"/>
  <c r="K76" i="3"/>
  <c r="D76" i="3"/>
  <c r="F76" i="3" s="1"/>
  <c r="J76" i="3" s="1"/>
  <c r="L76" i="3" s="1"/>
  <c r="I75" i="3"/>
  <c r="K75" i="3"/>
  <c r="M75" i="3"/>
  <c r="D11" i="3"/>
  <c r="D12" i="3"/>
  <c r="F12" i="3" s="1"/>
  <c r="D13" i="3"/>
  <c r="F13" i="3" s="1"/>
  <c r="D14" i="3"/>
  <c r="F14" i="3" s="1"/>
  <c r="D15" i="3"/>
  <c r="F15" i="3" s="1"/>
  <c r="D16" i="3"/>
  <c r="F16" i="3" s="1"/>
  <c r="D17" i="3"/>
  <c r="F17" i="3" s="1"/>
  <c r="D18" i="3"/>
  <c r="F18" i="3" s="1"/>
  <c r="D19" i="3"/>
  <c r="F19" i="3" s="1"/>
  <c r="D20" i="3"/>
  <c r="F20" i="3" s="1"/>
  <c r="D21" i="3"/>
  <c r="F21" i="3" s="1"/>
  <c r="J21" i="3" s="1"/>
  <c r="D22" i="3"/>
  <c r="F22" i="3" s="1"/>
  <c r="D23" i="3"/>
  <c r="F23" i="3" s="1"/>
  <c r="D24" i="3"/>
  <c r="F24" i="3" s="1"/>
  <c r="D25" i="3"/>
  <c r="F25" i="3" s="1"/>
  <c r="D26" i="3"/>
  <c r="F26" i="3" s="1"/>
  <c r="D27" i="3"/>
  <c r="D28" i="3"/>
  <c r="F28" i="3" s="1"/>
  <c r="D29" i="3"/>
  <c r="F29" i="3" s="1"/>
  <c r="J29" i="3" s="1"/>
  <c r="L29" i="3" s="1"/>
  <c r="D30" i="3"/>
  <c r="F30" i="3" s="1"/>
  <c r="D31" i="3"/>
  <c r="F31" i="3" s="1"/>
  <c r="D32" i="3"/>
  <c r="F32" i="3" s="1"/>
  <c r="J32" i="3" s="1"/>
  <c r="L32" i="3" s="1"/>
  <c r="D33" i="3"/>
  <c r="D34" i="3"/>
  <c r="F34" i="3" s="1"/>
  <c r="D35" i="3"/>
  <c r="F35" i="3" s="1"/>
  <c r="J35" i="3" s="1"/>
  <c r="L35" i="3" s="1"/>
  <c r="D36" i="3"/>
  <c r="F36" i="3" s="1"/>
  <c r="J36" i="3" s="1"/>
  <c r="L36" i="3" s="1"/>
  <c r="D37" i="3"/>
  <c r="F37" i="3" s="1"/>
  <c r="J37" i="3" s="1"/>
  <c r="L37" i="3" s="1"/>
  <c r="D38" i="3"/>
  <c r="F38" i="3" s="1"/>
  <c r="J38" i="3" s="1"/>
  <c r="L38" i="3" s="1"/>
  <c r="D39" i="3"/>
  <c r="F39" i="3" s="1"/>
  <c r="J39" i="3" s="1"/>
  <c r="L39" i="3" s="1"/>
  <c r="D40" i="3"/>
  <c r="F40" i="3" s="1"/>
  <c r="J40" i="3" s="1"/>
  <c r="L40" i="3" s="1"/>
  <c r="D41" i="3"/>
  <c r="F41" i="3" s="1"/>
  <c r="J41" i="3" s="1"/>
  <c r="L41" i="3" s="1"/>
  <c r="D42" i="3"/>
  <c r="F42" i="3" s="1"/>
  <c r="J42" i="3" s="1"/>
  <c r="L42" i="3" s="1"/>
  <c r="D43" i="3"/>
  <c r="F43" i="3" s="1"/>
  <c r="J43" i="3" s="1"/>
  <c r="L43" i="3" s="1"/>
  <c r="D44" i="3"/>
  <c r="F44" i="3" s="1"/>
  <c r="J44" i="3" s="1"/>
  <c r="L44" i="3" s="1"/>
  <c r="D45" i="3"/>
  <c r="F45" i="3" s="1"/>
  <c r="J45" i="3" s="1"/>
  <c r="L45" i="3" s="1"/>
  <c r="D46" i="3"/>
  <c r="F46" i="3" s="1"/>
  <c r="J46" i="3" s="1"/>
  <c r="L46" i="3" s="1"/>
  <c r="D47" i="3"/>
  <c r="F47" i="3" s="1"/>
  <c r="J47" i="3" s="1"/>
  <c r="L47" i="3" s="1"/>
  <c r="D48" i="3"/>
  <c r="F48" i="3" s="1"/>
  <c r="J48" i="3" s="1"/>
  <c r="L48" i="3" s="1"/>
  <c r="D49" i="3"/>
  <c r="F49" i="3" s="1"/>
  <c r="J49" i="3" s="1"/>
  <c r="L49" i="3" s="1"/>
  <c r="D50" i="3"/>
  <c r="F50" i="3" s="1"/>
  <c r="J50" i="3" s="1"/>
  <c r="L50" i="3" s="1"/>
  <c r="D51" i="3"/>
  <c r="F51" i="3" s="1"/>
  <c r="J51" i="3" s="1"/>
  <c r="L51" i="3" s="1"/>
  <c r="D52" i="3"/>
  <c r="F52" i="3" s="1"/>
  <c r="J52" i="3" s="1"/>
  <c r="L52" i="3" s="1"/>
  <c r="D53" i="3"/>
  <c r="F53" i="3" s="1"/>
  <c r="J53" i="3" s="1"/>
  <c r="L53" i="3" s="1"/>
  <c r="D54" i="3"/>
  <c r="F54" i="3" s="1"/>
  <c r="J54" i="3" s="1"/>
  <c r="L54" i="3" s="1"/>
  <c r="D55" i="3"/>
  <c r="F55" i="3" s="1"/>
  <c r="J55" i="3" s="1"/>
  <c r="L55" i="3" s="1"/>
  <c r="D56" i="3"/>
  <c r="F56" i="3" s="1"/>
  <c r="J56" i="3" s="1"/>
  <c r="L56" i="3" s="1"/>
  <c r="D57" i="3"/>
  <c r="F57" i="3" s="1"/>
  <c r="J57" i="3" s="1"/>
  <c r="L57" i="3" s="1"/>
  <c r="D58" i="3"/>
  <c r="F58" i="3" s="1"/>
  <c r="J58" i="3" s="1"/>
  <c r="L58" i="3" s="1"/>
  <c r="D59" i="3"/>
  <c r="F59" i="3" s="1"/>
  <c r="J59" i="3" s="1"/>
  <c r="L59" i="3" s="1"/>
  <c r="D60" i="3"/>
  <c r="F60" i="3" s="1"/>
  <c r="J60" i="3" s="1"/>
  <c r="L60" i="3" s="1"/>
  <c r="D61" i="3"/>
  <c r="F61" i="3" s="1"/>
  <c r="J61" i="3" s="1"/>
  <c r="L61" i="3" s="1"/>
  <c r="D62" i="3"/>
  <c r="F62" i="3" s="1"/>
  <c r="J62" i="3" s="1"/>
  <c r="L62" i="3" s="1"/>
  <c r="D63" i="3"/>
  <c r="F63" i="3" s="1"/>
  <c r="J63" i="3" s="1"/>
  <c r="L63" i="3" s="1"/>
  <c r="D64" i="3"/>
  <c r="F64" i="3" s="1"/>
  <c r="J64" i="3" s="1"/>
  <c r="L64" i="3" s="1"/>
  <c r="D65" i="3"/>
  <c r="F65" i="3" s="1"/>
  <c r="J65" i="3" s="1"/>
  <c r="L65" i="3" s="1"/>
  <c r="D66" i="3"/>
  <c r="F66" i="3" s="1"/>
  <c r="J66" i="3" s="1"/>
  <c r="L66" i="3" s="1"/>
  <c r="D67" i="3"/>
  <c r="F67" i="3" s="1"/>
  <c r="J67" i="3" s="1"/>
  <c r="L67" i="3" s="1"/>
  <c r="D68" i="3"/>
  <c r="F68" i="3" s="1"/>
  <c r="J68" i="3" s="1"/>
  <c r="L68" i="3" s="1"/>
  <c r="D69" i="3"/>
  <c r="F69" i="3" s="1"/>
  <c r="J69" i="3" s="1"/>
  <c r="L69" i="3" s="1"/>
  <c r="D70" i="3"/>
  <c r="F70" i="3" s="1"/>
  <c r="J70" i="3" s="1"/>
  <c r="L70" i="3" s="1"/>
  <c r="D71" i="3"/>
  <c r="F71" i="3" s="1"/>
  <c r="J71" i="3" s="1"/>
  <c r="L71" i="3" s="1"/>
  <c r="D72" i="3"/>
  <c r="F72" i="3" s="1"/>
  <c r="J72" i="3" s="1"/>
  <c r="L72" i="3" s="1"/>
  <c r="D73" i="3"/>
  <c r="F73" i="3" s="1"/>
  <c r="J73" i="3" s="1"/>
  <c r="L73" i="3" s="1"/>
  <c r="D74" i="3"/>
  <c r="F74" i="3" s="1"/>
  <c r="J74" i="3" s="1"/>
  <c r="L74" i="3" s="1"/>
  <c r="D75" i="3"/>
  <c r="F75" i="3" s="1"/>
  <c r="J75" i="3" s="1"/>
  <c r="L75" i="3" s="1"/>
  <c r="D10" i="3"/>
  <c r="F10" i="3" s="1"/>
  <c r="D101" i="1"/>
  <c r="I74" i="3"/>
  <c r="M74" i="3" s="1"/>
  <c r="K74" i="3"/>
  <c r="I73" i="3"/>
  <c r="M73" i="3" s="1"/>
  <c r="K73" i="3"/>
  <c r="I72" i="3"/>
  <c r="M72" i="3" s="1"/>
  <c r="K72" i="3"/>
  <c r="I71" i="3"/>
  <c r="M71" i="3"/>
  <c r="K71" i="3"/>
  <c r="I70" i="3"/>
  <c r="M70" i="3"/>
  <c r="K70" i="3"/>
  <c r="H4" i="1"/>
  <c r="D100" i="1"/>
  <c r="I69" i="3"/>
  <c r="M69" i="3"/>
  <c r="K69" i="3"/>
  <c r="D65" i="1"/>
  <c r="D99" i="1"/>
  <c r="I68" i="3"/>
  <c r="M68" i="3"/>
  <c r="K68" i="3"/>
  <c r="I67" i="3"/>
  <c r="M67" i="3"/>
  <c r="K67" i="3"/>
  <c r="D69" i="1"/>
  <c r="D98" i="1"/>
  <c r="I66" i="3"/>
  <c r="M66" i="3"/>
  <c r="K66" i="3"/>
  <c r="I65" i="3"/>
  <c r="M65" i="3"/>
  <c r="K65" i="3"/>
  <c r="D37" i="1"/>
  <c r="D97" i="1"/>
  <c r="I64" i="3"/>
  <c r="M64" i="3" s="1"/>
  <c r="K64" i="3"/>
  <c r="D96" i="1"/>
  <c r="I63" i="3"/>
  <c r="M63" i="3"/>
  <c r="K63" i="3"/>
  <c r="D89" i="1"/>
  <c r="I62" i="3"/>
  <c r="M62" i="3" s="1"/>
  <c r="K62" i="3"/>
  <c r="D95" i="1"/>
  <c r="D94" i="1"/>
  <c r="D91" i="1"/>
  <c r="D92" i="1"/>
  <c r="D93" i="1"/>
  <c r="I61" i="3"/>
  <c r="M61" i="3"/>
  <c r="I60" i="3"/>
  <c r="K60" i="3"/>
  <c r="M60" i="3"/>
  <c r="D51" i="1"/>
  <c r="D90" i="1"/>
  <c r="I59" i="3"/>
  <c r="M59" i="3"/>
  <c r="K59" i="3"/>
  <c r="I58" i="3"/>
  <c r="M58" i="3"/>
  <c r="K58" i="3"/>
  <c r="I57" i="3"/>
  <c r="M57" i="3"/>
  <c r="K57" i="3"/>
  <c r="I56" i="3"/>
  <c r="M56" i="3"/>
  <c r="K56" i="3"/>
  <c r="I55" i="3"/>
  <c r="M55" i="3" s="1"/>
  <c r="K55" i="3"/>
  <c r="I54" i="3"/>
  <c r="M54" i="3" s="1"/>
  <c r="K54" i="3"/>
  <c r="I53" i="3"/>
  <c r="M53" i="3"/>
  <c r="K53" i="3"/>
  <c r="I52" i="3"/>
  <c r="M52" i="3"/>
  <c r="K52" i="3"/>
  <c r="I51" i="3"/>
  <c r="M51" i="3"/>
  <c r="K51" i="3"/>
  <c r="D84" i="1"/>
  <c r="D87" i="1"/>
  <c r="I50" i="3"/>
  <c r="M50" i="3"/>
  <c r="K50" i="3"/>
  <c r="I49" i="3"/>
  <c r="M49" i="3"/>
  <c r="K49" i="3"/>
  <c r="I48" i="3"/>
  <c r="M48" i="3" s="1"/>
  <c r="K48" i="3"/>
  <c r="D52" i="1"/>
  <c r="I47" i="3"/>
  <c r="M47" i="3"/>
  <c r="K47" i="3"/>
  <c r="D73" i="1"/>
  <c r="I46" i="3"/>
  <c r="M46" i="3" s="1"/>
  <c r="K46" i="3"/>
  <c r="I45" i="3"/>
  <c r="M45" i="3" s="1"/>
  <c r="K45" i="3"/>
  <c r="I44" i="3"/>
  <c r="M44" i="3" s="1"/>
  <c r="K44" i="3"/>
  <c r="I43" i="3"/>
  <c r="M43" i="3" s="1"/>
  <c r="K43" i="3"/>
  <c r="I42" i="3"/>
  <c r="M42" i="3"/>
  <c r="K42" i="3"/>
  <c r="I41" i="3"/>
  <c r="M41" i="3" s="1"/>
  <c r="K41" i="3"/>
  <c r="D86" i="1"/>
  <c r="D85" i="1"/>
  <c r="D40" i="1"/>
  <c r="I40" i="3"/>
  <c r="M40" i="3"/>
  <c r="K40" i="3"/>
  <c r="I39" i="3"/>
  <c r="M39" i="3" s="1"/>
  <c r="K39" i="3"/>
  <c r="I38" i="3"/>
  <c r="M38" i="3"/>
  <c r="K38" i="3"/>
  <c r="D66" i="1"/>
  <c r="D70" i="1"/>
  <c r="I37" i="3"/>
  <c r="M37" i="3"/>
  <c r="K37" i="3"/>
  <c r="I36" i="3"/>
  <c r="M36" i="3" s="1"/>
  <c r="K36" i="3"/>
  <c r="I35" i="3"/>
  <c r="M35" i="3" s="1"/>
  <c r="K35" i="3"/>
  <c r="I34" i="3"/>
  <c r="M34" i="3"/>
  <c r="K34" i="3"/>
  <c r="I33" i="3"/>
  <c r="M33" i="3" s="1"/>
  <c r="K33" i="3"/>
  <c r="I32" i="3"/>
  <c r="M32" i="3"/>
  <c r="K32" i="3"/>
  <c r="I31" i="3"/>
  <c r="M31" i="3"/>
  <c r="K31" i="3"/>
  <c r="I30" i="3"/>
  <c r="M30" i="3"/>
  <c r="K30" i="3"/>
  <c r="D83" i="1"/>
  <c r="I29" i="3"/>
  <c r="M29" i="3" s="1"/>
  <c r="K29" i="3"/>
  <c r="D59" i="1"/>
  <c r="D26" i="1"/>
  <c r="D24" i="1"/>
  <c r="D53" i="1"/>
  <c r="D82" i="1"/>
  <c r="I28" i="3"/>
  <c r="M28" i="3" s="1"/>
  <c r="K28" i="3"/>
  <c r="D60" i="1"/>
  <c r="D72" i="1"/>
  <c r="D74" i="1"/>
  <c r="D64" i="1"/>
  <c r="I27" i="3"/>
  <c r="M27" i="3" s="1"/>
  <c r="K27" i="3"/>
  <c r="D81" i="1"/>
  <c r="D80" i="1"/>
  <c r="D79" i="1"/>
  <c r="I26" i="3"/>
  <c r="M26" i="3"/>
  <c r="K26" i="3"/>
  <c r="D78" i="1"/>
  <c r="C8" i="2"/>
  <c r="D77" i="1"/>
  <c r="D76" i="1"/>
  <c r="D68" i="1"/>
  <c r="D75" i="1"/>
  <c r="D34" i="1"/>
  <c r="I25" i="3"/>
  <c r="K25" i="3"/>
  <c r="M25" i="3"/>
  <c r="I24" i="3"/>
  <c r="M24" i="3"/>
  <c r="K24" i="3"/>
  <c r="D46" i="1"/>
  <c r="D71" i="1"/>
  <c r="I23" i="3"/>
  <c r="K23" i="3"/>
  <c r="M23" i="3"/>
  <c r="D25" i="1"/>
  <c r="I13" i="3"/>
  <c r="M13" i="3" s="1"/>
  <c r="D63" i="1"/>
  <c r="D67" i="1"/>
  <c r="D3" i="1"/>
  <c r="I22" i="3"/>
  <c r="M22" i="3" s="1"/>
  <c r="D61" i="1"/>
  <c r="D47" i="1"/>
  <c r="I18" i="3"/>
  <c r="M18" i="3" s="1"/>
  <c r="D58" i="1"/>
  <c r="D57" i="1"/>
  <c r="D56" i="1"/>
  <c r="I14" i="3"/>
  <c r="M14" i="3" s="1"/>
  <c r="I12" i="3"/>
  <c r="M12" i="3" s="1"/>
  <c r="C11" i="3"/>
  <c r="D50" i="1"/>
  <c r="D55" i="1"/>
  <c r="D48" i="1"/>
  <c r="D54" i="1"/>
  <c r="D38" i="1"/>
  <c r="D49" i="1"/>
  <c r="D45" i="1"/>
  <c r="D44" i="1"/>
  <c r="D43" i="1"/>
  <c r="D42" i="1"/>
  <c r="D41" i="1"/>
  <c r="D36" i="1"/>
  <c r="D35" i="1"/>
  <c r="D29" i="1"/>
  <c r="C11" i="2" s="1"/>
  <c r="D33" i="1"/>
  <c r="B13" i="2"/>
  <c r="H7" i="1"/>
  <c r="D32" i="1"/>
  <c r="C13" i="2" s="1"/>
  <c r="D31" i="1"/>
  <c r="D30" i="1"/>
  <c r="B12" i="2"/>
  <c r="B11" i="2"/>
  <c r="B10" i="2"/>
  <c r="B9" i="2"/>
  <c r="D28" i="1"/>
  <c r="C9" i="2" s="1"/>
  <c r="D27" i="1"/>
  <c r="B8" i="2"/>
  <c r="B7" i="2"/>
  <c r="D23" i="1"/>
  <c r="C7" i="2" s="1"/>
  <c r="B4" i="2"/>
  <c r="B5" i="2"/>
  <c r="B6" i="2"/>
  <c r="B3" i="2"/>
  <c r="D22" i="1"/>
  <c r="C6" i="2" s="1"/>
  <c r="D21" i="1"/>
  <c r="C5" i="2" s="1"/>
  <c r="D20" i="1"/>
  <c r="C3" i="2" s="1"/>
  <c r="D18" i="1"/>
  <c r="D17" i="1"/>
  <c r="D16" i="1"/>
  <c r="D15" i="1"/>
  <c r="D14" i="1"/>
  <c r="C10" i="2" s="1"/>
  <c r="D13" i="1"/>
  <c r="D12" i="1"/>
  <c r="D11" i="1"/>
  <c r="D10" i="1"/>
  <c r="D9" i="1"/>
  <c r="C4" i="2" s="1"/>
  <c r="D8" i="1"/>
  <c r="D7" i="1"/>
  <c r="D6" i="1"/>
  <c r="D5" i="1"/>
  <c r="C12" i="2" s="1"/>
  <c r="D4" i="1"/>
  <c r="L92" i="3" l="1"/>
  <c r="H5" i="1"/>
  <c r="H8" i="1" s="1"/>
  <c r="H9" i="1" s="1"/>
  <c r="F11" i="3"/>
  <c r="J11" i="3" s="1"/>
  <c r="F33" i="3"/>
  <c r="J33" i="3" s="1"/>
  <c r="L33" i="3" s="1"/>
  <c r="J30" i="3"/>
  <c r="L30" i="3" s="1"/>
  <c r="F27" i="3"/>
  <c r="J27" i="3" s="1"/>
  <c r="L27" i="3" s="1"/>
  <c r="J24" i="3"/>
  <c r="L24" i="3" s="1"/>
  <c r="J28" i="3"/>
  <c r="L28" i="3" s="1"/>
  <c r="J34" i="3"/>
  <c r="L34" i="3" s="1"/>
  <c r="J23" i="3"/>
  <c r="L23" i="3" s="1"/>
  <c r="J26" i="3"/>
  <c r="L26" i="3" s="1"/>
  <c r="J25" i="3"/>
  <c r="L25" i="3" s="1"/>
  <c r="J31" i="3"/>
  <c r="L31" i="3" s="1"/>
  <c r="K22" i="3"/>
  <c r="J22" i="3"/>
  <c r="J20" i="3"/>
  <c r="J19" i="3"/>
  <c r="I21" i="3"/>
  <c r="M21" i="3" s="1"/>
  <c r="K21" i="3"/>
  <c r="L21" i="3" s="1"/>
  <c r="K19" i="3"/>
  <c r="K20" i="3"/>
  <c r="I20" i="3"/>
  <c r="M20" i="3" s="1"/>
  <c r="I19" i="3"/>
  <c r="M19" i="3" s="1"/>
  <c r="K18" i="3"/>
  <c r="J18" i="3"/>
  <c r="J17" i="3"/>
  <c r="K17" i="3"/>
  <c r="I17" i="3"/>
  <c r="M17" i="3" s="1"/>
  <c r="J10" i="3"/>
  <c r="J12" i="3"/>
  <c r="J16" i="3"/>
  <c r="K16" i="3"/>
  <c r="I16" i="3"/>
  <c r="M16" i="3" s="1"/>
  <c r="J15" i="3"/>
  <c r="J14" i="3"/>
  <c r="J13" i="3"/>
  <c r="K11" i="3"/>
  <c r="K15" i="3"/>
  <c r="I15" i="3"/>
  <c r="M15" i="3" s="1"/>
  <c r="I11" i="3"/>
  <c r="M11" i="3" s="1"/>
  <c r="K13" i="3"/>
  <c r="K14" i="3"/>
  <c r="K12" i="3"/>
  <c r="I10" i="3"/>
  <c r="M10" i="3" s="1"/>
  <c r="K10" i="3"/>
  <c r="D13" i="2"/>
  <c r="H10" i="1"/>
  <c r="D12" i="2"/>
  <c r="D11" i="2"/>
  <c r="D9" i="2"/>
  <c r="D10" i="2"/>
  <c r="D7" i="2"/>
  <c r="D8" i="2"/>
  <c r="D5" i="2"/>
  <c r="D6" i="2"/>
  <c r="D4" i="2"/>
  <c r="D3" i="2"/>
  <c r="L20" i="3" l="1"/>
  <c r="L19" i="3"/>
  <c r="L22" i="3"/>
  <c r="L16" i="3"/>
  <c r="L17" i="3"/>
  <c r="L11" i="3"/>
  <c r="L18" i="3"/>
  <c r="L13" i="3"/>
  <c r="L14" i="3"/>
  <c r="L12" i="3"/>
  <c r="L15" i="3"/>
  <c r="B1" i="3"/>
  <c r="B2" i="3"/>
  <c r="B3" i="3"/>
  <c r="L10" i="3"/>
  <c r="H11" i="1"/>
  <c r="H12" i="1" s="1"/>
  <c r="H13" i="1" s="1"/>
  <c r="B4" i="3" l="1"/>
  <c r="B5" i="3"/>
</calcChain>
</file>

<file path=xl/sharedStrings.xml><?xml version="1.0" encoding="utf-8"?>
<sst xmlns="http://schemas.openxmlformats.org/spreadsheetml/2006/main" count="478" uniqueCount="270">
  <si>
    <t>Price</t>
  </si>
  <si>
    <t>ATR</t>
  </si>
  <si>
    <t>Stop loss</t>
  </si>
  <si>
    <t>TICKR</t>
  </si>
  <si>
    <t>BILI</t>
  </si>
  <si>
    <t>TSHA</t>
  </si>
  <si>
    <t>ADPT</t>
  </si>
  <si>
    <t>GGB</t>
  </si>
  <si>
    <t>UUUU</t>
  </si>
  <si>
    <t>SHOP</t>
  </si>
  <si>
    <t>AMZN</t>
  </si>
  <si>
    <t>FRDV</t>
  </si>
  <si>
    <t>ATAI</t>
  </si>
  <si>
    <t>ANGO</t>
  </si>
  <si>
    <t>NIO</t>
  </si>
  <si>
    <t>TOYO</t>
  </si>
  <si>
    <t>CSX</t>
  </si>
  <si>
    <t>KTOS</t>
  </si>
  <si>
    <t>FIGS</t>
  </si>
  <si>
    <t>CNP</t>
  </si>
  <si>
    <t>MNST</t>
  </si>
  <si>
    <t>Max risk per trade</t>
  </si>
  <si>
    <t>AAUC</t>
  </si>
  <si>
    <t>Shares</t>
  </si>
  <si>
    <t>Stop Loss</t>
  </si>
  <si>
    <t>FMST</t>
  </si>
  <si>
    <t>Account size</t>
  </si>
  <si>
    <t>Total account balance</t>
  </si>
  <si>
    <t>Stock entry price</t>
  </si>
  <si>
    <t>Stop-loss price</t>
  </si>
  <si>
    <t>Available funds</t>
  </si>
  <si>
    <t>Risk per share</t>
  </si>
  <si>
    <t>Entry - Stop</t>
  </si>
  <si>
    <t>Ideal shares (risk-based)</t>
  </si>
  <si>
    <t>Max shares if enough funds</t>
  </si>
  <si>
    <t>Max shares (funds-based)</t>
  </si>
  <si>
    <t>Available funds ÷ Entry price</t>
  </si>
  <si>
    <t>Shares to buy (final)</t>
  </si>
  <si>
    <t>Smaller of the two values</t>
  </si>
  <si>
    <t>Real $ risk</t>
  </si>
  <si>
    <t>Actual $ risk</t>
  </si>
  <si>
    <t>Real % risk</t>
  </si>
  <si>
    <t>Actual % of account risked</t>
  </si>
  <si>
    <t>% risk per trade</t>
  </si>
  <si>
    <t>Entry</t>
  </si>
  <si>
    <t>Input</t>
  </si>
  <si>
    <t>Calculation</t>
  </si>
  <si>
    <t>Description</t>
  </si>
  <si>
    <t>$Risk per trade</t>
  </si>
  <si>
    <t>SOFI</t>
  </si>
  <si>
    <t>DNN</t>
  </si>
  <si>
    <t>CWK</t>
  </si>
  <si>
    <t>GILD</t>
  </si>
  <si>
    <t>INTR</t>
  </si>
  <si>
    <t>KOPN</t>
  </si>
  <si>
    <t>RKT</t>
  </si>
  <si>
    <t>NBIS</t>
  </si>
  <si>
    <t>NRT</t>
  </si>
  <si>
    <t>SEI</t>
  </si>
  <si>
    <t>AMPY</t>
  </si>
  <si>
    <t>Ticker</t>
  </si>
  <si>
    <t>MYSZ</t>
  </si>
  <si>
    <t>TCEHY</t>
  </si>
  <si>
    <t>PATH</t>
  </si>
  <si>
    <t>GFI</t>
  </si>
  <si>
    <t>AMD</t>
  </si>
  <si>
    <t>ITT</t>
  </si>
  <si>
    <t>GXO</t>
  </si>
  <si>
    <t>NVDA</t>
  </si>
  <si>
    <t>CELH</t>
  </si>
  <si>
    <t>QCOM</t>
  </si>
  <si>
    <t>AAOI</t>
  </si>
  <si>
    <t>AAL</t>
  </si>
  <si>
    <t>ARM</t>
  </si>
  <si>
    <t>TSM</t>
  </si>
  <si>
    <t>ATAT</t>
  </si>
  <si>
    <t>ASML</t>
  </si>
  <si>
    <t>APPS</t>
  </si>
  <si>
    <t>FLEX</t>
  </si>
  <si>
    <t>PLTR</t>
  </si>
  <si>
    <t>HAYW</t>
  </si>
  <si>
    <t>Date</t>
  </si>
  <si>
    <t>Entry Price</t>
  </si>
  <si>
    <t>Exit Price</t>
  </si>
  <si>
    <t>Take Profit Target</t>
  </si>
  <si>
    <t>Result(%)</t>
  </si>
  <si>
    <t>Risk(%)</t>
  </si>
  <si>
    <t>Reward(%)</t>
  </si>
  <si>
    <t>R Multiple</t>
  </si>
  <si>
    <t>Trade Outcome</t>
  </si>
  <si>
    <t>Notes</t>
  </si>
  <si>
    <t>Win Rate</t>
  </si>
  <si>
    <t>%of winning trades</t>
  </si>
  <si>
    <t>Avg Win (%)</t>
  </si>
  <si>
    <t>Avg Loss (%)</t>
  </si>
  <si>
    <t>Avg R Multiple</t>
  </si>
  <si>
    <t>Expected Value (EV)</t>
  </si>
  <si>
    <t>The stock is showing a reversal not worth it to keep it until stop loss</t>
  </si>
  <si>
    <t>Bought before Q3 results, big movement involved and too risky. 1 Share remaining</t>
  </si>
  <si>
    <t>HYMC</t>
  </si>
  <si>
    <t>APH</t>
  </si>
  <si>
    <t>Sold in order to release funds and look for better candidates. It presents big volatility</t>
  </si>
  <si>
    <t>GILT</t>
  </si>
  <si>
    <t>Time holded</t>
  </si>
  <si>
    <t>10days</t>
  </si>
  <si>
    <t>5 days</t>
  </si>
  <si>
    <t>Sold for locking profits, the market is down today</t>
  </si>
  <si>
    <t>4 days</t>
  </si>
  <si>
    <t>9 days</t>
  </si>
  <si>
    <t>Sold to prevent big loss in the biggest position (1K)</t>
  </si>
  <si>
    <t>3 weeks</t>
  </si>
  <si>
    <t>Stopped out</t>
  </si>
  <si>
    <t>XLP</t>
  </si>
  <si>
    <t>2 days</t>
  </si>
  <si>
    <t>Sold to secure profits, the stock went down and then recover</t>
  </si>
  <si>
    <t>NIU</t>
  </si>
  <si>
    <t>ROKU</t>
  </si>
  <si>
    <t>1 week</t>
  </si>
  <si>
    <t>1 day</t>
  </si>
  <si>
    <t>Clear downtrend, bad trade</t>
  </si>
  <si>
    <t>XLI</t>
  </si>
  <si>
    <t>CPA</t>
  </si>
  <si>
    <t>ONDS</t>
  </si>
  <si>
    <t>NG</t>
  </si>
  <si>
    <t>TJX</t>
  </si>
  <si>
    <t>COCO</t>
  </si>
  <si>
    <t>UEC</t>
  </si>
  <si>
    <t>GAU</t>
  </si>
  <si>
    <t>DHR</t>
  </si>
  <si>
    <t>Missplaced stop loss, it was adjusted to secure earnings</t>
  </si>
  <si>
    <t>SA</t>
  </si>
  <si>
    <t>SSRM</t>
  </si>
  <si>
    <t>BBAI</t>
  </si>
  <si>
    <t>Stopped out. Unemployment rate announcement unfavorable</t>
  </si>
  <si>
    <t>ABT</t>
  </si>
  <si>
    <t>PFE</t>
  </si>
  <si>
    <t>XLV</t>
  </si>
  <si>
    <t>GSK</t>
  </si>
  <si>
    <t>LGCY</t>
  </si>
  <si>
    <t>ROST</t>
  </si>
  <si>
    <t>FOLD</t>
  </si>
  <si>
    <t>1 month</t>
  </si>
  <si>
    <t>Sold a small position that is not giving big profit</t>
  </si>
  <si>
    <t>CTMX</t>
  </si>
  <si>
    <t>GSM</t>
  </si>
  <si>
    <t>ST</t>
  </si>
  <si>
    <t>Better entry using MACD and RSI</t>
  </si>
  <si>
    <t xml:space="preserve">Partially sold after reaching 16% </t>
  </si>
  <si>
    <t>CDE</t>
  </si>
  <si>
    <t>10 days</t>
  </si>
  <si>
    <t>Stopped out, but with earnings after adjusting the exit according to previous days closing prices</t>
  </si>
  <si>
    <t>INTC</t>
  </si>
  <si>
    <t>14 days</t>
  </si>
  <si>
    <t>Stopped out by trailing stop, few earnings. I need to adjust trailing stop</t>
  </si>
  <si>
    <t>Stopped out. FOMO entry bad placed</t>
  </si>
  <si>
    <t>2 weeks</t>
  </si>
  <si>
    <t>16% earnings sold to release funds</t>
  </si>
  <si>
    <t>Stopped out. MACD uncertain</t>
  </si>
  <si>
    <t>Merger announced too risky to keep it</t>
  </si>
  <si>
    <t>stock is showing weakness. Sold before entering in negative territory</t>
  </si>
  <si>
    <t>5.2% increase. Sold for securing profit</t>
  </si>
  <si>
    <t>IGV</t>
  </si>
  <si>
    <t>12 days</t>
  </si>
  <si>
    <t>Stopped out. Fake Recovery</t>
  </si>
  <si>
    <t>11 days</t>
  </si>
  <si>
    <t>The stock is showing weakness. MACD is starting to reverse. Secure profit</t>
  </si>
  <si>
    <t>Stopped out. The stock entered a correction zone and fell</t>
  </si>
  <si>
    <t>NEM</t>
  </si>
  <si>
    <t>PYPL</t>
  </si>
  <si>
    <t>Stopped out. Bad performance</t>
  </si>
  <si>
    <t>Stopped out. Small position</t>
  </si>
  <si>
    <t>7 days</t>
  </si>
  <si>
    <t>Trimmed position regarding incoming FED announcement</t>
  </si>
  <si>
    <t>Cooling down, not a good time for keeping</t>
  </si>
  <si>
    <t>Sold before earnings announcement for reducing risk and secure profit</t>
  </si>
  <si>
    <t>Flat movement, entry didn't work</t>
  </si>
  <si>
    <t>3 days</t>
  </si>
  <si>
    <t>It shows weakness</t>
  </si>
  <si>
    <t>CAT</t>
  </si>
  <si>
    <t>RTX</t>
  </si>
  <si>
    <t>strong negative movement. Unemployment rate announced</t>
  </si>
  <si>
    <t>Stopped out. Stop Trail. Unemployment rate announced</t>
  </si>
  <si>
    <t>The market is choppy and is not showing clear trends. It is killing my account</t>
  </si>
  <si>
    <t>17 days</t>
  </si>
  <si>
    <t>Big loss, the market is choppy and completely unstable</t>
  </si>
  <si>
    <t>22 days</t>
  </si>
  <si>
    <t>Closing positions for securing capital</t>
  </si>
  <si>
    <t>Stopped out in choppy market</t>
  </si>
  <si>
    <t>13 days</t>
  </si>
  <si>
    <t>Bad limit on close order</t>
  </si>
  <si>
    <t>Bad entry</t>
  </si>
  <si>
    <t>JCI</t>
  </si>
  <si>
    <t>ELAN</t>
  </si>
  <si>
    <t>D</t>
  </si>
  <si>
    <t>ATEC</t>
  </si>
  <si>
    <t>SUPV</t>
  </si>
  <si>
    <t>The stock is moving laterally</t>
  </si>
  <si>
    <t>Stopped out. Bad performance of the tech companies in general during lasts weeks</t>
  </si>
  <si>
    <t>AMPX</t>
  </si>
  <si>
    <t>ABBV</t>
  </si>
  <si>
    <t>Low volume and aggressive sell hit the stop loss quickly</t>
  </si>
  <si>
    <t>Big overnight gap, bad, took all my profit away</t>
  </si>
  <si>
    <t>TIMB</t>
  </si>
  <si>
    <t>Failed brake out. It got rejected, sold before losing money</t>
  </si>
  <si>
    <t>ABAT</t>
  </si>
  <si>
    <t>Trimmed position it has stagnated and has under performed 2 days in a row</t>
  </si>
  <si>
    <t>Perfect entry, MACD, two pole and SMA matched perfectly. Trimmed to wait for more profit, stop trailed to 6%</t>
  </si>
  <si>
    <t>GOOG</t>
  </si>
  <si>
    <t>Finally stopped out</t>
  </si>
  <si>
    <t>Sudden negative movement it took me without stop</t>
  </si>
  <si>
    <t>AHR</t>
  </si>
  <si>
    <t>Big resistance in 55 levels, it got rejected. Didn't wait for confirmation. Bad entry</t>
  </si>
  <si>
    <t>CSCO</t>
  </si>
  <si>
    <t>30 days</t>
  </si>
  <si>
    <t>Great movement. Trimmed position. There is still potential for growth.</t>
  </si>
  <si>
    <t>Perfect entry using MACD, there is still a lot of potential growth, trimed 1/4 of the position.</t>
  </si>
  <si>
    <t>Perfect timing and entry, there is still a lot of potential growth. Sold 1/6 of the position to release some resources.</t>
  </si>
  <si>
    <t>PZG</t>
  </si>
  <si>
    <t>False breakout. It was rejected. Bad entry</t>
  </si>
  <si>
    <t>Stop trailed, but too tight it took me out early</t>
  </si>
  <si>
    <t>Good trade, partial profit lock 25% sold</t>
  </si>
  <si>
    <t>Trimmed for secureing earnings, big movement today of 13%.</t>
  </si>
  <si>
    <t>Sold for releasing funds, it is moving too slowly and showing resistance in 25 levels.</t>
  </si>
  <si>
    <t>Bad entry, didn't consider MACD and it immediately went down</t>
  </si>
  <si>
    <t>Stopped out after trailing. Really good earnings with this stock. Perfect execution.</t>
  </si>
  <si>
    <t>FROG</t>
  </si>
  <si>
    <t>Trimmed for secureing earnings 21%, gold is getting strong</t>
  </si>
  <si>
    <t>15 days</t>
  </si>
  <si>
    <t>Reduced position to release funds, and make position smaller, big news regarding health made a bug pulback</t>
  </si>
  <si>
    <t>Stopped out, with earnings, seems there is big profit taking in gold</t>
  </si>
  <si>
    <t>The reading of the stock never took off as expected</t>
  </si>
  <si>
    <t>Exit completely for releasing fund, the defensive stock is not working as it should.</t>
  </si>
  <si>
    <t>AVGO</t>
  </si>
  <si>
    <t>16 days</t>
  </si>
  <si>
    <t>This has become one of the best executions that I have done ever, entered in the right structure</t>
  </si>
  <si>
    <t>Bad entry, the stock prove wrong the thesis. Keep it as a potential entry soon.</t>
  </si>
  <si>
    <t>Minimal earnings. Stoped out, XLP is not working as a right defensive name, looking for new entry</t>
  </si>
  <si>
    <t>Stopped out sudden negative movement.</t>
  </si>
  <si>
    <t>CRWD</t>
  </si>
  <si>
    <t xml:space="preserve">Stopped out. Really bad entry </t>
  </si>
  <si>
    <t>Stopped out. Wrong thesis</t>
  </si>
  <si>
    <t>Stopped out. Bad day</t>
  </si>
  <si>
    <t>The negative movement of the market invalidated this trend. It was a correct setup that was altered by the market</t>
  </si>
  <si>
    <t>MA</t>
  </si>
  <si>
    <t>18 days</t>
  </si>
  <si>
    <t>Perfect entry. Stopped out because is losing momentum.</t>
  </si>
  <si>
    <t>IHS</t>
  </si>
  <si>
    <t>BAC</t>
  </si>
  <si>
    <t>Partial trim to lock profits, its breaking out today, need confirmation tomorrow, stop trailed.</t>
  </si>
  <si>
    <t>Overnight gap invalidated thesis, still not in the right trend</t>
  </si>
  <si>
    <t>Still is not showing strengthe and big volatility</t>
  </si>
  <si>
    <t>IBE</t>
  </si>
  <si>
    <t>Stopped out. I tighten before travel and noise took me out</t>
  </si>
  <si>
    <t>Apparently another false break out, big pull back</t>
  </si>
  <si>
    <t xml:space="preserve">Strong pull back in the market. Stopped out after tightening for caution </t>
  </si>
  <si>
    <t>PLNT</t>
  </si>
  <si>
    <t xml:space="preserve">Stopped out for AI collapse </t>
  </si>
  <si>
    <t>GAP</t>
  </si>
  <si>
    <t xml:space="preserve">Stop hunt </t>
  </si>
  <si>
    <t>Bad setup, it never went on the direction expected</t>
  </si>
  <si>
    <t>Bad entry, the stock got rejected in 28</t>
  </si>
  <si>
    <t>40 days</t>
  </si>
  <si>
    <t xml:space="preserve">Stopped out. It loss momentum and started fading </t>
  </si>
  <si>
    <t>APLD</t>
  </si>
  <si>
    <t>SMCI</t>
  </si>
  <si>
    <t>Liquidity in 55 levels. Bad entry</t>
  </si>
  <si>
    <t>LULU</t>
  </si>
  <si>
    <t>bad entry for trying to anticipate the moving of the stock before showing clear signs</t>
  </si>
  <si>
    <t>st</t>
  </si>
  <si>
    <t>Rally started, take a look of the momentum, and the volume, it can become a good 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</si>
</sst>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orcentaje" xfId="1" builtinId="5"/>
  </cellStyles>
  <dxfs count="2"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06170-A489-4C8C-B698-A8974D996514}">
  <dimension ref="A1:I113"/>
  <sheetViews>
    <sheetView workbookViewId="0">
      <pane xSplit="5" ySplit="13" topLeftCell="F80" activePane="bottomRight" state="frozen"/>
      <selection pane="topRight" activeCell="F1" sqref="F1"/>
      <selection pane="bottomLeft" activeCell="A14" sqref="A14"/>
      <selection pane="bottomRight" activeCell="F3" sqref="F3"/>
    </sheetView>
  </sheetViews>
  <sheetFormatPr baseColWidth="10" defaultRowHeight="15" x14ac:dyDescent="0.25"/>
  <cols>
    <col min="5" max="5" width="11.42578125" customWidth="1"/>
    <col min="7" max="7" width="23.42578125" bestFit="1" customWidth="1"/>
    <col min="9" max="9" width="20.7109375" bestFit="1" customWidth="1"/>
  </cols>
  <sheetData>
    <row r="1" spans="1:9" x14ac:dyDescent="0.25">
      <c r="F1" t="s">
        <v>60</v>
      </c>
      <c r="G1" t="s">
        <v>45</v>
      </c>
      <c r="H1" t="s">
        <v>46</v>
      </c>
      <c r="I1" t="s">
        <v>47</v>
      </c>
    </row>
    <row r="2" spans="1:9" x14ac:dyDescent="0.25">
      <c r="A2" t="s">
        <v>60</v>
      </c>
      <c r="B2" t="s">
        <v>0</v>
      </c>
      <c r="C2" t="s">
        <v>1</v>
      </c>
      <c r="D2" t="s">
        <v>2</v>
      </c>
      <c r="F2" t="s">
        <v>268</v>
      </c>
      <c r="G2" t="s">
        <v>26</v>
      </c>
      <c r="H2">
        <v>9400</v>
      </c>
      <c r="I2" t="s">
        <v>27</v>
      </c>
    </row>
    <row r="3" spans="1:9" x14ac:dyDescent="0.25">
      <c r="A3" t="s">
        <v>4</v>
      </c>
      <c r="B3">
        <v>26.85</v>
      </c>
      <c r="C3">
        <v>1.1000000000000001</v>
      </c>
      <c r="D3">
        <f>B3-(2*C3)</f>
        <v>24.650000000000002</v>
      </c>
      <c r="G3" t="s">
        <v>43</v>
      </c>
      <c r="H3">
        <v>0.5</v>
      </c>
      <c r="I3" t="s">
        <v>27</v>
      </c>
    </row>
    <row r="4" spans="1:9" x14ac:dyDescent="0.25">
      <c r="A4" t="s">
        <v>5</v>
      </c>
      <c r="B4">
        <v>5.04</v>
      </c>
      <c r="C4">
        <v>0.36730000000000002</v>
      </c>
      <c r="D4">
        <f t="shared" ref="D4:D33" si="0">B4-(1.5*C4)</f>
        <v>4.4890499999999998</v>
      </c>
      <c r="G4" t="s">
        <v>44</v>
      </c>
      <c r="H4">
        <f>VLOOKUP($F$2,$A$3:$D$1000,2,FALSE)</f>
        <v>36.159999999999997</v>
      </c>
      <c r="I4" t="s">
        <v>28</v>
      </c>
    </row>
    <row r="5" spans="1:9" x14ac:dyDescent="0.25">
      <c r="A5" t="s">
        <v>6</v>
      </c>
      <c r="B5">
        <v>17.63</v>
      </c>
      <c r="C5">
        <v>0.79</v>
      </c>
      <c r="D5">
        <f t="shared" si="0"/>
        <v>16.445</v>
      </c>
      <c r="G5" t="s">
        <v>2</v>
      </c>
      <c r="H5">
        <f>VLOOKUP($F$2,$A$3:$D$1000,4,FALSE)</f>
        <v>34.569999999999993</v>
      </c>
      <c r="I5" t="s">
        <v>29</v>
      </c>
    </row>
    <row r="6" spans="1:9" x14ac:dyDescent="0.25">
      <c r="A6" t="s">
        <v>7</v>
      </c>
      <c r="B6">
        <v>3.27</v>
      </c>
      <c r="C6">
        <v>9.1600000000000001E-2</v>
      </c>
      <c r="D6">
        <f t="shared" si="0"/>
        <v>3.1326000000000001</v>
      </c>
      <c r="G6" t="s">
        <v>30</v>
      </c>
      <c r="H6">
        <v>4100</v>
      </c>
    </row>
    <row r="7" spans="1:9" x14ac:dyDescent="0.25">
      <c r="A7" t="s">
        <v>8</v>
      </c>
      <c r="B7">
        <v>20.38</v>
      </c>
      <c r="C7">
        <v>2.5</v>
      </c>
      <c r="D7">
        <f t="shared" si="0"/>
        <v>16.63</v>
      </c>
      <c r="G7" t="s">
        <v>48</v>
      </c>
      <c r="H7">
        <f>$H$2*(H3/100)</f>
        <v>47</v>
      </c>
    </row>
    <row r="8" spans="1:9" x14ac:dyDescent="0.25">
      <c r="A8" t="s">
        <v>9</v>
      </c>
      <c r="B8">
        <v>152.62</v>
      </c>
      <c r="C8">
        <v>7.35</v>
      </c>
      <c r="D8">
        <f t="shared" si="0"/>
        <v>141.595</v>
      </c>
      <c r="G8" t="s">
        <v>31</v>
      </c>
      <c r="H8">
        <f>H4-H5</f>
        <v>1.5900000000000034</v>
      </c>
      <c r="I8" t="s">
        <v>32</v>
      </c>
    </row>
    <row r="9" spans="1:9" x14ac:dyDescent="0.25">
      <c r="A9" t="s">
        <v>10</v>
      </c>
      <c r="B9">
        <v>231.63</v>
      </c>
      <c r="C9">
        <v>6.13</v>
      </c>
      <c r="D9">
        <f t="shared" si="0"/>
        <v>222.435</v>
      </c>
      <c r="G9" t="s">
        <v>33</v>
      </c>
      <c r="H9">
        <f>H7/H8</f>
        <v>29.559748427672893</v>
      </c>
      <c r="I9" t="s">
        <v>34</v>
      </c>
    </row>
    <row r="10" spans="1:9" x14ac:dyDescent="0.25">
      <c r="A10" t="s">
        <v>11</v>
      </c>
      <c r="B10">
        <v>17.11</v>
      </c>
      <c r="C10">
        <v>0.28999999999999998</v>
      </c>
      <c r="D10">
        <f t="shared" si="0"/>
        <v>16.675000000000001</v>
      </c>
      <c r="G10" t="s">
        <v>35</v>
      </c>
      <c r="H10">
        <f>H6/H4</f>
        <v>113.38495575221241</v>
      </c>
      <c r="I10" t="s">
        <v>36</v>
      </c>
    </row>
    <row r="11" spans="1:9" x14ac:dyDescent="0.25">
      <c r="A11" t="s">
        <v>12</v>
      </c>
      <c r="B11">
        <v>5.86</v>
      </c>
      <c r="C11">
        <v>0.4304</v>
      </c>
      <c r="D11">
        <f t="shared" si="0"/>
        <v>5.2144000000000004</v>
      </c>
      <c r="G11" t="s">
        <v>37</v>
      </c>
      <c r="H11">
        <f>MIN(H9,H10)</f>
        <v>29.559748427672893</v>
      </c>
      <c r="I11" t="s">
        <v>38</v>
      </c>
    </row>
    <row r="12" spans="1:9" x14ac:dyDescent="0.25">
      <c r="A12" t="s">
        <v>13</v>
      </c>
      <c r="B12">
        <v>12.05</v>
      </c>
      <c r="C12">
        <v>0.42</v>
      </c>
      <c r="D12">
        <f t="shared" si="0"/>
        <v>11.42</v>
      </c>
      <c r="G12" t="s">
        <v>39</v>
      </c>
      <c r="H12">
        <f>(H4-H5)*H11</f>
        <v>47</v>
      </c>
      <c r="I12" t="s">
        <v>40</v>
      </c>
    </row>
    <row r="13" spans="1:9" x14ac:dyDescent="0.25">
      <c r="A13" t="s">
        <v>14</v>
      </c>
      <c r="B13">
        <v>5.03</v>
      </c>
      <c r="C13">
        <v>0.27</v>
      </c>
      <c r="D13">
        <f t="shared" si="0"/>
        <v>4.625</v>
      </c>
      <c r="G13" t="s">
        <v>41</v>
      </c>
      <c r="H13">
        <f>(H12/H2)*100</f>
        <v>0.5</v>
      </c>
      <c r="I13" t="s">
        <v>42</v>
      </c>
    </row>
    <row r="14" spans="1:9" x14ac:dyDescent="0.25">
      <c r="A14" t="s">
        <v>15</v>
      </c>
      <c r="B14">
        <v>7.61</v>
      </c>
      <c r="C14">
        <v>0.53090000000000004</v>
      </c>
      <c r="D14">
        <f t="shared" si="0"/>
        <v>6.81365</v>
      </c>
    </row>
    <row r="15" spans="1:9" x14ac:dyDescent="0.25">
      <c r="A15" t="s">
        <v>16</v>
      </c>
      <c r="B15">
        <v>35.83</v>
      </c>
      <c r="C15">
        <v>0.71</v>
      </c>
      <c r="D15">
        <f t="shared" si="0"/>
        <v>34.765000000000001</v>
      </c>
    </row>
    <row r="16" spans="1:9" x14ac:dyDescent="0.25">
      <c r="A16" t="s">
        <v>17</v>
      </c>
      <c r="B16">
        <v>91.33</v>
      </c>
      <c r="C16">
        <v>5.3</v>
      </c>
      <c r="D16">
        <f t="shared" si="0"/>
        <v>83.38</v>
      </c>
    </row>
    <row r="17" spans="1:4" x14ac:dyDescent="0.25">
      <c r="A17" t="s">
        <v>18</v>
      </c>
      <c r="B17">
        <v>7.99</v>
      </c>
      <c r="C17">
        <v>0.28000000000000003</v>
      </c>
      <c r="D17">
        <f t="shared" si="0"/>
        <v>7.57</v>
      </c>
    </row>
    <row r="18" spans="1:4" x14ac:dyDescent="0.25">
      <c r="A18" t="s">
        <v>19</v>
      </c>
      <c r="B18">
        <v>40.97</v>
      </c>
      <c r="C18">
        <v>0.63</v>
      </c>
      <c r="D18">
        <f t="shared" si="0"/>
        <v>40.024999999999999</v>
      </c>
    </row>
    <row r="19" spans="1:4" x14ac:dyDescent="0.25">
      <c r="A19" t="s">
        <v>20</v>
      </c>
      <c r="B19">
        <v>79.58</v>
      </c>
      <c r="C19">
        <v>1.68</v>
      </c>
      <c r="D19">
        <f>B19-(0.5*C19)</f>
        <v>78.739999999999995</v>
      </c>
    </row>
    <row r="20" spans="1:4" x14ac:dyDescent="0.25">
      <c r="A20" t="s">
        <v>22</v>
      </c>
      <c r="B20">
        <v>24.59</v>
      </c>
      <c r="C20">
        <v>1.31</v>
      </c>
      <c r="D20">
        <f t="shared" si="0"/>
        <v>22.625</v>
      </c>
    </row>
    <row r="21" spans="1:4" x14ac:dyDescent="0.25">
      <c r="A21" t="s">
        <v>25</v>
      </c>
      <c r="B21">
        <v>3.52</v>
      </c>
      <c r="C21">
        <v>0.36909999999999998</v>
      </c>
      <c r="D21">
        <f t="shared" si="0"/>
        <v>2.9663500000000003</v>
      </c>
    </row>
    <row r="22" spans="1:4" x14ac:dyDescent="0.25">
      <c r="A22" t="s">
        <v>49</v>
      </c>
      <c r="B22">
        <v>26.61</v>
      </c>
      <c r="C22">
        <v>1.77</v>
      </c>
      <c r="D22">
        <f t="shared" si="0"/>
        <v>23.954999999999998</v>
      </c>
    </row>
    <row r="23" spans="1:4" x14ac:dyDescent="0.25">
      <c r="A23" t="s">
        <v>50</v>
      </c>
      <c r="B23">
        <v>2.95</v>
      </c>
      <c r="C23">
        <v>0.23599999999999999</v>
      </c>
      <c r="D23">
        <f t="shared" si="0"/>
        <v>2.5960000000000001</v>
      </c>
    </row>
    <row r="24" spans="1:4" x14ac:dyDescent="0.25">
      <c r="A24" t="s">
        <v>51</v>
      </c>
      <c r="B24">
        <v>16.739999999999998</v>
      </c>
      <c r="C24">
        <v>0.57999999999999996</v>
      </c>
      <c r="D24">
        <f>B24-(1.5*C24)</f>
        <v>15.87</v>
      </c>
    </row>
    <row r="25" spans="1:4" x14ac:dyDescent="0.25">
      <c r="A25" t="s">
        <v>52</v>
      </c>
      <c r="B25">
        <v>120.06</v>
      </c>
      <c r="C25">
        <v>3.33</v>
      </c>
      <c r="D25">
        <f>B25-(1*C25)</f>
        <v>116.73</v>
      </c>
    </row>
    <row r="26" spans="1:4" x14ac:dyDescent="0.25">
      <c r="A26" t="s">
        <v>53</v>
      </c>
      <c r="B26">
        <v>9.2899999999999991</v>
      </c>
      <c r="C26">
        <v>0.34610000000000002</v>
      </c>
      <c r="D26">
        <f>B26-(1.5*C26)</f>
        <v>8.7708499999999994</v>
      </c>
    </row>
    <row r="27" spans="1:4" x14ac:dyDescent="0.25">
      <c r="A27" t="s">
        <v>54</v>
      </c>
      <c r="B27">
        <v>3.17</v>
      </c>
      <c r="C27">
        <v>0.28710000000000002</v>
      </c>
      <c r="D27">
        <f t="shared" si="0"/>
        <v>2.73935</v>
      </c>
    </row>
    <row r="28" spans="1:4" x14ac:dyDescent="0.25">
      <c r="A28" t="s">
        <v>55</v>
      </c>
      <c r="B28">
        <v>16.260000000000002</v>
      </c>
      <c r="C28">
        <v>0.88</v>
      </c>
      <c r="D28">
        <f t="shared" si="0"/>
        <v>14.940000000000001</v>
      </c>
    </row>
    <row r="29" spans="1:4" x14ac:dyDescent="0.25">
      <c r="A29" t="s">
        <v>56</v>
      </c>
      <c r="B29">
        <v>129.83000000000001</v>
      </c>
      <c r="C29">
        <v>9.1300000000000008</v>
      </c>
      <c r="D29">
        <f>B29-(1*C29)</f>
        <v>120.70000000000002</v>
      </c>
    </row>
    <row r="30" spans="1:4" x14ac:dyDescent="0.25">
      <c r="A30" t="s">
        <v>57</v>
      </c>
      <c r="B30">
        <v>6.32</v>
      </c>
      <c r="C30">
        <v>0.21</v>
      </c>
      <c r="D30">
        <f t="shared" si="0"/>
        <v>6.0049999999999999</v>
      </c>
    </row>
    <row r="31" spans="1:4" x14ac:dyDescent="0.25">
      <c r="A31" t="s">
        <v>58</v>
      </c>
      <c r="B31">
        <v>53.59</v>
      </c>
      <c r="C31">
        <v>3.71</v>
      </c>
      <c r="D31">
        <f t="shared" si="0"/>
        <v>48.025000000000006</v>
      </c>
    </row>
    <row r="32" spans="1:4" x14ac:dyDescent="0.25">
      <c r="A32" t="s">
        <v>59</v>
      </c>
      <c r="B32">
        <v>4.58</v>
      </c>
      <c r="C32">
        <v>0.20960000000000001</v>
      </c>
      <c r="D32">
        <f t="shared" si="0"/>
        <v>4.2656000000000001</v>
      </c>
    </row>
    <row r="33" spans="1:4" x14ac:dyDescent="0.25">
      <c r="A33" t="s">
        <v>61</v>
      </c>
      <c r="B33">
        <v>1.18</v>
      </c>
      <c r="C33">
        <v>5.3999999999999999E-2</v>
      </c>
      <c r="D33">
        <f t="shared" si="0"/>
        <v>1.099</v>
      </c>
    </row>
    <row r="34" spans="1:4" x14ac:dyDescent="0.25">
      <c r="A34" t="s">
        <v>62</v>
      </c>
      <c r="B34">
        <v>80.010000000000005</v>
      </c>
      <c r="C34">
        <v>1.88</v>
      </c>
      <c r="D34">
        <f>B34-(1.5*C34)</f>
        <v>77.190000000000012</v>
      </c>
    </row>
    <row r="35" spans="1:4" x14ac:dyDescent="0.25">
      <c r="A35" t="s">
        <v>63</v>
      </c>
      <c r="B35">
        <v>16.420000000000002</v>
      </c>
      <c r="C35">
        <v>0.98</v>
      </c>
      <c r="D35">
        <f>B35-(1*C35)</f>
        <v>15.440000000000001</v>
      </c>
    </row>
    <row r="36" spans="1:4" x14ac:dyDescent="0.25">
      <c r="A36" t="s">
        <v>64</v>
      </c>
      <c r="B36">
        <v>37.96</v>
      </c>
      <c r="C36">
        <v>2.0299999999999998</v>
      </c>
      <c r="D36">
        <f>B36-(1*C36)</f>
        <v>35.93</v>
      </c>
    </row>
    <row r="37" spans="1:4" x14ac:dyDescent="0.25">
      <c r="A37" t="s">
        <v>65</v>
      </c>
      <c r="B37">
        <v>215.02</v>
      </c>
      <c r="C37">
        <v>8.6</v>
      </c>
      <c r="D37">
        <f>B37-(1.5*C37)</f>
        <v>202.12</v>
      </c>
    </row>
    <row r="38" spans="1:4" x14ac:dyDescent="0.25">
      <c r="A38" t="s">
        <v>66</v>
      </c>
      <c r="B38">
        <v>186.35</v>
      </c>
      <c r="C38">
        <v>5.4</v>
      </c>
      <c r="D38">
        <f>B38-(2*C38)</f>
        <v>175.54999999999998</v>
      </c>
    </row>
    <row r="39" spans="1:4" x14ac:dyDescent="0.25">
      <c r="A39" t="s">
        <v>67</v>
      </c>
      <c r="B39">
        <v>58.4</v>
      </c>
      <c r="C39">
        <v>1.7</v>
      </c>
      <c r="D39">
        <f>B39-(1.5*C39)</f>
        <v>55.85</v>
      </c>
    </row>
    <row r="40" spans="1:4" x14ac:dyDescent="0.25">
      <c r="A40" t="s">
        <v>68</v>
      </c>
      <c r="B40">
        <v>191.76</v>
      </c>
      <c r="C40">
        <v>5.1100000000000003</v>
      </c>
      <c r="D40">
        <f>B40-(1.5*C40)</f>
        <v>184.095</v>
      </c>
    </row>
    <row r="41" spans="1:4" x14ac:dyDescent="0.25">
      <c r="A41" t="s">
        <v>69</v>
      </c>
      <c r="B41">
        <v>60.28</v>
      </c>
      <c r="C41">
        <v>2.33</v>
      </c>
      <c r="D41">
        <f>B41-(1.5*C41)</f>
        <v>56.785000000000004</v>
      </c>
    </row>
    <row r="42" spans="1:4" x14ac:dyDescent="0.25">
      <c r="A42" t="s">
        <v>70</v>
      </c>
      <c r="B42">
        <v>176.97</v>
      </c>
      <c r="C42">
        <v>6.16</v>
      </c>
      <c r="D42">
        <f>B42-(1.5*C42)</f>
        <v>167.73</v>
      </c>
    </row>
    <row r="43" spans="1:4" x14ac:dyDescent="0.25">
      <c r="A43" t="s">
        <v>71</v>
      </c>
      <c r="B43">
        <v>31.05</v>
      </c>
      <c r="C43">
        <v>3.19</v>
      </c>
      <c r="D43">
        <f>B43-(1*C43)</f>
        <v>27.86</v>
      </c>
    </row>
    <row r="44" spans="1:4" x14ac:dyDescent="0.25">
      <c r="A44" t="s">
        <v>72</v>
      </c>
      <c r="B44">
        <v>13.48</v>
      </c>
      <c r="C44">
        <v>0.57999999999999996</v>
      </c>
      <c r="D44">
        <f>B44-(1.5*C44)</f>
        <v>12.610000000000001</v>
      </c>
    </row>
    <row r="45" spans="1:4" x14ac:dyDescent="0.25">
      <c r="A45" t="s">
        <v>73</v>
      </c>
      <c r="B45">
        <v>161.91</v>
      </c>
      <c r="C45">
        <v>7.77</v>
      </c>
      <c r="D45">
        <f>B45-(1*C45)</f>
        <v>154.13999999999999</v>
      </c>
    </row>
    <row r="46" spans="1:4" x14ac:dyDescent="0.25">
      <c r="A46" t="s">
        <v>74</v>
      </c>
      <c r="B46">
        <v>292.64</v>
      </c>
      <c r="C46">
        <v>9.1199999999999992</v>
      </c>
      <c r="D46">
        <f>B46-(2*C46)</f>
        <v>274.39999999999998</v>
      </c>
    </row>
    <row r="47" spans="1:4" x14ac:dyDescent="0.25">
      <c r="A47" t="s">
        <v>75</v>
      </c>
      <c r="B47">
        <v>40.33</v>
      </c>
      <c r="C47">
        <v>1.57</v>
      </c>
      <c r="D47">
        <f>B47-(1.5*C47)</f>
        <v>37.975000000000001</v>
      </c>
    </row>
    <row r="48" spans="1:4" x14ac:dyDescent="0.25">
      <c r="A48" t="s">
        <v>76</v>
      </c>
      <c r="B48">
        <v>1023.19</v>
      </c>
      <c r="C48">
        <v>25.4</v>
      </c>
      <c r="D48">
        <f>B48-(1.5*C48)</f>
        <v>985.09</v>
      </c>
    </row>
    <row r="49" spans="1:4" x14ac:dyDescent="0.25">
      <c r="A49" t="s">
        <v>77</v>
      </c>
      <c r="B49">
        <v>6.02</v>
      </c>
      <c r="C49">
        <v>0.58540000000000003</v>
      </c>
      <c r="D49">
        <f>B49-(1.5*C49)</f>
        <v>5.1418999999999997</v>
      </c>
    </row>
    <row r="50" spans="1:4" x14ac:dyDescent="0.25">
      <c r="A50" t="s">
        <v>78</v>
      </c>
      <c r="B50">
        <v>61.6</v>
      </c>
      <c r="C50">
        <v>2.72</v>
      </c>
      <c r="D50">
        <f>B50-(2*C50)</f>
        <v>56.160000000000004</v>
      </c>
    </row>
    <row r="51" spans="1:4" x14ac:dyDescent="0.25">
      <c r="A51" t="s">
        <v>19</v>
      </c>
      <c r="B51">
        <v>40.950000000000003</v>
      </c>
      <c r="C51">
        <v>0.64</v>
      </c>
      <c r="D51">
        <f>B51-(1.5*C51)</f>
        <v>39.99</v>
      </c>
    </row>
    <row r="52" spans="1:4" x14ac:dyDescent="0.25">
      <c r="A52" t="s">
        <v>79</v>
      </c>
      <c r="B52">
        <v>181.7</v>
      </c>
      <c r="C52">
        <v>7.4</v>
      </c>
      <c r="D52">
        <f>B52-(1*C52)</f>
        <v>174.29999999999998</v>
      </c>
    </row>
    <row r="53" spans="1:4" x14ac:dyDescent="0.25">
      <c r="A53" t="s">
        <v>80</v>
      </c>
      <c r="B53">
        <v>16.29</v>
      </c>
      <c r="C53">
        <v>0.45</v>
      </c>
      <c r="D53">
        <f>B53-(1.5*C53)</f>
        <v>15.614999999999998</v>
      </c>
    </row>
    <row r="54" spans="1:4" x14ac:dyDescent="0.25">
      <c r="A54" t="s">
        <v>99</v>
      </c>
      <c r="B54">
        <v>8.32</v>
      </c>
      <c r="C54">
        <v>1.01</v>
      </c>
      <c r="D54">
        <f>B54-(1.25*C54)</f>
        <v>7.0575000000000001</v>
      </c>
    </row>
    <row r="55" spans="1:4" x14ac:dyDescent="0.25">
      <c r="A55" t="s">
        <v>102</v>
      </c>
      <c r="B55">
        <v>11.61</v>
      </c>
      <c r="C55">
        <v>0.59</v>
      </c>
      <c r="D55">
        <f>B55-(2*C55)</f>
        <v>10.43</v>
      </c>
    </row>
    <row r="56" spans="1:4" x14ac:dyDescent="0.25">
      <c r="A56" t="s">
        <v>112</v>
      </c>
      <c r="B56">
        <v>82.79</v>
      </c>
      <c r="C56">
        <v>0.86</v>
      </c>
      <c r="D56">
        <f t="shared" ref="D56:D61" si="1">B56-(1.5*C56)</f>
        <v>81.5</v>
      </c>
    </row>
    <row r="57" spans="1:4" x14ac:dyDescent="0.25">
      <c r="A57" t="s">
        <v>100</v>
      </c>
      <c r="B57">
        <v>135.29</v>
      </c>
      <c r="C57">
        <v>4.41</v>
      </c>
      <c r="D57">
        <f t="shared" si="1"/>
        <v>128.67499999999998</v>
      </c>
    </row>
    <row r="58" spans="1:4" x14ac:dyDescent="0.25">
      <c r="A58" t="s">
        <v>115</v>
      </c>
      <c r="B58">
        <v>4.13</v>
      </c>
      <c r="C58">
        <v>0.24379999999999999</v>
      </c>
      <c r="D58">
        <f t="shared" si="1"/>
        <v>3.7643</v>
      </c>
    </row>
    <row r="59" spans="1:4" x14ac:dyDescent="0.25">
      <c r="A59" t="s">
        <v>116</v>
      </c>
      <c r="B59">
        <v>106.85</v>
      </c>
      <c r="C59">
        <v>4.29</v>
      </c>
      <c r="D59">
        <f>B59-(1.5*C59)</f>
        <v>100.41499999999999</v>
      </c>
    </row>
    <row r="60" spans="1:4" x14ac:dyDescent="0.25">
      <c r="A60" t="s">
        <v>120</v>
      </c>
      <c r="B60">
        <v>150.19</v>
      </c>
      <c r="C60">
        <v>2.2200000000000002</v>
      </c>
      <c r="D60">
        <f>B60-(1*C60)</f>
        <v>147.97</v>
      </c>
    </row>
    <row r="61" spans="1:4" x14ac:dyDescent="0.25">
      <c r="A61" t="s">
        <v>121</v>
      </c>
      <c r="B61">
        <v>117.19</v>
      </c>
      <c r="C61">
        <v>3.25</v>
      </c>
      <c r="D61">
        <f t="shared" si="1"/>
        <v>112.315</v>
      </c>
    </row>
    <row r="62" spans="1:4" x14ac:dyDescent="0.25">
      <c r="A62" t="s">
        <v>122</v>
      </c>
      <c r="B62">
        <v>10.08</v>
      </c>
      <c r="C62">
        <v>1.28</v>
      </c>
      <c r="D62">
        <f>B62-(1*C62)</f>
        <v>8.8000000000000007</v>
      </c>
    </row>
    <row r="63" spans="1:4" x14ac:dyDescent="0.25">
      <c r="A63" t="s">
        <v>123</v>
      </c>
      <c r="B63">
        <v>9.09</v>
      </c>
      <c r="C63">
        <v>0.49840000000000001</v>
      </c>
      <c r="D63">
        <f>B63-(2*C63)</f>
        <v>8.0931999999999995</v>
      </c>
    </row>
    <row r="64" spans="1:4" x14ac:dyDescent="0.25">
      <c r="A64" t="s">
        <v>124</v>
      </c>
      <c r="B64">
        <v>151.6</v>
      </c>
      <c r="C64">
        <v>2.94</v>
      </c>
      <c r="D64">
        <f>B64-(1*C64)</f>
        <v>148.66</v>
      </c>
    </row>
    <row r="65" spans="1:4" x14ac:dyDescent="0.25">
      <c r="A65" t="s">
        <v>125</v>
      </c>
      <c r="B65">
        <v>58.96</v>
      </c>
      <c r="C65">
        <v>2.16</v>
      </c>
      <c r="D65">
        <f>B65-(1.5*C65)</f>
        <v>55.72</v>
      </c>
    </row>
    <row r="66" spans="1:4" x14ac:dyDescent="0.25">
      <c r="A66" t="s">
        <v>126</v>
      </c>
      <c r="B66">
        <v>12.92</v>
      </c>
      <c r="C66">
        <v>1.04</v>
      </c>
      <c r="D66">
        <f>B66-(1*C66)</f>
        <v>11.879999999999999</v>
      </c>
    </row>
    <row r="67" spans="1:4" x14ac:dyDescent="0.25">
      <c r="A67" t="s">
        <v>127</v>
      </c>
      <c r="B67">
        <v>2.17</v>
      </c>
      <c r="C67">
        <v>0.1605</v>
      </c>
      <c r="D67">
        <f t="shared" ref="D67:D71" si="2">B67-(2*C67)</f>
        <v>1.849</v>
      </c>
    </row>
    <row r="68" spans="1:4" x14ac:dyDescent="0.25">
      <c r="A68" t="s">
        <v>128</v>
      </c>
      <c r="B68">
        <v>227.09</v>
      </c>
      <c r="C68">
        <v>5.88</v>
      </c>
      <c r="D68">
        <f>B68-(1.5*C68)</f>
        <v>218.27</v>
      </c>
    </row>
    <row r="69" spans="1:4" x14ac:dyDescent="0.25">
      <c r="A69" t="s">
        <v>130</v>
      </c>
      <c r="B69">
        <v>30.83</v>
      </c>
      <c r="C69">
        <v>1.57</v>
      </c>
      <c r="D69">
        <f>B69-(1.5*C69)</f>
        <v>28.474999999999998</v>
      </c>
    </row>
    <row r="70" spans="1:4" x14ac:dyDescent="0.25">
      <c r="A70" t="s">
        <v>131</v>
      </c>
      <c r="B70">
        <v>21.98</v>
      </c>
      <c r="C70">
        <v>1.17</v>
      </c>
      <c r="D70">
        <f>B70-(1.5*C70)</f>
        <v>20.225000000000001</v>
      </c>
    </row>
    <row r="71" spans="1:4" x14ac:dyDescent="0.25">
      <c r="A71" t="s">
        <v>132</v>
      </c>
      <c r="B71">
        <v>6.25</v>
      </c>
      <c r="C71">
        <v>0.6633</v>
      </c>
      <c r="D71">
        <f t="shared" si="2"/>
        <v>4.9234</v>
      </c>
    </row>
    <row r="72" spans="1:4" x14ac:dyDescent="0.25">
      <c r="A72" t="s">
        <v>134</v>
      </c>
      <c r="B72">
        <v>126.22</v>
      </c>
      <c r="C72">
        <v>2.76</v>
      </c>
      <c r="D72">
        <f>B72-(1*C72)</f>
        <v>123.46</v>
      </c>
    </row>
    <row r="73" spans="1:4" x14ac:dyDescent="0.25">
      <c r="A73" t="s">
        <v>135</v>
      </c>
      <c r="B73">
        <v>26.08</v>
      </c>
      <c r="C73">
        <v>0.64</v>
      </c>
      <c r="D73">
        <f>B73-(1.5*C73)</f>
        <v>25.119999999999997</v>
      </c>
    </row>
    <row r="74" spans="1:4" x14ac:dyDescent="0.25">
      <c r="A74" t="s">
        <v>136</v>
      </c>
      <c r="B74">
        <v>153.4</v>
      </c>
      <c r="C74">
        <v>2.0499999999999998</v>
      </c>
      <c r="D74">
        <f>B74-(1.5*C74)</f>
        <v>150.32500000000002</v>
      </c>
    </row>
    <row r="75" spans="1:4" x14ac:dyDescent="0.25">
      <c r="A75" t="s">
        <v>137</v>
      </c>
      <c r="B75">
        <v>47.19</v>
      </c>
      <c r="C75">
        <v>0.96</v>
      </c>
      <c r="D75">
        <f>B75-(1*C75)</f>
        <v>46.23</v>
      </c>
    </row>
    <row r="76" spans="1:4" x14ac:dyDescent="0.25">
      <c r="A76" t="s">
        <v>138</v>
      </c>
      <c r="B76">
        <v>10.24</v>
      </c>
      <c r="C76">
        <v>0.65</v>
      </c>
      <c r="D76">
        <f>B76-(1.5*C76)</f>
        <v>9.2650000000000006</v>
      </c>
    </row>
    <row r="77" spans="1:4" x14ac:dyDescent="0.25">
      <c r="A77" t="s">
        <v>139</v>
      </c>
      <c r="B77">
        <v>174</v>
      </c>
      <c r="C77">
        <v>3.46</v>
      </c>
      <c r="D77">
        <f>B77-(1.5*C77)</f>
        <v>168.81</v>
      </c>
    </row>
    <row r="78" spans="1:4" x14ac:dyDescent="0.25">
      <c r="A78" t="s">
        <v>140</v>
      </c>
      <c r="B78">
        <v>9.84</v>
      </c>
      <c r="C78">
        <v>0.40200000000000002</v>
      </c>
      <c r="D78">
        <f>B78-(1*C78)</f>
        <v>9.4380000000000006</v>
      </c>
    </row>
    <row r="79" spans="1:4" x14ac:dyDescent="0.25">
      <c r="A79" t="s">
        <v>143</v>
      </c>
      <c r="B79">
        <v>5.32</v>
      </c>
      <c r="C79">
        <v>0.41</v>
      </c>
      <c r="D79">
        <f>B79-(1.5*C79)</f>
        <v>4.7050000000000001</v>
      </c>
    </row>
    <row r="80" spans="1:4" x14ac:dyDescent="0.25">
      <c r="A80" t="s">
        <v>144</v>
      </c>
      <c r="B80">
        <v>4.1900000000000004</v>
      </c>
      <c r="C80">
        <v>0.27489999999999998</v>
      </c>
      <c r="D80">
        <f>B80-(1.5*C80)</f>
        <v>3.7776500000000004</v>
      </c>
    </row>
    <row r="81" spans="1:4" x14ac:dyDescent="0.25">
      <c r="A81" t="s">
        <v>145</v>
      </c>
      <c r="B81">
        <v>36.159999999999997</v>
      </c>
      <c r="C81">
        <v>1.06</v>
      </c>
      <c r="D81">
        <f>B81-(1.5*C81)</f>
        <v>34.569999999999993</v>
      </c>
    </row>
    <row r="82" spans="1:4" x14ac:dyDescent="0.25">
      <c r="A82" t="s">
        <v>148</v>
      </c>
      <c r="B82">
        <v>16.88</v>
      </c>
      <c r="C82">
        <v>1.03</v>
      </c>
      <c r="D82">
        <f>B82-(1.5*C82)</f>
        <v>15.334999999999999</v>
      </c>
    </row>
    <row r="83" spans="1:4" x14ac:dyDescent="0.25">
      <c r="A83" t="s">
        <v>151</v>
      </c>
      <c r="B83">
        <v>40.590000000000003</v>
      </c>
      <c r="C83">
        <v>1.81</v>
      </c>
      <c r="D83">
        <f>B83-(2*C83)</f>
        <v>36.970000000000006</v>
      </c>
    </row>
    <row r="84" spans="1:4" x14ac:dyDescent="0.25">
      <c r="A84" t="s">
        <v>161</v>
      </c>
      <c r="B84">
        <v>107.61</v>
      </c>
      <c r="C84">
        <v>2.0099999999999998</v>
      </c>
      <c r="D84">
        <f t="shared" ref="D84:D102" si="3">B84-(1.5*C84)</f>
        <v>104.595</v>
      </c>
    </row>
    <row r="85" spans="1:4" x14ac:dyDescent="0.25">
      <c r="A85" t="s">
        <v>167</v>
      </c>
      <c r="B85">
        <v>91.5</v>
      </c>
      <c r="C85">
        <v>3.18</v>
      </c>
      <c r="D85">
        <f t="shared" si="3"/>
        <v>86.73</v>
      </c>
    </row>
    <row r="86" spans="1:4" x14ac:dyDescent="0.25">
      <c r="A86" t="s">
        <v>168</v>
      </c>
      <c r="B86">
        <v>62.65</v>
      </c>
      <c r="C86">
        <v>1.97</v>
      </c>
      <c r="D86">
        <f t="shared" si="3"/>
        <v>59.695</v>
      </c>
    </row>
    <row r="87" spans="1:4" x14ac:dyDescent="0.25">
      <c r="A87" t="s">
        <v>178</v>
      </c>
      <c r="B87">
        <v>605</v>
      </c>
      <c r="C87">
        <v>16.64</v>
      </c>
      <c r="D87">
        <f t="shared" si="3"/>
        <v>580.04</v>
      </c>
    </row>
    <row r="88" spans="1:4" x14ac:dyDescent="0.25">
      <c r="A88" t="s">
        <v>179</v>
      </c>
      <c r="B88">
        <v>199.97</v>
      </c>
      <c r="C88">
        <v>4.13</v>
      </c>
      <c r="D88">
        <f t="shared" si="3"/>
        <v>193.77500000000001</v>
      </c>
    </row>
    <row r="89" spans="1:4" x14ac:dyDescent="0.25">
      <c r="A89" t="s">
        <v>191</v>
      </c>
      <c r="B89">
        <v>119.97</v>
      </c>
      <c r="C89">
        <v>2.63</v>
      </c>
      <c r="D89">
        <f>B89-(2*C89)</f>
        <v>114.71</v>
      </c>
    </row>
    <row r="90" spans="1:4" x14ac:dyDescent="0.25">
      <c r="A90" t="s">
        <v>192</v>
      </c>
      <c r="B90">
        <v>22.98</v>
      </c>
      <c r="C90">
        <v>0.63</v>
      </c>
      <c r="D90">
        <f t="shared" si="3"/>
        <v>22.035</v>
      </c>
    </row>
    <row r="91" spans="1:4" x14ac:dyDescent="0.25">
      <c r="A91" t="s">
        <v>193</v>
      </c>
      <c r="B91">
        <v>60.14</v>
      </c>
      <c r="C91">
        <v>1.01</v>
      </c>
      <c r="D91">
        <f t="shared" si="3"/>
        <v>58.625</v>
      </c>
    </row>
    <row r="92" spans="1:4" x14ac:dyDescent="0.25">
      <c r="A92" t="s">
        <v>194</v>
      </c>
      <c r="B92">
        <v>20.6</v>
      </c>
      <c r="C92">
        <v>0.71879999999999999</v>
      </c>
      <c r="D92">
        <f t="shared" si="3"/>
        <v>19.521800000000002</v>
      </c>
    </row>
    <row r="93" spans="1:4" x14ac:dyDescent="0.25">
      <c r="A93" t="s">
        <v>195</v>
      </c>
      <c r="B93">
        <v>11.91</v>
      </c>
      <c r="C93">
        <v>0.73560000000000003</v>
      </c>
      <c r="D93">
        <f t="shared" si="3"/>
        <v>10.8066</v>
      </c>
    </row>
    <row r="94" spans="1:4" x14ac:dyDescent="0.25">
      <c r="A94" t="s">
        <v>198</v>
      </c>
      <c r="B94">
        <v>11.98</v>
      </c>
      <c r="C94">
        <v>0.86099999999999999</v>
      </c>
      <c r="D94">
        <f t="shared" si="3"/>
        <v>10.688500000000001</v>
      </c>
    </row>
    <row r="95" spans="1:4" x14ac:dyDescent="0.25">
      <c r="A95" t="s">
        <v>199</v>
      </c>
      <c r="B95">
        <v>220.05</v>
      </c>
      <c r="C95">
        <v>5.05</v>
      </c>
      <c r="D95">
        <f t="shared" si="3"/>
        <v>212.47500000000002</v>
      </c>
    </row>
    <row r="96" spans="1:4" x14ac:dyDescent="0.25">
      <c r="A96" t="s">
        <v>202</v>
      </c>
      <c r="B96">
        <v>23.31</v>
      </c>
      <c r="C96">
        <v>0.45</v>
      </c>
      <c r="D96">
        <f t="shared" si="3"/>
        <v>22.634999999999998</v>
      </c>
    </row>
    <row r="97" spans="1:4" x14ac:dyDescent="0.25">
      <c r="A97" t="s">
        <v>204</v>
      </c>
      <c r="B97">
        <v>4.59</v>
      </c>
      <c r="C97">
        <v>0.45639999999999997</v>
      </c>
      <c r="D97">
        <f t="shared" si="3"/>
        <v>3.9053999999999998</v>
      </c>
    </row>
    <row r="98" spans="1:4" x14ac:dyDescent="0.25">
      <c r="A98" t="s">
        <v>207</v>
      </c>
      <c r="B98">
        <v>326.01</v>
      </c>
      <c r="C98">
        <v>7.54</v>
      </c>
      <c r="D98">
        <f t="shared" si="3"/>
        <v>314.7</v>
      </c>
    </row>
    <row r="99" spans="1:4" x14ac:dyDescent="0.25">
      <c r="A99" t="s">
        <v>210</v>
      </c>
      <c r="B99">
        <v>47.69</v>
      </c>
      <c r="C99">
        <v>1.1499999999999999</v>
      </c>
      <c r="D99">
        <f t="shared" si="3"/>
        <v>45.964999999999996</v>
      </c>
    </row>
    <row r="100" spans="1:4" x14ac:dyDescent="0.25">
      <c r="A100" t="s">
        <v>212</v>
      </c>
      <c r="B100">
        <v>75.900000000000006</v>
      </c>
      <c r="C100">
        <v>1.33</v>
      </c>
      <c r="D100">
        <f t="shared" si="3"/>
        <v>73.905000000000001</v>
      </c>
    </row>
    <row r="101" spans="1:4" x14ac:dyDescent="0.25">
      <c r="A101" t="s">
        <v>217</v>
      </c>
      <c r="B101">
        <v>1.48</v>
      </c>
      <c r="C101">
        <v>8.4599999999999995E-2</v>
      </c>
      <c r="D101">
        <f t="shared" si="3"/>
        <v>1.3531</v>
      </c>
    </row>
    <row r="102" spans="1:4" x14ac:dyDescent="0.25">
      <c r="A102" t="s">
        <v>225</v>
      </c>
      <c r="B102">
        <v>59.2</v>
      </c>
      <c r="C102">
        <v>2.71</v>
      </c>
      <c r="D102">
        <f t="shared" si="3"/>
        <v>55.135000000000005</v>
      </c>
    </row>
    <row r="103" spans="1:4" x14ac:dyDescent="0.25">
      <c r="A103" t="s">
        <v>232</v>
      </c>
      <c r="B103">
        <v>333.81</v>
      </c>
      <c r="C103">
        <v>12.93</v>
      </c>
      <c r="D103">
        <f>B103-(1*C103)</f>
        <v>320.88</v>
      </c>
    </row>
    <row r="104" spans="1:4" x14ac:dyDescent="0.25">
      <c r="A104" t="s">
        <v>238</v>
      </c>
      <c r="B104">
        <v>459.57</v>
      </c>
      <c r="C104">
        <v>15.64</v>
      </c>
      <c r="D104">
        <f>B104-(1*C104)</f>
        <v>443.93</v>
      </c>
    </row>
    <row r="105" spans="1:4" x14ac:dyDescent="0.25">
      <c r="A105" t="s">
        <v>246</v>
      </c>
      <c r="B105">
        <v>8.2799999999999994</v>
      </c>
      <c r="C105">
        <v>0.34</v>
      </c>
      <c r="D105">
        <f>B105-(1*C105)</f>
        <v>7.9399999999999995</v>
      </c>
    </row>
    <row r="106" spans="1:4" x14ac:dyDescent="0.25">
      <c r="A106" t="s">
        <v>243</v>
      </c>
      <c r="B106">
        <v>542.04999999999995</v>
      </c>
      <c r="C106">
        <v>11.04</v>
      </c>
      <c r="D106">
        <f>B106-(1*C106)</f>
        <v>531.01</v>
      </c>
    </row>
    <row r="107" spans="1:4" x14ac:dyDescent="0.25">
      <c r="A107" t="s">
        <v>247</v>
      </c>
      <c r="B107">
        <v>54.07</v>
      </c>
      <c r="C107">
        <v>1.02</v>
      </c>
      <c r="D107">
        <f>B107-(1.5*C107)</f>
        <v>52.54</v>
      </c>
    </row>
    <row r="108" spans="1:4" x14ac:dyDescent="0.25">
      <c r="A108" t="s">
        <v>251</v>
      </c>
      <c r="B108">
        <v>19.234999999999999</v>
      </c>
      <c r="C108">
        <v>0.4</v>
      </c>
      <c r="D108">
        <f>B108-(1*C108)</f>
        <v>18.835000000000001</v>
      </c>
    </row>
    <row r="109" spans="1:4" x14ac:dyDescent="0.25">
      <c r="A109" t="s">
        <v>255</v>
      </c>
      <c r="B109">
        <v>92.18</v>
      </c>
      <c r="C109">
        <v>2.82</v>
      </c>
      <c r="D109">
        <f>B109-(1.5*C109)</f>
        <v>87.95</v>
      </c>
    </row>
    <row r="110" spans="1:4" x14ac:dyDescent="0.25">
      <c r="A110" t="s">
        <v>257</v>
      </c>
      <c r="B110">
        <v>28.97</v>
      </c>
      <c r="C110">
        <v>0.9</v>
      </c>
      <c r="D110">
        <f>B110-(1.5*C110)</f>
        <v>27.619999999999997</v>
      </c>
    </row>
    <row r="111" spans="1:4" x14ac:dyDescent="0.25">
      <c r="A111" t="s">
        <v>263</v>
      </c>
      <c r="B111">
        <v>38.32</v>
      </c>
      <c r="C111">
        <v>4.0199999999999996</v>
      </c>
      <c r="D111">
        <f>B111-(1.5*C111)</f>
        <v>32.29</v>
      </c>
    </row>
    <row r="112" spans="1:4" x14ac:dyDescent="0.25">
      <c r="A112" t="s">
        <v>264</v>
      </c>
      <c r="B112">
        <v>33.93</v>
      </c>
      <c r="C112">
        <v>2.08</v>
      </c>
      <c r="D112">
        <f>B112-(1.5*C112)</f>
        <v>30.81</v>
      </c>
    </row>
    <row r="113" spans="1:4" x14ac:dyDescent="0.25">
      <c r="A113" t="s">
        <v>266</v>
      </c>
      <c r="B113">
        <v>181.5</v>
      </c>
      <c r="C113">
        <v>7.21</v>
      </c>
      <c r="D113">
        <f>B113-(1.5*C113)</f>
        <v>170.685</v>
      </c>
    </row>
  </sheetData>
  <conditionalFormatting sqref="A2:D499">
    <cfRule type="expression" dxfId="1" priority="1">
      <formula>$F$2=$A2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0B143-FB10-4924-B38A-19EA27551BED}">
  <dimension ref="A1:D13"/>
  <sheetViews>
    <sheetView topLeftCell="A2" workbookViewId="0">
      <selection activeCell="C3" sqref="C3"/>
    </sheetView>
  </sheetViews>
  <sheetFormatPr baseColWidth="10" defaultRowHeight="15" x14ac:dyDescent="0.25"/>
  <sheetData>
    <row r="1" spans="1:4" ht="30" x14ac:dyDescent="0.25">
      <c r="A1" s="1" t="s">
        <v>21</v>
      </c>
      <c r="B1">
        <v>50</v>
      </c>
    </row>
    <row r="2" spans="1:4" x14ac:dyDescent="0.25">
      <c r="A2" t="s">
        <v>3</v>
      </c>
      <c r="B2" t="s">
        <v>0</v>
      </c>
      <c r="C2" t="s">
        <v>24</v>
      </c>
      <c r="D2" t="s">
        <v>23</v>
      </c>
    </row>
    <row r="3" spans="1:4" x14ac:dyDescent="0.25">
      <c r="A3" t="s">
        <v>22</v>
      </c>
      <c r="B3">
        <f>VLOOKUP(A3,'Stop Loss Calculator'!$A$3:$D$99,2,FALSE)</f>
        <v>24.59</v>
      </c>
      <c r="C3">
        <f>VLOOKUP(A3,'Stop Loss Calculator'!$A$3:$D$99,4,FALSE)</f>
        <v>22.625</v>
      </c>
      <c r="D3">
        <f t="shared" ref="D3:D12" si="0">50/(B3-C3)</f>
        <v>25.445292620865143</v>
      </c>
    </row>
    <row r="4" spans="1:4" x14ac:dyDescent="0.25">
      <c r="A4" t="s">
        <v>10</v>
      </c>
      <c r="B4">
        <f>VLOOKUP(A4,'Stop Loss Calculator'!$A$3:$D$99,2,FALSE)</f>
        <v>231.63</v>
      </c>
      <c r="C4">
        <f>VLOOKUP(A4,'Stop Loss Calculator'!$A$3:$D$99,4,FALSE)</f>
        <v>222.435</v>
      </c>
      <c r="D4">
        <f t="shared" si="0"/>
        <v>5.4377379010331746</v>
      </c>
    </row>
    <row r="5" spans="1:4" x14ac:dyDescent="0.25">
      <c r="A5" t="s">
        <v>25</v>
      </c>
      <c r="B5">
        <f>VLOOKUP(A5,'Stop Loss Calculator'!$A$3:$D$99,2,FALSE)</f>
        <v>3.52</v>
      </c>
      <c r="C5">
        <f>VLOOKUP(A5,'Stop Loss Calculator'!$A$3:$D$99,4,FALSE)</f>
        <v>2.9663500000000003</v>
      </c>
      <c r="D5">
        <f t="shared" si="0"/>
        <v>90.309762485324697</v>
      </c>
    </row>
    <row r="6" spans="1:4" x14ac:dyDescent="0.25">
      <c r="A6" t="s">
        <v>49</v>
      </c>
      <c r="B6">
        <f>VLOOKUP(A6,'Stop Loss Calculator'!$A$3:$D$99,2,FALSE)</f>
        <v>26.61</v>
      </c>
      <c r="C6">
        <f>VLOOKUP(A6,'Stop Loss Calculator'!$A$3:$D$99,4,FALSE)</f>
        <v>23.954999999999998</v>
      </c>
      <c r="D6">
        <f t="shared" si="0"/>
        <v>18.832391713747636</v>
      </c>
    </row>
    <row r="7" spans="1:4" x14ac:dyDescent="0.25">
      <c r="A7" t="s">
        <v>50</v>
      </c>
      <c r="B7">
        <f>VLOOKUP(A7,'Stop Loss Calculator'!$A$3:$D$99,2,FALSE)</f>
        <v>2.95</v>
      </c>
      <c r="C7">
        <f>VLOOKUP(A7,'Stop Loss Calculator'!$A$3:$D$99,4,FALSE)</f>
        <v>2.5960000000000001</v>
      </c>
      <c r="D7">
        <f t="shared" si="0"/>
        <v>141.24293785310732</v>
      </c>
    </row>
    <row r="8" spans="1:4" x14ac:dyDescent="0.25">
      <c r="A8" t="s">
        <v>51</v>
      </c>
      <c r="B8">
        <f>VLOOKUP(A8,'Stop Loss Calculator'!$A$3:$D$99,2,FALSE)</f>
        <v>16.739999999999998</v>
      </c>
      <c r="C8">
        <f>VLOOKUP(A8,'Stop Loss Calculator'!$A$3:$D$99,4,FALSE)</f>
        <v>15.87</v>
      </c>
      <c r="D8">
        <f t="shared" si="0"/>
        <v>57.471264367816147</v>
      </c>
    </row>
    <row r="9" spans="1:4" x14ac:dyDescent="0.25">
      <c r="A9" t="s">
        <v>55</v>
      </c>
      <c r="B9">
        <f>VLOOKUP(A9,'Stop Loss Calculator'!$A$3:$D$99,2,FALSE)</f>
        <v>16.260000000000002</v>
      </c>
      <c r="C9">
        <f>VLOOKUP(A9,'Stop Loss Calculator'!$A$3:$D$99,4,FALSE)</f>
        <v>14.940000000000001</v>
      </c>
      <c r="D9">
        <f t="shared" si="0"/>
        <v>37.878787878787868</v>
      </c>
    </row>
    <row r="10" spans="1:4" x14ac:dyDescent="0.25">
      <c r="A10" t="s">
        <v>15</v>
      </c>
      <c r="B10">
        <f>VLOOKUP(A10,'Stop Loss Calculator'!$A$3:$D$99,2,FALSE)</f>
        <v>7.61</v>
      </c>
      <c r="C10">
        <f>VLOOKUP(A10,'Stop Loss Calculator'!$A$3:$D$99,4,FALSE)</f>
        <v>6.81365</v>
      </c>
      <c r="D10">
        <f t="shared" si="0"/>
        <v>62.786463238525748</v>
      </c>
    </row>
    <row r="11" spans="1:4" x14ac:dyDescent="0.25">
      <c r="A11" t="s">
        <v>56</v>
      </c>
      <c r="B11">
        <f>VLOOKUP(A11,'Stop Loss Calculator'!$A$3:$D$99,2,FALSE)</f>
        <v>129.83000000000001</v>
      </c>
      <c r="C11">
        <f>VLOOKUP(A11,'Stop Loss Calculator'!$A$3:$D$99,4,FALSE)</f>
        <v>120.70000000000002</v>
      </c>
      <c r="D11">
        <f t="shared" si="0"/>
        <v>5.4764512595837926</v>
      </c>
    </row>
    <row r="12" spans="1:4" x14ac:dyDescent="0.25">
      <c r="A12" t="s">
        <v>6</v>
      </c>
      <c r="B12">
        <f>VLOOKUP(A12,'Stop Loss Calculator'!$A$3:$D$99,2,FALSE)</f>
        <v>17.63</v>
      </c>
      <c r="C12">
        <f>VLOOKUP(A12,'Stop Loss Calculator'!$A$3:$D$99,4,FALSE)</f>
        <v>16.445</v>
      </c>
      <c r="D12">
        <f t="shared" si="0"/>
        <v>42.194092827004262</v>
      </c>
    </row>
    <row r="13" spans="1:4" x14ac:dyDescent="0.25">
      <c r="A13" t="s">
        <v>59</v>
      </c>
      <c r="B13">
        <f>VLOOKUP(A13,'Stop Loss Calculator'!$A$3:$D$99,2,FALSE)</f>
        <v>4.58</v>
      </c>
      <c r="C13">
        <f>VLOOKUP(A13,'Stop Loss Calculator'!$A$3:$D$99,4,FALSE)</f>
        <v>4.2656000000000001</v>
      </c>
      <c r="D13">
        <f t="shared" ref="D13" si="1">50/(B13-C13)</f>
        <v>159.03307888040712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A77BB-0F93-4C87-9B0A-B8954405005E}">
  <dimension ref="A1:N110"/>
  <sheetViews>
    <sheetView tabSelected="1" workbookViewId="0">
      <pane xSplit="13" ySplit="9" topLeftCell="N94" activePane="bottomRight" state="frozen"/>
      <selection pane="topRight" activeCell="N1" sqref="N1"/>
      <selection pane="bottomLeft" activeCell="A10" sqref="A10"/>
      <selection pane="bottomRight" activeCell="N110" sqref="N110"/>
    </sheetView>
  </sheetViews>
  <sheetFormatPr baseColWidth="10" defaultRowHeight="15" x14ac:dyDescent="0.25"/>
  <cols>
    <col min="1" max="1" width="22.28515625" bestFit="1" customWidth="1"/>
    <col min="3" max="3" width="16.85546875" customWidth="1"/>
    <col min="4" max="4" width="12.85546875" customWidth="1"/>
    <col min="8" max="8" width="12.140625" customWidth="1"/>
    <col min="14" max="14" width="101.28515625" bestFit="1" customWidth="1"/>
  </cols>
  <sheetData>
    <row r="1" spans="1:14" x14ac:dyDescent="0.25">
      <c r="A1" t="s">
        <v>91</v>
      </c>
      <c r="B1" s="3">
        <f>COUNTIF(M:M,"Win")/COUNTA(M:M)</f>
        <v>0.48039215686274511</v>
      </c>
      <c r="C1" t="s">
        <v>92</v>
      </c>
    </row>
    <row r="2" spans="1:14" x14ac:dyDescent="0.25">
      <c r="A2" t="s">
        <v>93</v>
      </c>
      <c r="B2">
        <f>AVERAGEIF(M:M,"Win",I:I)</f>
        <v>9.7235064318751352</v>
      </c>
    </row>
    <row r="3" spans="1:14" x14ac:dyDescent="0.25">
      <c r="A3" t="s">
        <v>94</v>
      </c>
      <c r="B3">
        <f>AVERAGEIF(M:M,"Loss",I:I)</f>
        <v>-4.3531092320495279</v>
      </c>
    </row>
    <row r="4" spans="1:14" x14ac:dyDescent="0.25">
      <c r="A4" t="s">
        <v>95</v>
      </c>
      <c r="B4">
        <f>AVERAGE(L:L)</f>
        <v>0.36974810813780523</v>
      </c>
    </row>
    <row r="5" spans="1:14" x14ac:dyDescent="0.25">
      <c r="A5" t="s">
        <v>96</v>
      </c>
      <c r="B5">
        <f>(B1*B2+(1-B1)*B3)</f>
        <v>2.4091865280711442</v>
      </c>
    </row>
    <row r="9" spans="1:14" x14ac:dyDescent="0.25">
      <c r="A9" t="s">
        <v>81</v>
      </c>
      <c r="B9" t="s">
        <v>60</v>
      </c>
      <c r="C9" t="s">
        <v>82</v>
      </c>
      <c r="D9" t="s">
        <v>1</v>
      </c>
      <c r="E9" t="s">
        <v>83</v>
      </c>
      <c r="F9" t="s">
        <v>24</v>
      </c>
      <c r="G9" t="s">
        <v>103</v>
      </c>
      <c r="H9" t="s">
        <v>84</v>
      </c>
      <c r="I9" t="s">
        <v>85</v>
      </c>
      <c r="J9" t="s">
        <v>86</v>
      </c>
      <c r="K9" t="s">
        <v>87</v>
      </c>
      <c r="L9" t="s">
        <v>88</v>
      </c>
      <c r="M9" t="s">
        <v>89</v>
      </c>
      <c r="N9" t="s">
        <v>90</v>
      </c>
    </row>
    <row r="10" spans="1:14" x14ac:dyDescent="0.25">
      <c r="A10" s="2">
        <v>45972</v>
      </c>
      <c r="B10" t="s">
        <v>10</v>
      </c>
      <c r="C10">
        <v>225.6</v>
      </c>
      <c r="D10">
        <f>VLOOKUP(B10,'Stop Loss Calculator'!$A$3:$D$999,3,FALSE)</f>
        <v>6.13</v>
      </c>
      <c r="E10">
        <v>248.87</v>
      </c>
      <c r="F10">
        <f>C10-(1.5*D10)</f>
        <v>216.405</v>
      </c>
      <c r="G10" t="s">
        <v>108</v>
      </c>
      <c r="H10">
        <v>249.48</v>
      </c>
      <c r="I10">
        <f t="shared" ref="I10:I17" si="0">(E10-C10)/C10*(100)</f>
        <v>10.314716312056742</v>
      </c>
      <c r="J10">
        <f t="shared" ref="J10:J17" si="1">(C10-F10)/C10*100</f>
        <v>4.0757978723404227</v>
      </c>
      <c r="K10">
        <f t="shared" ref="K10:K17" si="2">(E10-C10)/C10*100</f>
        <v>10.314716312056742</v>
      </c>
      <c r="L10">
        <f t="shared" ref="L10:L17" si="3">K10/J10</f>
        <v>2.5307232191408402</v>
      </c>
      <c r="M10" t="str">
        <f t="shared" ref="M10:M17" si="4">IF(I10&gt;0,"Win","Loss")</f>
        <v>Win</v>
      </c>
      <c r="N10" t="s">
        <v>98</v>
      </c>
    </row>
    <row r="11" spans="1:14" x14ac:dyDescent="0.25">
      <c r="A11" s="2">
        <v>45941</v>
      </c>
      <c r="B11" t="s">
        <v>14</v>
      </c>
      <c r="C11">
        <f>VLOOKUP(B11,'Stop Loss Calculator'!$A$3:$D$99,2,FALSE)</f>
        <v>5.03</v>
      </c>
      <c r="D11">
        <f>VLOOKUP(B11,'Stop Loss Calculator'!$A$3:$D$999,3,FALSE)</f>
        <v>0.27</v>
      </c>
      <c r="E11">
        <v>6.68</v>
      </c>
      <c r="F11">
        <f t="shared" ref="F11:F88" si="5">C11-(1.5*D11)</f>
        <v>4.625</v>
      </c>
      <c r="G11" t="s">
        <v>105</v>
      </c>
      <c r="H11">
        <v>8.18</v>
      </c>
      <c r="I11">
        <f t="shared" si="0"/>
        <v>32.803180914512907</v>
      </c>
      <c r="J11">
        <f t="shared" si="1"/>
        <v>8.0516898608349941</v>
      </c>
      <c r="K11">
        <f t="shared" si="2"/>
        <v>32.803180914512907</v>
      </c>
      <c r="L11">
        <f t="shared" si="3"/>
        <v>4.07407407407407</v>
      </c>
      <c r="M11" t="str">
        <f t="shared" si="4"/>
        <v>Win</v>
      </c>
      <c r="N11" t="s">
        <v>97</v>
      </c>
    </row>
    <row r="12" spans="1:14" x14ac:dyDescent="0.25">
      <c r="A12" s="2">
        <v>45973</v>
      </c>
      <c r="B12" t="s">
        <v>10</v>
      </c>
      <c r="C12">
        <v>225.6</v>
      </c>
      <c r="D12">
        <f>VLOOKUP(B12,'Stop Loss Calculator'!$A$3:$D$999,3,FALSE)</f>
        <v>6.13</v>
      </c>
      <c r="E12">
        <v>245.68</v>
      </c>
      <c r="F12">
        <f t="shared" si="5"/>
        <v>216.405</v>
      </c>
      <c r="G12" t="s">
        <v>104</v>
      </c>
      <c r="H12">
        <v>9.18</v>
      </c>
      <c r="I12">
        <f t="shared" si="0"/>
        <v>8.9007092198581628</v>
      </c>
      <c r="J12">
        <f t="shared" si="1"/>
        <v>4.0757978723404227</v>
      </c>
      <c r="K12">
        <f t="shared" si="2"/>
        <v>8.9007092198581628</v>
      </c>
      <c r="L12">
        <f t="shared" si="3"/>
        <v>2.1837955410549243</v>
      </c>
      <c r="M12" t="str">
        <f t="shared" si="4"/>
        <v>Win</v>
      </c>
      <c r="N12" t="s">
        <v>101</v>
      </c>
    </row>
    <row r="13" spans="1:14" x14ac:dyDescent="0.25">
      <c r="A13" s="2">
        <v>45974</v>
      </c>
      <c r="B13" t="s">
        <v>65</v>
      </c>
      <c r="C13">
        <v>239.81</v>
      </c>
      <c r="D13">
        <f>VLOOKUP(B13,'Stop Loss Calculator'!$A$3:$D$999,3,FALSE)</f>
        <v>8.6</v>
      </c>
      <c r="E13">
        <v>253.21</v>
      </c>
      <c r="F13">
        <f t="shared" si="5"/>
        <v>226.91</v>
      </c>
      <c r="G13" t="s">
        <v>105</v>
      </c>
      <c r="H13">
        <v>10.18</v>
      </c>
      <c r="I13">
        <f t="shared" si="0"/>
        <v>5.5877569742713007</v>
      </c>
      <c r="J13">
        <f t="shared" si="1"/>
        <v>5.3792585797089387</v>
      </c>
      <c r="K13">
        <f t="shared" si="2"/>
        <v>5.5877569742713007</v>
      </c>
      <c r="L13">
        <f t="shared" si="3"/>
        <v>1.0387596899224807</v>
      </c>
      <c r="M13" t="str">
        <f t="shared" si="4"/>
        <v>Win</v>
      </c>
      <c r="N13" t="s">
        <v>106</v>
      </c>
    </row>
    <row r="14" spans="1:14" x14ac:dyDescent="0.25">
      <c r="A14" s="2">
        <v>45974</v>
      </c>
      <c r="B14" t="s">
        <v>76</v>
      </c>
      <c r="C14">
        <v>1023.19</v>
      </c>
      <c r="D14">
        <f>VLOOKUP(B14,'Stop Loss Calculator'!$A$3:$D$999,3,FALSE)</f>
        <v>25.4</v>
      </c>
      <c r="E14">
        <v>1012.66</v>
      </c>
      <c r="F14">
        <f t="shared" si="5"/>
        <v>985.09</v>
      </c>
      <c r="G14" t="s">
        <v>107</v>
      </c>
      <c r="H14">
        <v>1033.19</v>
      </c>
      <c r="I14">
        <f t="shared" si="0"/>
        <v>-1.0291343738699641</v>
      </c>
      <c r="J14">
        <f t="shared" si="1"/>
        <v>3.7236485892160811</v>
      </c>
      <c r="K14">
        <f t="shared" si="2"/>
        <v>-1.0291343738699641</v>
      </c>
      <c r="L14">
        <f t="shared" si="3"/>
        <v>-0.2763779527559076</v>
      </c>
      <c r="M14" t="str">
        <f t="shared" si="4"/>
        <v>Loss</v>
      </c>
      <c r="N14" t="s">
        <v>109</v>
      </c>
    </row>
    <row r="15" spans="1:14" x14ac:dyDescent="0.25">
      <c r="A15" s="2">
        <v>45974</v>
      </c>
      <c r="B15" t="s">
        <v>16</v>
      </c>
      <c r="C15">
        <v>35.83</v>
      </c>
      <c r="D15">
        <f>VLOOKUP(B15,'Stop Loss Calculator'!$A$3:$D$999,3,FALSE)</f>
        <v>0.71</v>
      </c>
      <c r="E15">
        <v>34.770000000000003</v>
      </c>
      <c r="F15">
        <f t="shared" si="5"/>
        <v>34.765000000000001</v>
      </c>
      <c r="G15" t="s">
        <v>110</v>
      </c>
      <c r="I15">
        <f t="shared" si="0"/>
        <v>-2.9584147362545221</v>
      </c>
      <c r="J15">
        <f t="shared" si="1"/>
        <v>2.9723695227462956</v>
      </c>
      <c r="K15">
        <f t="shared" si="2"/>
        <v>-2.9584147362545221</v>
      </c>
      <c r="L15">
        <f t="shared" si="3"/>
        <v>-0.99530516431924654</v>
      </c>
      <c r="M15" t="str">
        <f t="shared" si="4"/>
        <v>Loss</v>
      </c>
      <c r="N15" t="s">
        <v>111</v>
      </c>
    </row>
    <row r="16" spans="1:14" x14ac:dyDescent="0.25">
      <c r="A16" s="2">
        <v>45975</v>
      </c>
      <c r="B16" t="s">
        <v>99</v>
      </c>
      <c r="C16">
        <v>8.32</v>
      </c>
      <c r="D16">
        <f>VLOOKUP(B16,'Stop Loss Calculator'!$A$3:$D$999,3,FALSE)</f>
        <v>1.01</v>
      </c>
      <c r="E16">
        <v>9.06</v>
      </c>
      <c r="F16">
        <f t="shared" si="5"/>
        <v>6.8049999999999997</v>
      </c>
      <c r="G16" t="s">
        <v>113</v>
      </c>
      <c r="I16">
        <f t="shared" si="0"/>
        <v>8.8942307692307701</v>
      </c>
      <c r="J16">
        <f t="shared" si="1"/>
        <v>18.209134615384624</v>
      </c>
      <c r="K16">
        <f t="shared" si="2"/>
        <v>8.8942307692307701</v>
      </c>
      <c r="L16">
        <f t="shared" si="3"/>
        <v>0.48844884488448825</v>
      </c>
      <c r="M16" t="str">
        <f t="shared" si="4"/>
        <v>Win</v>
      </c>
      <c r="N16" t="s">
        <v>114</v>
      </c>
    </row>
    <row r="17" spans="1:14" x14ac:dyDescent="0.25">
      <c r="A17" s="2">
        <v>45978</v>
      </c>
      <c r="B17" t="s">
        <v>80</v>
      </c>
      <c r="C17">
        <v>16.260000000000002</v>
      </c>
      <c r="D17">
        <f>VLOOKUP(B17,'Stop Loss Calculator'!$A$3:$D$999,3,FALSE)</f>
        <v>0.45</v>
      </c>
      <c r="E17">
        <v>15.39</v>
      </c>
      <c r="F17">
        <f t="shared" si="5"/>
        <v>15.585000000000001</v>
      </c>
      <c r="G17" t="s">
        <v>117</v>
      </c>
      <c r="I17">
        <f t="shared" si="0"/>
        <v>-5.3505535055350615</v>
      </c>
      <c r="J17">
        <f t="shared" si="1"/>
        <v>4.1512915129151331</v>
      </c>
      <c r="K17">
        <f t="shared" si="2"/>
        <v>-5.3505535055350615</v>
      </c>
      <c r="L17">
        <f t="shared" si="3"/>
        <v>-1.2888888888888892</v>
      </c>
      <c r="M17" t="str">
        <f t="shared" si="4"/>
        <v>Loss</v>
      </c>
      <c r="N17" t="s">
        <v>111</v>
      </c>
    </row>
    <row r="18" spans="1:14" x14ac:dyDescent="0.25">
      <c r="A18" s="2">
        <v>45978</v>
      </c>
      <c r="B18" t="s">
        <v>115</v>
      </c>
      <c r="C18">
        <v>4.13</v>
      </c>
      <c r="D18">
        <f>VLOOKUP(B18,'Stop Loss Calculator'!$A$3:$D$999,3,FALSE)</f>
        <v>0.24379999999999999</v>
      </c>
      <c r="E18">
        <v>3.76</v>
      </c>
      <c r="F18">
        <f t="shared" si="5"/>
        <v>3.7643</v>
      </c>
      <c r="G18" t="s">
        <v>118</v>
      </c>
      <c r="I18">
        <f t="shared" ref="I18:I21" si="6">(E18-C18)/C18*(100)</f>
        <v>-8.9588377723970982</v>
      </c>
      <c r="J18">
        <f t="shared" ref="J18:J20" si="7">(C18-F18)/C18*100</f>
        <v>8.8547215496368015</v>
      </c>
      <c r="K18">
        <f t="shared" ref="K18:K20" si="8">(E18-C18)/C18*100</f>
        <v>-8.9588377723970982</v>
      </c>
      <c r="L18">
        <f t="shared" ref="L18:L20" si="9">K18/J18</f>
        <v>-1.0117582718074931</v>
      </c>
      <c r="M18" t="str">
        <f t="shared" ref="M18:M20" si="10">IF(I18&gt;0,"Win","Loss")</f>
        <v>Loss</v>
      </c>
      <c r="N18" t="s">
        <v>111</v>
      </c>
    </row>
    <row r="19" spans="1:14" x14ac:dyDescent="0.25">
      <c r="A19" s="2">
        <v>45979</v>
      </c>
      <c r="B19" t="s">
        <v>75</v>
      </c>
      <c r="C19">
        <v>40.33</v>
      </c>
      <c r="D19">
        <f>VLOOKUP(B19,'Stop Loss Calculator'!$A$3:$D$999,3,FALSE)</f>
        <v>1.57</v>
      </c>
      <c r="E19">
        <v>37.86</v>
      </c>
      <c r="F19">
        <f t="shared" si="5"/>
        <v>37.975000000000001</v>
      </c>
      <c r="G19" t="s">
        <v>107</v>
      </c>
      <c r="I19">
        <f t="shared" si="6"/>
        <v>-6.1244730969501591</v>
      </c>
      <c r="J19">
        <f t="shared" si="7"/>
        <v>5.8393255640961987</v>
      </c>
      <c r="K19">
        <f t="shared" si="8"/>
        <v>-6.1244730969501591</v>
      </c>
      <c r="L19">
        <f t="shared" si="9"/>
        <v>-1.0488322717622092</v>
      </c>
      <c r="M19" t="str">
        <f t="shared" si="10"/>
        <v>Loss</v>
      </c>
      <c r="N19" t="s">
        <v>111</v>
      </c>
    </row>
    <row r="20" spans="1:14" x14ac:dyDescent="0.25">
      <c r="A20" s="2">
        <v>45979</v>
      </c>
      <c r="B20" t="s">
        <v>112</v>
      </c>
      <c r="C20">
        <v>77.12</v>
      </c>
      <c r="D20">
        <f>VLOOKUP(B20,'Stop Loss Calculator'!$A$3:$D$999,3,FALSE)</f>
        <v>0.86</v>
      </c>
      <c r="E20">
        <v>76.739999999999995</v>
      </c>
      <c r="F20">
        <f t="shared" si="5"/>
        <v>75.83</v>
      </c>
      <c r="G20" t="s">
        <v>105</v>
      </c>
      <c r="I20">
        <f t="shared" si="6"/>
        <v>-0.49273858921163072</v>
      </c>
      <c r="J20">
        <f t="shared" si="7"/>
        <v>1.6727178423236593</v>
      </c>
      <c r="K20">
        <f t="shared" si="8"/>
        <v>-0.49273858921163072</v>
      </c>
      <c r="L20">
        <f t="shared" si="9"/>
        <v>-0.29457364341085879</v>
      </c>
      <c r="M20" t="str">
        <f t="shared" si="10"/>
        <v>Loss</v>
      </c>
      <c r="N20" t="s">
        <v>119</v>
      </c>
    </row>
    <row r="21" spans="1:14" x14ac:dyDescent="0.25">
      <c r="A21" s="2">
        <v>45979</v>
      </c>
      <c r="B21" t="s">
        <v>121</v>
      </c>
      <c r="C21">
        <v>125.37</v>
      </c>
      <c r="D21">
        <f>VLOOKUP(B21,'Stop Loss Calculator'!$A$3:$D$999,3,FALSE)</f>
        <v>3.25</v>
      </c>
      <c r="E21">
        <v>122.21</v>
      </c>
      <c r="F21">
        <f t="shared" si="5"/>
        <v>120.495</v>
      </c>
      <c r="G21" t="s">
        <v>110</v>
      </c>
      <c r="I21">
        <f t="shared" si="6"/>
        <v>-2.5205392039562979</v>
      </c>
      <c r="J21">
        <f t="shared" ref="J21" si="11">(C21-F21)/C21*100</f>
        <v>3.8884900693945923</v>
      </c>
      <c r="K21">
        <f t="shared" ref="K21" si="12">(E21-C21)/C21*100</f>
        <v>-2.5205392039562979</v>
      </c>
      <c r="L21">
        <f t="shared" ref="L21" si="13">K21/J21</f>
        <v>-0.64820512820513032</v>
      </c>
      <c r="M21" t="str">
        <f t="shared" ref="M21" si="14">IF(I21&gt;0,"Win","Loss")</f>
        <v>Loss</v>
      </c>
      <c r="N21" t="s">
        <v>111</v>
      </c>
    </row>
    <row r="22" spans="1:14" x14ac:dyDescent="0.25">
      <c r="A22" s="2">
        <v>45980</v>
      </c>
      <c r="B22" t="s">
        <v>53</v>
      </c>
      <c r="C22">
        <v>9.2899999999999991</v>
      </c>
      <c r="D22">
        <f>VLOOKUP(B22,'Stop Loss Calculator'!$A$3:$D$999,3,FALSE)</f>
        <v>0.34610000000000002</v>
      </c>
      <c r="E22">
        <v>8.77</v>
      </c>
      <c r="F22">
        <f t="shared" si="5"/>
        <v>8.7708499999999994</v>
      </c>
      <c r="G22" t="s">
        <v>110</v>
      </c>
      <c r="I22">
        <f t="shared" ref="I22" si="15">(E22-C22)/C22*(100)</f>
        <v>-5.5974165769644735</v>
      </c>
      <c r="J22">
        <f t="shared" ref="J22" si="16">(C22-F22)/C22*100</f>
        <v>5.5882669537136689</v>
      </c>
      <c r="K22">
        <f t="shared" ref="K22" si="17">(E22-C22)/C22*100</f>
        <v>-5.5974165769644735</v>
      </c>
      <c r="L22">
        <f t="shared" ref="L22" si="18">K22/J22</f>
        <v>-1.0016372917268608</v>
      </c>
      <c r="M22" t="str">
        <f t="shared" ref="M22" si="19">IF(I22&gt;0,"Win","Loss")</f>
        <v>Loss</v>
      </c>
      <c r="N22" t="s">
        <v>111</v>
      </c>
    </row>
    <row r="23" spans="1:14" x14ac:dyDescent="0.25">
      <c r="A23" s="2">
        <v>45981</v>
      </c>
      <c r="B23" t="s">
        <v>52</v>
      </c>
      <c r="C23">
        <v>120.06</v>
      </c>
      <c r="D23">
        <f>VLOOKUP(B23,'Stop Loss Calculator'!$A$3:$D$999,3,FALSE)</f>
        <v>3.33</v>
      </c>
      <c r="E23">
        <v>127.82</v>
      </c>
      <c r="F23">
        <f t="shared" si="5"/>
        <v>115.065</v>
      </c>
      <c r="G23" t="s">
        <v>110</v>
      </c>
      <c r="I23">
        <f t="shared" ref="I23:I24" si="20">(E23-C23)/C23*(100)</f>
        <v>6.4634349491920622</v>
      </c>
      <c r="J23">
        <f t="shared" ref="J23:J24" si="21">(C23-F23)/C23*100</f>
        <v>4.1604197901049513</v>
      </c>
      <c r="K23">
        <f t="shared" ref="K23:K24" si="22">(E23-C23)/C23*100</f>
        <v>6.4634349491920622</v>
      </c>
      <c r="L23">
        <f t="shared" ref="L23:L24" si="23">K23/J23</f>
        <v>1.5535535535535501</v>
      </c>
      <c r="M23" t="str">
        <f t="shared" ref="M23:M24" si="24">IF(I23&gt;0,"Win","Loss")</f>
        <v>Win</v>
      </c>
      <c r="N23" t="s">
        <v>129</v>
      </c>
    </row>
    <row r="24" spans="1:14" x14ac:dyDescent="0.25">
      <c r="A24" s="2">
        <v>45981</v>
      </c>
      <c r="B24" t="s">
        <v>4</v>
      </c>
      <c r="C24">
        <v>26.85</v>
      </c>
      <c r="D24">
        <f>VLOOKUP(B24,'Stop Loss Calculator'!$A$3:$D$999,3,FALSE)</f>
        <v>1.1000000000000001</v>
      </c>
      <c r="E24">
        <v>24.65</v>
      </c>
      <c r="F24">
        <f t="shared" si="5"/>
        <v>25.200000000000003</v>
      </c>
      <c r="I24">
        <f t="shared" si="20"/>
        <v>-8.1936685288640696</v>
      </c>
      <c r="J24">
        <f t="shared" si="21"/>
        <v>6.1452513966480389</v>
      </c>
      <c r="K24">
        <f t="shared" si="22"/>
        <v>-8.1936685288640696</v>
      </c>
      <c r="L24">
        <f t="shared" si="23"/>
        <v>-1.3333333333333361</v>
      </c>
      <c r="M24" t="str">
        <f t="shared" si="24"/>
        <v>Loss</v>
      </c>
      <c r="N24" t="s">
        <v>133</v>
      </c>
    </row>
    <row r="25" spans="1:14" x14ac:dyDescent="0.25">
      <c r="A25" s="2">
        <v>45981</v>
      </c>
      <c r="B25" t="s">
        <v>78</v>
      </c>
      <c r="C25">
        <v>61.6</v>
      </c>
      <c r="D25">
        <f>VLOOKUP(B25,'Stop Loss Calculator'!$A$3:$D$999,3,FALSE)</f>
        <v>2.72</v>
      </c>
      <c r="E25">
        <v>56.16</v>
      </c>
      <c r="F25">
        <f t="shared" si="5"/>
        <v>57.52</v>
      </c>
      <c r="I25">
        <f t="shared" ref="I25:I59" si="25">(E25-C25)/C25*(100)</f>
        <v>-8.8311688311688386</v>
      </c>
      <c r="J25">
        <f t="shared" ref="J25:J59" si="26">(C25-F25)/C25*100</f>
        <v>6.62337662337662</v>
      </c>
      <c r="K25">
        <f t="shared" ref="K25:K59" si="27">(E25-C25)/C25*100</f>
        <v>-8.8311688311688386</v>
      </c>
      <c r="L25">
        <f t="shared" ref="L25:L59" si="28">K25/J25</f>
        <v>-1.333333333333335</v>
      </c>
      <c r="M25" t="str">
        <f t="shared" ref="M25:M59" si="29">IF(I25&gt;0,"Win","Loss")</f>
        <v>Loss</v>
      </c>
      <c r="N25" t="s">
        <v>133</v>
      </c>
    </row>
    <row r="26" spans="1:14" x14ac:dyDescent="0.25">
      <c r="A26" s="2">
        <v>45986</v>
      </c>
      <c r="B26" t="s">
        <v>137</v>
      </c>
      <c r="C26">
        <v>44.15</v>
      </c>
      <c r="D26">
        <f>VLOOKUP(B26,'Stop Loss Calculator'!$A$3:$D$999,3,FALSE)</f>
        <v>0.96</v>
      </c>
      <c r="E26">
        <v>47.42</v>
      </c>
      <c r="F26">
        <f t="shared" si="5"/>
        <v>42.71</v>
      </c>
      <c r="G26" t="s">
        <v>141</v>
      </c>
      <c r="I26">
        <f t="shared" si="25"/>
        <v>7.4065685164212987</v>
      </c>
      <c r="J26">
        <f t="shared" si="26"/>
        <v>3.2616081540203803</v>
      </c>
      <c r="K26">
        <f t="shared" si="27"/>
        <v>7.4065685164212987</v>
      </c>
      <c r="L26">
        <f t="shared" si="28"/>
        <v>2.2708333333333388</v>
      </c>
      <c r="M26" t="str">
        <f t="shared" si="29"/>
        <v>Win</v>
      </c>
      <c r="N26" t="s">
        <v>142</v>
      </c>
    </row>
    <row r="27" spans="1:14" x14ac:dyDescent="0.25">
      <c r="A27" s="2">
        <v>45987</v>
      </c>
      <c r="B27" t="s">
        <v>125</v>
      </c>
      <c r="C27">
        <v>46.33</v>
      </c>
      <c r="D27">
        <f>VLOOKUP(B27,'Stop Loss Calculator'!$A$3:$D$999,3,FALSE)</f>
        <v>2.16</v>
      </c>
      <c r="E27">
        <v>52.95</v>
      </c>
      <c r="F27">
        <f t="shared" si="5"/>
        <v>43.089999999999996</v>
      </c>
      <c r="G27" t="s">
        <v>117</v>
      </c>
      <c r="I27">
        <f t="shared" si="25"/>
        <v>14.288797755234201</v>
      </c>
      <c r="J27">
        <f t="shared" si="26"/>
        <v>6.9933088711418137</v>
      </c>
      <c r="K27">
        <f t="shared" si="27"/>
        <v>14.288797755234201</v>
      </c>
      <c r="L27">
        <f t="shared" si="28"/>
        <v>2.0432098765432101</v>
      </c>
      <c r="M27" t="str">
        <f t="shared" si="29"/>
        <v>Win</v>
      </c>
      <c r="N27" t="s">
        <v>146</v>
      </c>
    </row>
    <row r="28" spans="1:14" x14ac:dyDescent="0.25">
      <c r="A28" s="2">
        <v>45987</v>
      </c>
      <c r="B28" t="s">
        <v>125</v>
      </c>
      <c r="C28">
        <v>46.33</v>
      </c>
      <c r="D28">
        <f>VLOOKUP(B28,'Stop Loss Calculator'!$A$3:$D$999,3,FALSE)</f>
        <v>2.16</v>
      </c>
      <c r="E28">
        <v>53.84</v>
      </c>
      <c r="F28">
        <f t="shared" si="5"/>
        <v>43.089999999999996</v>
      </c>
      <c r="G28" t="s">
        <v>117</v>
      </c>
      <c r="I28">
        <f t="shared" si="25"/>
        <v>16.209799266134269</v>
      </c>
      <c r="J28">
        <f t="shared" si="26"/>
        <v>6.9933088711418137</v>
      </c>
      <c r="K28">
        <f t="shared" si="27"/>
        <v>16.209799266134269</v>
      </c>
      <c r="L28">
        <f t="shared" si="28"/>
        <v>2.3179012345679015</v>
      </c>
      <c r="M28" t="str">
        <f t="shared" si="29"/>
        <v>Win</v>
      </c>
      <c r="N28" t="s">
        <v>147</v>
      </c>
    </row>
    <row r="29" spans="1:14" x14ac:dyDescent="0.25">
      <c r="A29" s="2">
        <v>45992</v>
      </c>
      <c r="B29" t="s">
        <v>136</v>
      </c>
      <c r="C29">
        <v>153.49</v>
      </c>
      <c r="D29">
        <f>VLOOKUP(B29,'Stop Loss Calculator'!$A$3:$D$999,3,FALSE)</f>
        <v>2.0499999999999998</v>
      </c>
      <c r="E29">
        <v>155.84</v>
      </c>
      <c r="F29">
        <f t="shared" si="5"/>
        <v>150.41500000000002</v>
      </c>
      <c r="G29" t="s">
        <v>149</v>
      </c>
      <c r="I29">
        <f t="shared" si="25"/>
        <v>1.5310443677112477</v>
      </c>
      <c r="J29">
        <f t="shared" si="26"/>
        <v>2.0033878428562044</v>
      </c>
      <c r="K29">
        <f t="shared" si="27"/>
        <v>1.5310443677112477</v>
      </c>
      <c r="L29">
        <f t="shared" si="28"/>
        <v>0.76422764227642381</v>
      </c>
      <c r="M29" t="str">
        <f t="shared" si="29"/>
        <v>Win</v>
      </c>
      <c r="N29" t="s">
        <v>150</v>
      </c>
    </row>
    <row r="30" spans="1:14" x14ac:dyDescent="0.25">
      <c r="A30" s="2">
        <v>45993</v>
      </c>
      <c r="B30" t="s">
        <v>124</v>
      </c>
      <c r="C30">
        <v>146.08000000000001</v>
      </c>
      <c r="D30">
        <f>VLOOKUP(B30,'Stop Loss Calculator'!$A$3:$D$999,3,FALSE)</f>
        <v>2.94</v>
      </c>
      <c r="E30">
        <v>150.07</v>
      </c>
      <c r="F30">
        <f t="shared" si="5"/>
        <v>141.67000000000002</v>
      </c>
      <c r="G30" t="s">
        <v>152</v>
      </c>
      <c r="I30">
        <f t="shared" si="25"/>
        <v>2.7313800657174014</v>
      </c>
      <c r="J30">
        <f t="shared" si="26"/>
        <v>3.0188937568455616</v>
      </c>
      <c r="K30">
        <f t="shared" si="27"/>
        <v>2.7313800657174014</v>
      </c>
      <c r="L30">
        <f t="shared" si="28"/>
        <v>0.90476190476190099</v>
      </c>
      <c r="M30" t="str">
        <f t="shared" si="29"/>
        <v>Win</v>
      </c>
      <c r="N30" t="s">
        <v>153</v>
      </c>
    </row>
    <row r="31" spans="1:14" x14ac:dyDescent="0.25">
      <c r="A31" s="2">
        <v>45993</v>
      </c>
      <c r="B31" t="s">
        <v>122</v>
      </c>
      <c r="C31">
        <v>8.52</v>
      </c>
      <c r="D31">
        <f>VLOOKUP(B31,'Stop Loss Calculator'!$A$3:$D$999,3,FALSE)</f>
        <v>1.28</v>
      </c>
      <c r="E31">
        <v>7.47</v>
      </c>
      <c r="F31">
        <f t="shared" si="5"/>
        <v>6.6</v>
      </c>
      <c r="G31" t="s">
        <v>105</v>
      </c>
      <c r="I31">
        <f t="shared" si="25"/>
        <v>-12.32394366197183</v>
      </c>
      <c r="J31">
        <f t="shared" si="26"/>
        <v>22.535211267605636</v>
      </c>
      <c r="K31">
        <f t="shared" si="27"/>
        <v>-12.32394366197183</v>
      </c>
      <c r="L31">
        <f t="shared" si="28"/>
        <v>-0.54687499999999989</v>
      </c>
      <c r="M31" t="str">
        <f t="shared" si="29"/>
        <v>Loss</v>
      </c>
      <c r="N31" t="s">
        <v>154</v>
      </c>
    </row>
    <row r="32" spans="1:14" x14ac:dyDescent="0.25">
      <c r="A32" s="2">
        <v>45993</v>
      </c>
      <c r="B32" t="s">
        <v>125</v>
      </c>
      <c r="C32">
        <v>46.33</v>
      </c>
      <c r="D32">
        <f>VLOOKUP(B32,'Stop Loss Calculator'!$A$3:$D$999,3,FALSE)</f>
        <v>2.16</v>
      </c>
      <c r="E32">
        <v>54.09</v>
      </c>
      <c r="F32">
        <f t="shared" si="5"/>
        <v>43.089999999999996</v>
      </c>
      <c r="G32" t="s">
        <v>155</v>
      </c>
      <c r="I32">
        <f t="shared" si="25"/>
        <v>16.749406432117432</v>
      </c>
      <c r="J32">
        <f t="shared" si="26"/>
        <v>6.9933088711418137</v>
      </c>
      <c r="K32">
        <f t="shared" si="27"/>
        <v>16.749406432117432</v>
      </c>
      <c r="L32">
        <f t="shared" si="28"/>
        <v>2.3950617283950622</v>
      </c>
      <c r="M32" t="str">
        <f t="shared" si="29"/>
        <v>Win</v>
      </c>
      <c r="N32" t="s">
        <v>156</v>
      </c>
    </row>
    <row r="33" spans="1:14" x14ac:dyDescent="0.25">
      <c r="A33" s="2">
        <v>45993</v>
      </c>
      <c r="B33" t="s">
        <v>19</v>
      </c>
      <c r="C33">
        <v>39.479999999999997</v>
      </c>
      <c r="D33">
        <f>VLOOKUP(B33,'Stop Loss Calculator'!$A$3:$D$999,3,FALSE)</f>
        <v>0.63</v>
      </c>
      <c r="E33">
        <v>38.75</v>
      </c>
      <c r="F33">
        <f t="shared" si="5"/>
        <v>38.534999999999997</v>
      </c>
      <c r="G33" t="s">
        <v>155</v>
      </c>
      <c r="I33">
        <f t="shared" si="25"/>
        <v>-1.8490374873353519</v>
      </c>
      <c r="J33">
        <f t="shared" si="26"/>
        <v>2.3936170212765968</v>
      </c>
      <c r="K33">
        <f t="shared" si="27"/>
        <v>-1.8490374873353519</v>
      </c>
      <c r="L33">
        <f t="shared" si="28"/>
        <v>-0.77248677248676889</v>
      </c>
      <c r="M33" t="str">
        <f t="shared" si="29"/>
        <v>Loss</v>
      </c>
      <c r="N33" t="s">
        <v>157</v>
      </c>
    </row>
    <row r="34" spans="1:14" x14ac:dyDescent="0.25">
      <c r="A34" s="2">
        <v>45993</v>
      </c>
      <c r="B34" t="s">
        <v>51</v>
      </c>
      <c r="C34">
        <v>16.100000000000001</v>
      </c>
      <c r="D34">
        <f>VLOOKUP(B34,'Stop Loss Calculator'!$A$3:$D$999,3,FALSE)</f>
        <v>0.57999999999999996</v>
      </c>
      <c r="E34">
        <v>16.39</v>
      </c>
      <c r="F34">
        <f t="shared" si="5"/>
        <v>15.230000000000002</v>
      </c>
      <c r="G34" t="s">
        <v>105</v>
      </c>
      <c r="I34">
        <f t="shared" si="25"/>
        <v>1.8012422360248395</v>
      </c>
      <c r="J34">
        <f t="shared" si="26"/>
        <v>5.4037267080745286</v>
      </c>
      <c r="K34">
        <f t="shared" si="27"/>
        <v>1.8012422360248395</v>
      </c>
      <c r="L34">
        <f t="shared" si="28"/>
        <v>0.3333333333333327</v>
      </c>
      <c r="M34" t="str">
        <f t="shared" si="29"/>
        <v>Win</v>
      </c>
      <c r="N34" t="s">
        <v>158</v>
      </c>
    </row>
    <row r="35" spans="1:14" x14ac:dyDescent="0.25">
      <c r="A35" s="2">
        <v>45993</v>
      </c>
      <c r="B35" t="s">
        <v>134</v>
      </c>
      <c r="C35">
        <v>126.22</v>
      </c>
      <c r="D35">
        <f>VLOOKUP(B35,'Stop Loss Calculator'!$A$3:$D$999,3,FALSE)</f>
        <v>2.76</v>
      </c>
      <c r="E35">
        <v>126.43</v>
      </c>
      <c r="F35">
        <f t="shared" si="5"/>
        <v>122.08</v>
      </c>
      <c r="G35" t="s">
        <v>107</v>
      </c>
      <c r="I35">
        <f t="shared" si="25"/>
        <v>0.16637616859452384</v>
      </c>
      <c r="J35">
        <f t="shared" si="26"/>
        <v>3.2799873237204888</v>
      </c>
      <c r="K35">
        <f t="shared" si="27"/>
        <v>0.16637616859452384</v>
      </c>
      <c r="L35">
        <f t="shared" si="28"/>
        <v>5.0724637681161339E-2</v>
      </c>
      <c r="M35" t="str">
        <f t="shared" si="29"/>
        <v>Win</v>
      </c>
      <c r="N35" t="s">
        <v>159</v>
      </c>
    </row>
    <row r="36" spans="1:14" x14ac:dyDescent="0.25">
      <c r="A36" s="2">
        <v>45993</v>
      </c>
      <c r="B36" t="s">
        <v>151</v>
      </c>
      <c r="C36">
        <v>40.590000000000003</v>
      </c>
      <c r="D36">
        <f>VLOOKUP(B36,'Stop Loss Calculator'!$A$3:$D$999,3,FALSE)</f>
        <v>1.81</v>
      </c>
      <c r="E36">
        <v>42.95</v>
      </c>
      <c r="F36">
        <f t="shared" si="5"/>
        <v>37.875</v>
      </c>
      <c r="G36" t="s">
        <v>118</v>
      </c>
      <c r="I36">
        <f t="shared" si="25"/>
        <v>5.8142399605814221</v>
      </c>
      <c r="J36">
        <f t="shared" si="26"/>
        <v>6.6888396156688916</v>
      </c>
      <c r="K36">
        <f t="shared" si="27"/>
        <v>5.8142399605814221</v>
      </c>
      <c r="L36">
        <f t="shared" si="28"/>
        <v>0.86924493554327675</v>
      </c>
      <c r="M36" t="str">
        <f t="shared" si="29"/>
        <v>Win</v>
      </c>
      <c r="N36" t="s">
        <v>160</v>
      </c>
    </row>
    <row r="37" spans="1:14" x14ac:dyDescent="0.25">
      <c r="A37" s="2">
        <v>45993</v>
      </c>
      <c r="B37" t="s">
        <v>116</v>
      </c>
      <c r="C37">
        <v>99.43</v>
      </c>
      <c r="D37">
        <f>VLOOKUP(B37,'Stop Loss Calculator'!$A$3:$D$999,3,FALSE)</f>
        <v>4.29</v>
      </c>
      <c r="E37">
        <v>91.73</v>
      </c>
      <c r="F37">
        <f t="shared" si="5"/>
        <v>92.995000000000005</v>
      </c>
      <c r="G37" t="s">
        <v>162</v>
      </c>
      <c r="I37">
        <f t="shared" si="25"/>
        <v>-7.7441416071608193</v>
      </c>
      <c r="J37">
        <f t="shared" si="26"/>
        <v>6.4718897716986845</v>
      </c>
      <c r="K37">
        <f t="shared" si="27"/>
        <v>-7.7441416071608193</v>
      </c>
      <c r="L37">
        <f t="shared" si="28"/>
        <v>-1.1965811965811965</v>
      </c>
      <c r="M37" t="str">
        <f t="shared" si="29"/>
        <v>Loss</v>
      </c>
      <c r="N37" t="s">
        <v>163</v>
      </c>
    </row>
    <row r="38" spans="1:14" x14ac:dyDescent="0.25">
      <c r="A38" s="2">
        <v>45995</v>
      </c>
      <c r="B38" t="s">
        <v>126</v>
      </c>
      <c r="C38">
        <v>12.01</v>
      </c>
      <c r="D38">
        <f>VLOOKUP(B38,'Stop Loss Calculator'!$A$3:$D$999,3,FALSE)</f>
        <v>1.04</v>
      </c>
      <c r="E38">
        <v>14.06</v>
      </c>
      <c r="F38">
        <f t="shared" si="5"/>
        <v>10.45</v>
      </c>
      <c r="G38" t="s">
        <v>164</v>
      </c>
      <c r="I38">
        <f t="shared" si="25"/>
        <v>17.069109075770196</v>
      </c>
      <c r="J38">
        <f t="shared" si="26"/>
        <v>12.989175686927565</v>
      </c>
      <c r="K38">
        <f t="shared" si="27"/>
        <v>17.069109075770196</v>
      </c>
      <c r="L38">
        <f t="shared" si="28"/>
        <v>1.3141025641025641</v>
      </c>
      <c r="M38" t="str">
        <f t="shared" si="29"/>
        <v>Win</v>
      </c>
      <c r="N38" t="s">
        <v>147</v>
      </c>
    </row>
    <row r="39" spans="1:14" x14ac:dyDescent="0.25">
      <c r="A39" s="2">
        <v>45995</v>
      </c>
      <c r="B39" t="s">
        <v>128</v>
      </c>
      <c r="C39">
        <v>223.2</v>
      </c>
      <c r="D39">
        <f>VLOOKUP(B39,'Stop Loss Calculator'!$A$3:$D$999,3,FALSE)</f>
        <v>5.88</v>
      </c>
      <c r="E39">
        <v>227.02</v>
      </c>
      <c r="F39">
        <f t="shared" si="5"/>
        <v>214.38</v>
      </c>
      <c r="G39" t="s">
        <v>164</v>
      </c>
      <c r="I39">
        <f t="shared" si="25"/>
        <v>1.7114695340501891</v>
      </c>
      <c r="J39">
        <f t="shared" si="26"/>
        <v>3.9516129032258034</v>
      </c>
      <c r="K39">
        <f t="shared" si="27"/>
        <v>1.7114695340501891</v>
      </c>
      <c r="L39">
        <f t="shared" si="28"/>
        <v>0.43310657596372165</v>
      </c>
      <c r="M39" t="str">
        <f t="shared" si="29"/>
        <v>Win</v>
      </c>
      <c r="N39" t="s">
        <v>165</v>
      </c>
    </row>
    <row r="40" spans="1:14" x14ac:dyDescent="0.25">
      <c r="A40" s="2">
        <v>45996</v>
      </c>
      <c r="B40" t="s">
        <v>66</v>
      </c>
      <c r="C40">
        <v>186.37</v>
      </c>
      <c r="D40">
        <f>VLOOKUP(B40,'Stop Loss Calculator'!$A$3:$D$999,3,FALSE)</f>
        <v>5.4</v>
      </c>
      <c r="E40">
        <v>175.55</v>
      </c>
      <c r="F40">
        <f t="shared" si="5"/>
        <v>178.27</v>
      </c>
      <c r="G40" t="s">
        <v>110</v>
      </c>
      <c r="I40">
        <f t="shared" si="25"/>
        <v>-5.8056554166443055</v>
      </c>
      <c r="J40">
        <f t="shared" si="26"/>
        <v>4.3461930568224467</v>
      </c>
      <c r="K40">
        <f t="shared" si="27"/>
        <v>-5.8056554166443055</v>
      </c>
      <c r="L40">
        <f t="shared" si="28"/>
        <v>-1.3358024691358026</v>
      </c>
      <c r="M40" t="str">
        <f t="shared" si="29"/>
        <v>Loss</v>
      </c>
      <c r="N40" t="s">
        <v>166</v>
      </c>
    </row>
    <row r="41" spans="1:14" x14ac:dyDescent="0.25">
      <c r="A41" s="2">
        <v>45996</v>
      </c>
      <c r="B41" t="s">
        <v>53</v>
      </c>
      <c r="C41">
        <v>9.2200000000000006</v>
      </c>
      <c r="D41">
        <f>VLOOKUP(B41,'Stop Loss Calculator'!$A$3:$D$999,3,FALSE)</f>
        <v>0.34610000000000002</v>
      </c>
      <c r="E41">
        <v>8.6999999999999993</v>
      </c>
      <c r="F41">
        <f t="shared" si="5"/>
        <v>8.7008500000000009</v>
      </c>
      <c r="G41" t="s">
        <v>110</v>
      </c>
      <c r="I41">
        <f t="shared" si="25"/>
        <v>-5.6399132321041359</v>
      </c>
      <c r="J41">
        <f t="shared" si="26"/>
        <v>5.630694143167025</v>
      </c>
      <c r="K41">
        <f t="shared" si="27"/>
        <v>-5.6399132321041359</v>
      </c>
      <c r="L41">
        <f t="shared" si="28"/>
        <v>-1.0016372917268643</v>
      </c>
      <c r="M41" t="str">
        <f t="shared" si="29"/>
        <v>Loss</v>
      </c>
      <c r="N41" t="s">
        <v>169</v>
      </c>
    </row>
    <row r="42" spans="1:14" x14ac:dyDescent="0.25">
      <c r="A42" s="2">
        <v>45996</v>
      </c>
      <c r="B42" t="s">
        <v>131</v>
      </c>
      <c r="C42">
        <v>21.98</v>
      </c>
      <c r="D42">
        <f>VLOOKUP(B42,'Stop Loss Calculator'!$A$3:$D$999,3,FALSE)</f>
        <v>1.17</v>
      </c>
      <c r="E42">
        <v>20.83</v>
      </c>
      <c r="F42">
        <f t="shared" si="5"/>
        <v>20.225000000000001</v>
      </c>
      <c r="G42" t="s">
        <v>155</v>
      </c>
      <c r="I42">
        <f t="shared" si="25"/>
        <v>-5.2320291173794455</v>
      </c>
      <c r="J42">
        <f t="shared" si="26"/>
        <v>7.9845313921747003</v>
      </c>
      <c r="K42">
        <f t="shared" si="27"/>
        <v>-5.2320291173794455</v>
      </c>
      <c r="L42">
        <f t="shared" si="28"/>
        <v>-0.65527065527065675</v>
      </c>
      <c r="M42" t="str">
        <f t="shared" si="29"/>
        <v>Loss</v>
      </c>
      <c r="N42" t="s">
        <v>170</v>
      </c>
    </row>
    <row r="43" spans="1:14" x14ac:dyDescent="0.25">
      <c r="A43" s="2">
        <v>45999</v>
      </c>
      <c r="B43" t="s">
        <v>80</v>
      </c>
      <c r="C43">
        <v>16.559999999999999</v>
      </c>
      <c r="D43">
        <f>VLOOKUP(B43,'Stop Loss Calculator'!$A$3:$D$999,3,FALSE)</f>
        <v>0.45</v>
      </c>
      <c r="E43">
        <v>15.82</v>
      </c>
      <c r="F43">
        <f t="shared" si="5"/>
        <v>15.884999999999998</v>
      </c>
      <c r="G43" t="s">
        <v>171</v>
      </c>
      <c r="I43">
        <f t="shared" si="25"/>
        <v>-4.4685990338164157</v>
      </c>
      <c r="J43">
        <f t="shared" si="26"/>
        <v>4.0760869565217437</v>
      </c>
      <c r="K43">
        <f t="shared" si="27"/>
        <v>-4.4685990338164157</v>
      </c>
      <c r="L43">
        <f t="shared" si="28"/>
        <v>-1.0962962962962928</v>
      </c>
      <c r="M43" t="str">
        <f t="shared" si="29"/>
        <v>Loss</v>
      </c>
      <c r="N43" t="s">
        <v>172</v>
      </c>
    </row>
    <row r="44" spans="1:14" x14ac:dyDescent="0.25">
      <c r="A44" s="2">
        <v>45999</v>
      </c>
      <c r="B44" t="s">
        <v>120</v>
      </c>
      <c r="C44">
        <v>150.21</v>
      </c>
      <c r="D44">
        <f>VLOOKUP(B44,'Stop Loss Calculator'!$A$3:$D$999,3,FALSE)</f>
        <v>2.2200000000000002</v>
      </c>
      <c r="E44">
        <v>154.22</v>
      </c>
      <c r="F44">
        <f t="shared" si="5"/>
        <v>146.88</v>
      </c>
      <c r="G44" t="s">
        <v>149</v>
      </c>
      <c r="I44">
        <f t="shared" si="25"/>
        <v>2.6695958990746229</v>
      </c>
      <c r="J44">
        <f t="shared" si="26"/>
        <v>2.2168963451168446</v>
      </c>
      <c r="K44">
        <f t="shared" si="27"/>
        <v>2.6695958990746229</v>
      </c>
      <c r="L44">
        <f t="shared" si="28"/>
        <v>1.2042042042041972</v>
      </c>
      <c r="M44" t="str">
        <f t="shared" si="29"/>
        <v>Win</v>
      </c>
      <c r="N44" t="s">
        <v>172</v>
      </c>
    </row>
    <row r="45" spans="1:14" x14ac:dyDescent="0.25">
      <c r="A45" s="2">
        <v>45999</v>
      </c>
      <c r="B45" t="s">
        <v>62</v>
      </c>
      <c r="C45">
        <v>80.23</v>
      </c>
      <c r="D45">
        <f>VLOOKUP(B45,'Stop Loss Calculator'!$A$3:$D$999,3,FALSE)</f>
        <v>1.88</v>
      </c>
      <c r="E45">
        <v>77.75</v>
      </c>
      <c r="F45">
        <f t="shared" si="5"/>
        <v>77.410000000000011</v>
      </c>
      <c r="G45" t="s">
        <v>152</v>
      </c>
      <c r="I45">
        <f t="shared" si="25"/>
        <v>-3.0911130499813084</v>
      </c>
      <c r="J45">
        <f t="shared" si="26"/>
        <v>3.5148946778013128</v>
      </c>
      <c r="K45">
        <f t="shared" si="27"/>
        <v>-3.0911130499813084</v>
      </c>
      <c r="L45">
        <f t="shared" si="28"/>
        <v>-0.87943262411347856</v>
      </c>
      <c r="M45" t="str">
        <f t="shared" si="29"/>
        <v>Loss</v>
      </c>
      <c r="N45" t="s">
        <v>172</v>
      </c>
    </row>
    <row r="46" spans="1:14" x14ac:dyDescent="0.25">
      <c r="A46" s="2">
        <v>46000</v>
      </c>
      <c r="B46" t="s">
        <v>139</v>
      </c>
      <c r="C46">
        <v>173.99</v>
      </c>
      <c r="D46">
        <f>VLOOKUP(B46,'Stop Loss Calculator'!$A$3:$D$999,3,FALSE)</f>
        <v>3.46</v>
      </c>
      <c r="E46">
        <v>177.02</v>
      </c>
      <c r="F46">
        <f t="shared" si="5"/>
        <v>168.8</v>
      </c>
      <c r="G46" t="s">
        <v>149</v>
      </c>
      <c r="I46">
        <f t="shared" si="25"/>
        <v>1.7414793953675505</v>
      </c>
      <c r="J46">
        <f t="shared" si="26"/>
        <v>2.9829300534513465</v>
      </c>
      <c r="K46">
        <f t="shared" si="27"/>
        <v>1.7414793953675505</v>
      </c>
      <c r="L46">
        <f t="shared" si="28"/>
        <v>0.58381502890173453</v>
      </c>
      <c r="M46" t="str">
        <f t="shared" si="29"/>
        <v>Win</v>
      </c>
      <c r="N46" t="s">
        <v>173</v>
      </c>
    </row>
    <row r="47" spans="1:14" x14ac:dyDescent="0.25">
      <c r="A47" s="2">
        <v>46000</v>
      </c>
      <c r="B47" t="s">
        <v>126</v>
      </c>
      <c r="C47">
        <v>11.99</v>
      </c>
      <c r="D47">
        <f>VLOOKUP(B47,'Stop Loss Calculator'!$A$3:$D$999,3,FALSE)</f>
        <v>1.04</v>
      </c>
      <c r="E47">
        <v>13.75</v>
      </c>
      <c r="F47">
        <f t="shared" si="5"/>
        <v>10.43</v>
      </c>
      <c r="G47" t="s">
        <v>155</v>
      </c>
      <c r="I47">
        <f t="shared" si="25"/>
        <v>14.678899082568805</v>
      </c>
      <c r="J47">
        <f t="shared" si="26"/>
        <v>13.010842368640537</v>
      </c>
      <c r="K47">
        <f t="shared" si="27"/>
        <v>14.678899082568805</v>
      </c>
      <c r="L47">
        <f t="shared" si="28"/>
        <v>1.1282051282051277</v>
      </c>
      <c r="M47" t="str">
        <f t="shared" si="29"/>
        <v>Win</v>
      </c>
      <c r="N47" t="s">
        <v>174</v>
      </c>
    </row>
    <row r="48" spans="1:14" x14ac:dyDescent="0.25">
      <c r="A48" s="2">
        <v>46000</v>
      </c>
      <c r="B48" t="s">
        <v>140</v>
      </c>
      <c r="C48">
        <v>9.8699999999999992</v>
      </c>
      <c r="D48">
        <f>VLOOKUP(B48,'Stop Loss Calculator'!$A$3:$D$999,3,FALSE)</f>
        <v>0.40200000000000002</v>
      </c>
      <c r="E48">
        <v>9.8699999999999992</v>
      </c>
      <c r="F48">
        <f t="shared" si="5"/>
        <v>9.2669999999999995</v>
      </c>
      <c r="G48" t="s">
        <v>149</v>
      </c>
      <c r="I48">
        <f t="shared" si="25"/>
        <v>0</v>
      </c>
      <c r="J48">
        <f t="shared" si="26"/>
        <v>6.1094224924012144</v>
      </c>
      <c r="K48">
        <f t="shared" si="27"/>
        <v>0</v>
      </c>
      <c r="L48">
        <f t="shared" si="28"/>
        <v>0</v>
      </c>
      <c r="M48" t="str">
        <f t="shared" si="29"/>
        <v>Loss</v>
      </c>
      <c r="N48" t="s">
        <v>175</v>
      </c>
    </row>
    <row r="49" spans="1:14" x14ac:dyDescent="0.25">
      <c r="A49" s="2">
        <v>46003</v>
      </c>
      <c r="B49" t="s">
        <v>10</v>
      </c>
      <c r="C49">
        <v>231.81</v>
      </c>
      <c r="D49">
        <f>VLOOKUP(B49,'Stop Loss Calculator'!$A$3:$D$999,3,FALSE)</f>
        <v>6.13</v>
      </c>
      <c r="E49">
        <v>227.18</v>
      </c>
      <c r="F49">
        <f t="shared" si="5"/>
        <v>222.61500000000001</v>
      </c>
      <c r="G49" t="s">
        <v>176</v>
      </c>
      <c r="I49">
        <f t="shared" si="25"/>
        <v>-1.9973253957982811</v>
      </c>
      <c r="J49">
        <f t="shared" si="26"/>
        <v>3.9666105862559822</v>
      </c>
      <c r="K49">
        <f t="shared" si="27"/>
        <v>-1.9973253957982811</v>
      </c>
      <c r="L49">
        <f t="shared" si="28"/>
        <v>-0.50353452963567147</v>
      </c>
      <c r="M49" t="str">
        <f t="shared" si="29"/>
        <v>Loss</v>
      </c>
      <c r="N49" t="s">
        <v>177</v>
      </c>
    </row>
    <row r="50" spans="1:14" x14ac:dyDescent="0.25">
      <c r="A50" s="2">
        <v>46003</v>
      </c>
      <c r="B50" t="s">
        <v>161</v>
      </c>
      <c r="C50">
        <v>104.49</v>
      </c>
      <c r="D50">
        <f>VLOOKUP(B50,'Stop Loss Calculator'!$A$3:$D$999,3,FALSE)</f>
        <v>2.0099999999999998</v>
      </c>
      <c r="E50">
        <v>108.28</v>
      </c>
      <c r="F50">
        <f t="shared" si="5"/>
        <v>101.47499999999999</v>
      </c>
      <c r="I50">
        <f t="shared" si="25"/>
        <v>3.6271413532395504</v>
      </c>
      <c r="J50">
        <f t="shared" si="26"/>
        <v>2.8854435831180023</v>
      </c>
      <c r="K50">
        <f t="shared" si="27"/>
        <v>3.6271413532395504</v>
      </c>
      <c r="L50">
        <f t="shared" si="28"/>
        <v>1.2570480928689902</v>
      </c>
      <c r="M50" t="str">
        <f t="shared" si="29"/>
        <v>Win</v>
      </c>
      <c r="N50" t="s">
        <v>181</v>
      </c>
    </row>
    <row r="51" spans="1:14" x14ac:dyDescent="0.25">
      <c r="A51" s="2">
        <v>46007</v>
      </c>
      <c r="B51" t="s">
        <v>9</v>
      </c>
      <c r="C51">
        <v>152.85</v>
      </c>
      <c r="D51">
        <f>VLOOKUP(B51,'Stop Loss Calculator'!$A$3:$D$999,3,FALSE)</f>
        <v>7.35</v>
      </c>
      <c r="E51">
        <v>156.87</v>
      </c>
      <c r="F51">
        <f t="shared" si="5"/>
        <v>141.82499999999999</v>
      </c>
      <c r="G51" t="s">
        <v>110</v>
      </c>
      <c r="I51">
        <f t="shared" si="25"/>
        <v>2.6300294406280735</v>
      </c>
      <c r="J51">
        <f t="shared" si="26"/>
        <v>7.2129538763493661</v>
      </c>
      <c r="K51">
        <f t="shared" si="27"/>
        <v>2.6300294406280735</v>
      </c>
      <c r="L51">
        <f t="shared" si="28"/>
        <v>0.36462585034013678</v>
      </c>
      <c r="M51" t="str">
        <f t="shared" si="29"/>
        <v>Win</v>
      </c>
      <c r="N51" t="s">
        <v>181</v>
      </c>
    </row>
    <row r="52" spans="1:14" x14ac:dyDescent="0.25">
      <c r="A52" s="2">
        <v>46007</v>
      </c>
      <c r="B52" t="s">
        <v>135</v>
      </c>
      <c r="C52">
        <v>26.08</v>
      </c>
      <c r="D52">
        <f>VLOOKUP(B52,'Stop Loss Calculator'!$A$3:$D$999,3,FALSE)</f>
        <v>0.64</v>
      </c>
      <c r="E52">
        <v>25.12</v>
      </c>
      <c r="F52">
        <f t="shared" si="5"/>
        <v>25.119999999999997</v>
      </c>
      <c r="G52" t="s">
        <v>105</v>
      </c>
      <c r="I52">
        <f t="shared" si="25"/>
        <v>-3.6809815950920144</v>
      </c>
      <c r="J52">
        <f t="shared" si="26"/>
        <v>3.6809815950920282</v>
      </c>
      <c r="K52">
        <f t="shared" si="27"/>
        <v>-3.6809815950920144</v>
      </c>
      <c r="L52">
        <f t="shared" si="28"/>
        <v>-0.99999999999999623</v>
      </c>
      <c r="M52" t="str">
        <f t="shared" si="29"/>
        <v>Loss</v>
      </c>
      <c r="N52" t="s">
        <v>180</v>
      </c>
    </row>
    <row r="53" spans="1:14" x14ac:dyDescent="0.25">
      <c r="A53" s="2">
        <v>46008</v>
      </c>
      <c r="B53" t="s">
        <v>145</v>
      </c>
      <c r="C53">
        <v>32.520000000000003</v>
      </c>
      <c r="D53">
        <f>VLOOKUP(B53,'Stop Loss Calculator'!$A$3:$D$999,3,FALSE)</f>
        <v>1.06</v>
      </c>
      <c r="E53">
        <v>33.57</v>
      </c>
      <c r="F53">
        <f t="shared" si="5"/>
        <v>30.930000000000003</v>
      </c>
      <c r="G53" t="s">
        <v>162</v>
      </c>
      <c r="I53">
        <f t="shared" si="25"/>
        <v>3.2287822878228694</v>
      </c>
      <c r="J53">
        <f t="shared" si="26"/>
        <v>4.8892988929889292</v>
      </c>
      <c r="K53">
        <f t="shared" si="27"/>
        <v>3.2287822878228694</v>
      </c>
      <c r="L53">
        <f t="shared" si="28"/>
        <v>0.66037735849056434</v>
      </c>
      <c r="M53" t="str">
        <f t="shared" si="29"/>
        <v>Win</v>
      </c>
      <c r="N53" t="s">
        <v>153</v>
      </c>
    </row>
    <row r="54" spans="1:14" x14ac:dyDescent="0.25">
      <c r="A54" s="2">
        <v>46008</v>
      </c>
      <c r="B54" t="s">
        <v>68</v>
      </c>
      <c r="C54">
        <v>182.82</v>
      </c>
      <c r="D54">
        <f>VLOOKUP(B54,'Stop Loss Calculator'!$A$3:$D$999,3,FALSE)</f>
        <v>5.1100000000000003</v>
      </c>
      <c r="E54">
        <v>170.86</v>
      </c>
      <c r="F54">
        <f t="shared" si="5"/>
        <v>175.155</v>
      </c>
      <c r="G54" t="s">
        <v>149</v>
      </c>
      <c r="I54">
        <f t="shared" si="25"/>
        <v>-6.5419538343725963</v>
      </c>
      <c r="J54">
        <f t="shared" si="26"/>
        <v>4.1926485067279256</v>
      </c>
      <c r="K54">
        <f t="shared" si="27"/>
        <v>-6.5419538343725963</v>
      </c>
      <c r="L54">
        <f t="shared" si="28"/>
        <v>-1.5603392041748194</v>
      </c>
      <c r="M54" t="str">
        <f t="shared" si="29"/>
        <v>Loss</v>
      </c>
      <c r="N54" t="s">
        <v>182</v>
      </c>
    </row>
    <row r="55" spans="1:14" x14ac:dyDescent="0.25">
      <c r="A55" s="2">
        <v>46008</v>
      </c>
      <c r="B55" t="s">
        <v>138</v>
      </c>
      <c r="C55">
        <v>10.26</v>
      </c>
      <c r="D55">
        <f>VLOOKUP(B55,'Stop Loss Calculator'!$A$3:$D$999,3,FALSE)</f>
        <v>0.65</v>
      </c>
      <c r="E55">
        <v>9.6300000000000008</v>
      </c>
      <c r="F55">
        <f t="shared" si="5"/>
        <v>9.2850000000000001</v>
      </c>
      <c r="G55" t="s">
        <v>183</v>
      </c>
      <c r="I55">
        <f t="shared" si="25"/>
        <v>-6.1403508771929731</v>
      </c>
      <c r="J55">
        <f t="shared" si="26"/>
        <v>9.5029239766081837</v>
      </c>
      <c r="K55">
        <f t="shared" si="27"/>
        <v>-6.1403508771929731</v>
      </c>
      <c r="L55">
        <f t="shared" si="28"/>
        <v>-0.64615384615384541</v>
      </c>
      <c r="M55" t="str">
        <f t="shared" si="29"/>
        <v>Loss</v>
      </c>
      <c r="N55" t="s">
        <v>184</v>
      </c>
    </row>
    <row r="56" spans="1:14" x14ac:dyDescent="0.25">
      <c r="A56" s="2">
        <v>46008</v>
      </c>
      <c r="B56" t="s">
        <v>102</v>
      </c>
      <c r="C56">
        <v>11.7</v>
      </c>
      <c r="D56">
        <f>VLOOKUP(B56,'Stop Loss Calculator'!$A$3:$D$999,3,FALSE)</f>
        <v>0.59</v>
      </c>
      <c r="E56">
        <v>11.42</v>
      </c>
      <c r="F56">
        <f t="shared" si="5"/>
        <v>10.815</v>
      </c>
      <c r="G56" t="s">
        <v>185</v>
      </c>
      <c r="I56">
        <f t="shared" si="25"/>
        <v>-2.3931623931623878</v>
      </c>
      <c r="J56">
        <f t="shared" si="26"/>
        <v>7.5641025641025621</v>
      </c>
      <c r="K56">
        <f t="shared" si="27"/>
        <v>-2.3931623931623878</v>
      </c>
      <c r="L56">
        <f t="shared" si="28"/>
        <v>-0.31638418079095981</v>
      </c>
      <c r="M56" t="str">
        <f t="shared" si="29"/>
        <v>Loss</v>
      </c>
      <c r="N56" t="s">
        <v>186</v>
      </c>
    </row>
    <row r="57" spans="1:14" x14ac:dyDescent="0.25">
      <c r="A57" s="2">
        <v>46008</v>
      </c>
      <c r="B57" t="s">
        <v>120</v>
      </c>
      <c r="C57">
        <v>156.21</v>
      </c>
      <c r="D57">
        <f>VLOOKUP(B57,'Stop Loss Calculator'!$A$3:$D$999,3,FALSE)</f>
        <v>2.2200000000000002</v>
      </c>
      <c r="E57">
        <v>153.76</v>
      </c>
      <c r="F57">
        <f t="shared" si="5"/>
        <v>152.88</v>
      </c>
      <c r="G57" t="s">
        <v>149</v>
      </c>
      <c r="I57">
        <f t="shared" si="25"/>
        <v>-1.5684015107867721</v>
      </c>
      <c r="J57">
        <f t="shared" si="26"/>
        <v>2.1317457269060958</v>
      </c>
      <c r="K57">
        <f t="shared" si="27"/>
        <v>-1.5684015107867721</v>
      </c>
      <c r="L57">
        <f t="shared" si="28"/>
        <v>-0.73573573573573803</v>
      </c>
      <c r="M57" t="str">
        <f t="shared" si="29"/>
        <v>Loss</v>
      </c>
      <c r="N57" t="s">
        <v>187</v>
      </c>
    </row>
    <row r="58" spans="1:14" x14ac:dyDescent="0.25">
      <c r="A58" s="2">
        <v>46009</v>
      </c>
      <c r="B58" t="s">
        <v>79</v>
      </c>
      <c r="C58">
        <v>169.32</v>
      </c>
      <c r="D58">
        <f>VLOOKUP(B58,'Stop Loss Calculator'!$A$3:$D$999,3,FALSE)</f>
        <v>7.4</v>
      </c>
      <c r="E58">
        <v>185.69</v>
      </c>
      <c r="F58">
        <f t="shared" si="5"/>
        <v>158.22</v>
      </c>
      <c r="G58" t="s">
        <v>188</v>
      </c>
      <c r="I58">
        <f t="shared" si="25"/>
        <v>9.6680841011103258</v>
      </c>
      <c r="J58">
        <f t="shared" si="26"/>
        <v>6.5556343019135337</v>
      </c>
      <c r="K58">
        <f t="shared" si="27"/>
        <v>9.6680841011103258</v>
      </c>
      <c r="L58">
        <f t="shared" si="28"/>
        <v>1.4747747747747757</v>
      </c>
      <c r="M58" t="str">
        <f t="shared" si="29"/>
        <v>Win</v>
      </c>
      <c r="N58" t="s">
        <v>189</v>
      </c>
    </row>
    <row r="59" spans="1:14" x14ac:dyDescent="0.25">
      <c r="A59" s="2">
        <v>46010</v>
      </c>
      <c r="B59" t="s">
        <v>168</v>
      </c>
      <c r="C59">
        <v>62.76</v>
      </c>
      <c r="D59">
        <f>VLOOKUP(B59,'Stop Loss Calculator'!$A$3:$D$999,3,FALSE)</f>
        <v>1.97</v>
      </c>
      <c r="E59">
        <v>59.25</v>
      </c>
      <c r="F59">
        <f t="shared" si="5"/>
        <v>59.805</v>
      </c>
      <c r="G59" t="s">
        <v>164</v>
      </c>
      <c r="I59">
        <f t="shared" si="25"/>
        <v>-5.5927342256214114</v>
      </c>
      <c r="J59">
        <f t="shared" si="26"/>
        <v>4.708413001912044</v>
      </c>
      <c r="K59">
        <f t="shared" si="27"/>
        <v>-5.5927342256214114</v>
      </c>
      <c r="L59">
        <f t="shared" si="28"/>
        <v>-1.1878172588832485</v>
      </c>
      <c r="M59" t="str">
        <f t="shared" si="29"/>
        <v>Loss</v>
      </c>
      <c r="N59" t="s">
        <v>190</v>
      </c>
    </row>
    <row r="60" spans="1:14" x14ac:dyDescent="0.25">
      <c r="A60" s="2">
        <v>46014</v>
      </c>
      <c r="B60" t="s">
        <v>14</v>
      </c>
      <c r="C60">
        <v>5.0599999999999996</v>
      </c>
      <c r="D60">
        <f>VLOOKUP(B60,'Stop Loss Calculator'!$A$3:$D$999,3,FALSE)</f>
        <v>0.27</v>
      </c>
      <c r="E60">
        <v>4.8899999999999997</v>
      </c>
      <c r="F60">
        <f t="shared" si="5"/>
        <v>4.6549999999999994</v>
      </c>
      <c r="G60" t="s">
        <v>108</v>
      </c>
      <c r="I60">
        <f t="shared" ref="I60:I74" si="30">(E60-C60)/C60*(100)</f>
        <v>-3.359683794466402</v>
      </c>
      <c r="J60">
        <f t="shared" ref="J60:J74" si="31">(C60-F60)/C60*100</f>
        <v>8.0039525691699662</v>
      </c>
      <c r="K60">
        <f t="shared" ref="K60:K74" si="32">(E60-C60)/C60*100</f>
        <v>-3.359683794466402</v>
      </c>
      <c r="L60">
        <f t="shared" ref="L60:L74" si="33">K60/J60</f>
        <v>-0.41975308641975262</v>
      </c>
      <c r="M60" t="str">
        <f t="shared" ref="M60:M74" si="34">IF(I60&gt;0,"Win","Loss")</f>
        <v>Loss</v>
      </c>
      <c r="N60" t="s">
        <v>196</v>
      </c>
    </row>
    <row r="61" spans="1:14" x14ac:dyDescent="0.25">
      <c r="A61" s="2">
        <v>46024</v>
      </c>
      <c r="B61" t="s">
        <v>161</v>
      </c>
      <c r="C61">
        <v>107.61</v>
      </c>
      <c r="D61">
        <f>VLOOKUP(B61,'Stop Loss Calculator'!$A$3:$D$999,3,FALSE)</f>
        <v>2.0099999999999998</v>
      </c>
      <c r="E61">
        <v>104.58</v>
      </c>
      <c r="F61">
        <f t="shared" si="5"/>
        <v>104.595</v>
      </c>
      <c r="G61" t="s">
        <v>149</v>
      </c>
      <c r="I61">
        <f t="shared" si="30"/>
        <v>-2.815723445776416</v>
      </c>
      <c r="J61">
        <f t="shared" si="31"/>
        <v>2.801784220797324</v>
      </c>
      <c r="K61">
        <f>(E61-C61)/C61*100</f>
        <v>-2.815723445776416</v>
      </c>
      <c r="L61">
        <f t="shared" si="33"/>
        <v>-1.0049751243781098</v>
      </c>
      <c r="M61" t="str">
        <f t="shared" si="34"/>
        <v>Loss</v>
      </c>
      <c r="N61" t="s">
        <v>197</v>
      </c>
    </row>
    <row r="62" spans="1:14" x14ac:dyDescent="0.25">
      <c r="A62" s="2">
        <v>46027</v>
      </c>
      <c r="B62" t="s">
        <v>199</v>
      </c>
      <c r="C62">
        <v>225.74</v>
      </c>
      <c r="D62">
        <f>VLOOKUP(B62,'Stop Loss Calculator'!$A$3:$D$999,3,FALSE)</f>
        <v>5.05</v>
      </c>
      <c r="E62">
        <v>219.77</v>
      </c>
      <c r="F62">
        <f t="shared" si="5"/>
        <v>218.16500000000002</v>
      </c>
      <c r="G62" t="s">
        <v>118</v>
      </c>
      <c r="I62">
        <f t="shared" si="30"/>
        <v>-2.6446354212811194</v>
      </c>
      <c r="J62">
        <f t="shared" si="31"/>
        <v>3.3556303712235267</v>
      </c>
      <c r="K62">
        <f t="shared" si="32"/>
        <v>-2.6446354212811194</v>
      </c>
      <c r="L62">
        <f t="shared" si="33"/>
        <v>-0.78811881188118915</v>
      </c>
      <c r="M62" t="str">
        <f t="shared" si="34"/>
        <v>Loss</v>
      </c>
      <c r="N62" t="s">
        <v>200</v>
      </c>
    </row>
    <row r="63" spans="1:14" x14ac:dyDescent="0.25">
      <c r="A63" s="2">
        <v>46028</v>
      </c>
      <c r="B63" t="s">
        <v>191</v>
      </c>
      <c r="C63">
        <v>119.97</v>
      </c>
      <c r="D63">
        <f>VLOOKUP(B63,'Stop Loss Calculator'!$A$3:$D$999,3,FALSE)</f>
        <v>2.63</v>
      </c>
      <c r="E63">
        <v>112.62</v>
      </c>
      <c r="F63">
        <f t="shared" si="5"/>
        <v>116.02500000000001</v>
      </c>
      <c r="G63" t="s">
        <v>171</v>
      </c>
      <c r="I63">
        <f t="shared" si="30"/>
        <v>-6.1265316329082227</v>
      </c>
      <c r="J63">
        <f t="shared" si="31"/>
        <v>3.2883220805201243</v>
      </c>
      <c r="K63">
        <f t="shared" si="32"/>
        <v>-6.1265316329082227</v>
      </c>
      <c r="L63">
        <f t="shared" si="33"/>
        <v>-1.8631178707224354</v>
      </c>
      <c r="M63" t="str">
        <f t="shared" si="34"/>
        <v>Loss</v>
      </c>
      <c r="N63" t="s">
        <v>201</v>
      </c>
    </row>
    <row r="64" spans="1:14" x14ac:dyDescent="0.25">
      <c r="A64" s="2">
        <v>46029</v>
      </c>
      <c r="B64" t="s">
        <v>192</v>
      </c>
      <c r="C64">
        <v>22.31</v>
      </c>
      <c r="D64">
        <f>VLOOKUP(B64,'Stop Loss Calculator'!$A$3:$D$999,3,FALSE)</f>
        <v>0.63</v>
      </c>
      <c r="E64">
        <v>22.99</v>
      </c>
      <c r="F64">
        <f t="shared" si="5"/>
        <v>21.364999999999998</v>
      </c>
      <c r="G64" t="s">
        <v>162</v>
      </c>
      <c r="I64">
        <f t="shared" si="30"/>
        <v>3.0479605558045706</v>
      </c>
      <c r="J64">
        <f t="shared" si="31"/>
        <v>4.2357687135813551</v>
      </c>
      <c r="K64">
        <f t="shared" si="32"/>
        <v>3.0479605558045706</v>
      </c>
      <c r="L64">
        <f t="shared" si="33"/>
        <v>0.71957671957671898</v>
      </c>
      <c r="M64" t="str">
        <f t="shared" si="34"/>
        <v>Win</v>
      </c>
      <c r="N64" t="s">
        <v>203</v>
      </c>
    </row>
    <row r="65" spans="1:14" x14ac:dyDescent="0.25">
      <c r="A65" s="2">
        <v>46030</v>
      </c>
      <c r="B65" t="s">
        <v>65</v>
      </c>
      <c r="C65">
        <v>215.34</v>
      </c>
      <c r="D65">
        <f>VLOOKUP(B65,'Stop Loss Calculator'!$A$3:$D$999,3,FALSE)</f>
        <v>8.6</v>
      </c>
      <c r="E65">
        <v>204.71</v>
      </c>
      <c r="F65">
        <f t="shared" si="5"/>
        <v>202.44</v>
      </c>
      <c r="G65" t="s">
        <v>164</v>
      </c>
      <c r="I65">
        <f t="shared" si="30"/>
        <v>-4.9363796786477181</v>
      </c>
      <c r="J65">
        <f t="shared" si="31"/>
        <v>5.9905266090833127</v>
      </c>
      <c r="K65">
        <f t="shared" si="32"/>
        <v>-4.9363796786477181</v>
      </c>
      <c r="L65">
        <f t="shared" si="33"/>
        <v>-0.82403100775193738</v>
      </c>
      <c r="M65" t="str">
        <f t="shared" si="34"/>
        <v>Loss</v>
      </c>
      <c r="N65" t="s">
        <v>205</v>
      </c>
    </row>
    <row r="66" spans="1:14" x14ac:dyDescent="0.25">
      <c r="A66" s="2">
        <v>46030</v>
      </c>
      <c r="B66" t="s">
        <v>194</v>
      </c>
      <c r="C66">
        <v>20.7</v>
      </c>
      <c r="D66">
        <f>VLOOKUP(B66,'Stop Loss Calculator'!$A$3:$D$999,3,FALSE)</f>
        <v>0.71879999999999999</v>
      </c>
      <c r="E66">
        <v>23.16</v>
      </c>
      <c r="F66">
        <f t="shared" si="5"/>
        <v>19.6218</v>
      </c>
      <c r="G66" t="s">
        <v>176</v>
      </c>
      <c r="I66">
        <f t="shared" si="30"/>
        <v>11.884057971014498</v>
      </c>
      <c r="J66">
        <f t="shared" si="31"/>
        <v>5.2086956521739083</v>
      </c>
      <c r="K66">
        <f t="shared" si="32"/>
        <v>11.884057971014498</v>
      </c>
      <c r="L66">
        <f t="shared" si="33"/>
        <v>2.2815804117974432</v>
      </c>
      <c r="M66" t="str">
        <f t="shared" si="34"/>
        <v>Win</v>
      </c>
      <c r="N66" t="s">
        <v>206</v>
      </c>
    </row>
    <row r="67" spans="1:14" x14ac:dyDescent="0.25">
      <c r="A67" s="2">
        <v>46034</v>
      </c>
      <c r="B67" t="s">
        <v>65</v>
      </c>
      <c r="C67">
        <v>215.34</v>
      </c>
      <c r="D67">
        <f>VLOOKUP(B67,'Stop Loss Calculator'!$A$3:$D$999,3,FALSE)</f>
        <v>8.6</v>
      </c>
      <c r="E67">
        <v>201.03</v>
      </c>
      <c r="F67">
        <f t="shared" si="5"/>
        <v>202.44</v>
      </c>
      <c r="G67" t="s">
        <v>152</v>
      </c>
      <c r="I67">
        <f t="shared" si="30"/>
        <v>-6.6453050989133473</v>
      </c>
      <c r="J67">
        <f t="shared" si="31"/>
        <v>5.9905266090833127</v>
      </c>
      <c r="K67">
        <f t="shared" si="32"/>
        <v>-6.6453050989133473</v>
      </c>
      <c r="L67">
        <f t="shared" si="33"/>
        <v>-1.109302325581395</v>
      </c>
      <c r="M67" t="str">
        <f t="shared" si="34"/>
        <v>Loss</v>
      </c>
      <c r="N67" t="s">
        <v>208</v>
      </c>
    </row>
    <row r="68" spans="1:14" x14ac:dyDescent="0.25">
      <c r="A68" s="2">
        <v>46034</v>
      </c>
      <c r="B68" t="s">
        <v>194</v>
      </c>
      <c r="C68">
        <v>20.7</v>
      </c>
      <c r="D68">
        <f>VLOOKUP(B68,'Stop Loss Calculator'!$A$3:$D$999,3,FALSE)</f>
        <v>0.71879999999999999</v>
      </c>
      <c r="E68">
        <v>18.559999999999999</v>
      </c>
      <c r="F68">
        <f t="shared" si="5"/>
        <v>19.6218</v>
      </c>
      <c r="G68" t="s">
        <v>107</v>
      </c>
      <c r="I68">
        <f t="shared" si="30"/>
        <v>-10.338164251207733</v>
      </c>
      <c r="J68">
        <f t="shared" si="31"/>
        <v>5.2086956521739083</v>
      </c>
      <c r="K68">
        <f t="shared" si="32"/>
        <v>-10.338164251207733</v>
      </c>
      <c r="L68">
        <f t="shared" si="33"/>
        <v>-1.9847894639213528</v>
      </c>
      <c r="M68" t="str">
        <f t="shared" si="34"/>
        <v>Loss</v>
      </c>
      <c r="N68" t="s">
        <v>209</v>
      </c>
    </row>
    <row r="69" spans="1:14" x14ac:dyDescent="0.25">
      <c r="A69" s="2">
        <v>46036</v>
      </c>
      <c r="B69" t="s">
        <v>125</v>
      </c>
      <c r="C69">
        <v>55.56</v>
      </c>
      <c r="D69">
        <f>VLOOKUP(B69,'Stop Loss Calculator'!$A$3:$D$999,3,FALSE)</f>
        <v>2.16</v>
      </c>
      <c r="E69">
        <v>52.98</v>
      </c>
      <c r="F69">
        <f t="shared" si="5"/>
        <v>52.32</v>
      </c>
      <c r="G69" t="s">
        <v>113</v>
      </c>
      <c r="I69">
        <f t="shared" si="30"/>
        <v>-4.6436285097192318</v>
      </c>
      <c r="J69">
        <f t="shared" si="31"/>
        <v>5.831533477321817</v>
      </c>
      <c r="K69">
        <f t="shared" si="32"/>
        <v>-4.6436285097192318</v>
      </c>
      <c r="L69">
        <f t="shared" si="33"/>
        <v>-0.7962962962962975</v>
      </c>
      <c r="M69" t="str">
        <f t="shared" si="34"/>
        <v>Loss</v>
      </c>
      <c r="N69" t="s">
        <v>211</v>
      </c>
    </row>
    <row r="70" spans="1:14" x14ac:dyDescent="0.25">
      <c r="A70" s="2">
        <v>46038</v>
      </c>
      <c r="B70" t="s">
        <v>179</v>
      </c>
      <c r="C70">
        <v>181.18</v>
      </c>
      <c r="D70">
        <f>VLOOKUP(B70,'Stop Loss Calculator'!$A$3:$D$999,3,FALSE)</f>
        <v>4.13</v>
      </c>
      <c r="E70">
        <v>201.31</v>
      </c>
      <c r="F70">
        <f t="shared" si="5"/>
        <v>174.98500000000001</v>
      </c>
      <c r="G70" t="s">
        <v>213</v>
      </c>
      <c r="I70">
        <f t="shared" si="30"/>
        <v>11.110497847444528</v>
      </c>
      <c r="J70">
        <f t="shared" si="31"/>
        <v>3.4192515730213007</v>
      </c>
      <c r="K70">
        <f t="shared" si="32"/>
        <v>11.110497847444528</v>
      </c>
      <c r="L70">
        <f t="shared" si="33"/>
        <v>3.24939467312349</v>
      </c>
      <c r="M70" t="str">
        <f t="shared" si="34"/>
        <v>Win</v>
      </c>
      <c r="N70" t="s">
        <v>214</v>
      </c>
    </row>
    <row r="71" spans="1:14" x14ac:dyDescent="0.25">
      <c r="A71" s="2">
        <v>46038</v>
      </c>
      <c r="B71" t="s">
        <v>198</v>
      </c>
      <c r="C71">
        <v>9.3000000000000007</v>
      </c>
      <c r="D71">
        <f>VLOOKUP(B71,'Stop Loss Calculator'!$A$3:$D$999,3,FALSE)</f>
        <v>0.86099999999999999</v>
      </c>
      <c r="E71">
        <v>10.94</v>
      </c>
      <c r="F71">
        <f t="shared" si="5"/>
        <v>8.0085000000000015</v>
      </c>
      <c r="G71" t="s">
        <v>108</v>
      </c>
      <c r="I71">
        <f t="shared" si="30"/>
        <v>17.634408602150522</v>
      </c>
      <c r="J71">
        <f t="shared" si="31"/>
        <v>13.887096774193539</v>
      </c>
      <c r="K71">
        <f t="shared" si="32"/>
        <v>17.634408602150522</v>
      </c>
      <c r="L71">
        <f t="shared" si="33"/>
        <v>1.2698412698412695</v>
      </c>
      <c r="M71" t="str">
        <f t="shared" si="34"/>
        <v>Win</v>
      </c>
      <c r="N71" t="s">
        <v>215</v>
      </c>
    </row>
    <row r="72" spans="1:14" x14ac:dyDescent="0.25">
      <c r="A72" s="2">
        <v>46042</v>
      </c>
      <c r="B72" t="s">
        <v>198</v>
      </c>
      <c r="C72">
        <v>9.3000000000000007</v>
      </c>
      <c r="D72">
        <f>VLOOKUP(B72,'Stop Loss Calculator'!$A$3:$D$999,3,FALSE)</f>
        <v>0.86099999999999999</v>
      </c>
      <c r="E72">
        <v>11.75</v>
      </c>
      <c r="F72">
        <f t="shared" si="5"/>
        <v>8.0085000000000015</v>
      </c>
      <c r="G72" t="s">
        <v>149</v>
      </c>
      <c r="I72">
        <f t="shared" si="30"/>
        <v>26.344086021505365</v>
      </c>
      <c r="J72">
        <f t="shared" si="31"/>
        <v>13.887096774193539</v>
      </c>
      <c r="K72">
        <f t="shared" si="32"/>
        <v>26.344086021505365</v>
      </c>
      <c r="L72">
        <f t="shared" si="33"/>
        <v>1.8970189701897024</v>
      </c>
      <c r="M72" t="str">
        <f t="shared" si="34"/>
        <v>Win</v>
      </c>
      <c r="N72" t="s">
        <v>215</v>
      </c>
    </row>
    <row r="73" spans="1:14" x14ac:dyDescent="0.25">
      <c r="A73" s="2">
        <v>46042</v>
      </c>
      <c r="B73" t="s">
        <v>202</v>
      </c>
      <c r="C73">
        <v>20.13</v>
      </c>
      <c r="D73">
        <f>VLOOKUP(B73,'Stop Loss Calculator'!$A$3:$D$999,3,FALSE)</f>
        <v>0.45</v>
      </c>
      <c r="E73">
        <v>22.2</v>
      </c>
      <c r="F73">
        <f t="shared" si="5"/>
        <v>19.454999999999998</v>
      </c>
      <c r="G73" t="s">
        <v>108</v>
      </c>
      <c r="I73">
        <f t="shared" si="30"/>
        <v>10.283159463487335</v>
      </c>
      <c r="J73">
        <f t="shared" si="31"/>
        <v>3.3532041728763078</v>
      </c>
      <c r="K73">
        <f t="shared" si="32"/>
        <v>10.283159463487335</v>
      </c>
      <c r="L73">
        <f t="shared" si="33"/>
        <v>3.0666666666666642</v>
      </c>
      <c r="M73" t="str">
        <f t="shared" si="34"/>
        <v>Win</v>
      </c>
      <c r="N73" t="s">
        <v>216</v>
      </c>
    </row>
    <row r="74" spans="1:14" x14ac:dyDescent="0.25">
      <c r="A74" s="2">
        <v>46042</v>
      </c>
      <c r="B74" t="s">
        <v>202</v>
      </c>
      <c r="C74">
        <v>20.13</v>
      </c>
      <c r="D74">
        <f>VLOOKUP(B74,'Stop Loss Calculator'!$A$3:$D$999,3,FALSE)</f>
        <v>0.45</v>
      </c>
      <c r="E74">
        <v>22.44</v>
      </c>
      <c r="F74">
        <f t="shared" si="5"/>
        <v>19.454999999999998</v>
      </c>
      <c r="G74" t="s">
        <v>108</v>
      </c>
      <c r="I74">
        <f t="shared" si="30"/>
        <v>11.475409836065586</v>
      </c>
      <c r="J74">
        <f t="shared" si="31"/>
        <v>3.3532041728763078</v>
      </c>
      <c r="K74">
        <f t="shared" si="32"/>
        <v>11.475409836065586</v>
      </c>
      <c r="L74">
        <f t="shared" si="33"/>
        <v>3.4222222222222221</v>
      </c>
      <c r="M74" t="str">
        <f t="shared" si="34"/>
        <v>Win</v>
      </c>
      <c r="N74" t="s">
        <v>216</v>
      </c>
    </row>
    <row r="75" spans="1:14" x14ac:dyDescent="0.25">
      <c r="A75" s="2">
        <v>46043</v>
      </c>
      <c r="B75" t="s">
        <v>217</v>
      </c>
      <c r="C75">
        <v>1.51</v>
      </c>
      <c r="D75">
        <f>VLOOKUP(B75,'Stop Loss Calculator'!$A$3:$D$999,3,FALSE)</f>
        <v>8.4599999999999995E-2</v>
      </c>
      <c r="E75">
        <v>1.45</v>
      </c>
      <c r="F75">
        <f t="shared" si="5"/>
        <v>1.3831</v>
      </c>
      <c r="G75" t="s">
        <v>118</v>
      </c>
      <c r="I75">
        <f t="shared" ref="I75:I92" si="35">(E75-C75)/C75*(100)</f>
        <v>-3.9735099337748379</v>
      </c>
      <c r="J75">
        <f t="shared" ref="J75:J92" si="36">(C75-F75)/C75*100</f>
        <v>8.4039735099337758</v>
      </c>
      <c r="K75">
        <f t="shared" ref="K75:K92" si="37">(E75-C75)/C75*100</f>
        <v>-3.9735099337748379</v>
      </c>
      <c r="L75">
        <f t="shared" ref="L75:L92" si="38">K75/J75</f>
        <v>-0.47281323877068593</v>
      </c>
      <c r="M75" t="str">
        <f t="shared" ref="M75:M92" si="39">IF(I75&gt;0,"Win","Loss")</f>
        <v>Loss</v>
      </c>
      <c r="N75" t="s">
        <v>218</v>
      </c>
    </row>
    <row r="76" spans="1:14" x14ac:dyDescent="0.25">
      <c r="A76" s="2">
        <v>46044</v>
      </c>
      <c r="B76" t="s">
        <v>19</v>
      </c>
      <c r="C76">
        <v>38.090000000000003</v>
      </c>
      <c r="D76">
        <f>VLOOKUP(B76,'Stop Loss Calculator'!$A$3:$D$999,3,FALSE)</f>
        <v>0.63</v>
      </c>
      <c r="E76">
        <v>39.049999999999997</v>
      </c>
      <c r="F76">
        <f t="shared" si="5"/>
        <v>37.145000000000003</v>
      </c>
      <c r="G76" t="s">
        <v>183</v>
      </c>
      <c r="I76">
        <f t="shared" si="35"/>
        <v>2.5203465476502851</v>
      </c>
      <c r="J76">
        <f t="shared" si="36"/>
        <v>2.4809661328432662</v>
      </c>
      <c r="K76">
        <f t="shared" si="37"/>
        <v>2.5203465476502851</v>
      </c>
      <c r="L76">
        <f t="shared" si="38"/>
        <v>1.0158730158730089</v>
      </c>
      <c r="M76" t="str">
        <f t="shared" si="39"/>
        <v>Win</v>
      </c>
      <c r="N76" t="s">
        <v>219</v>
      </c>
    </row>
    <row r="77" spans="1:14" x14ac:dyDescent="0.25">
      <c r="A77" s="2">
        <v>46044</v>
      </c>
      <c r="B77" t="s">
        <v>143</v>
      </c>
      <c r="C77">
        <v>5.32</v>
      </c>
      <c r="D77">
        <f>VLOOKUP(B77,'Stop Loss Calculator'!$A$3:$D$999,3,FALSE)</f>
        <v>0.41</v>
      </c>
      <c r="E77">
        <v>6.92</v>
      </c>
      <c r="F77">
        <f t="shared" si="5"/>
        <v>4.7050000000000001</v>
      </c>
      <c r="G77" t="s">
        <v>113</v>
      </c>
      <c r="I77">
        <f t="shared" si="35"/>
        <v>30.075187969924805</v>
      </c>
      <c r="J77">
        <f t="shared" si="36"/>
        <v>11.560150375939852</v>
      </c>
      <c r="K77">
        <f t="shared" si="37"/>
        <v>30.075187969924805</v>
      </c>
      <c r="L77">
        <f t="shared" si="38"/>
        <v>2.6016260162601617</v>
      </c>
      <c r="M77" t="str">
        <f t="shared" si="39"/>
        <v>Win</v>
      </c>
      <c r="N77" t="s">
        <v>220</v>
      </c>
    </row>
    <row r="78" spans="1:14" x14ac:dyDescent="0.25">
      <c r="A78" s="2">
        <v>46044</v>
      </c>
      <c r="B78" t="s">
        <v>130</v>
      </c>
      <c r="C78">
        <v>30.83</v>
      </c>
      <c r="D78">
        <f>VLOOKUP(B78,'Stop Loss Calculator'!$A$3:$D$999,3,FALSE)</f>
        <v>1.57</v>
      </c>
      <c r="E78">
        <v>36.22</v>
      </c>
      <c r="F78">
        <f t="shared" si="5"/>
        <v>28.474999999999998</v>
      </c>
      <c r="G78" t="s">
        <v>108</v>
      </c>
      <c r="I78">
        <f t="shared" si="35"/>
        <v>17.482971132014274</v>
      </c>
      <c r="J78">
        <f t="shared" si="36"/>
        <v>7.6386636393123597</v>
      </c>
      <c r="K78">
        <f t="shared" si="37"/>
        <v>17.482971132014274</v>
      </c>
      <c r="L78">
        <f t="shared" si="38"/>
        <v>2.2887473460721868</v>
      </c>
      <c r="M78" t="str">
        <f t="shared" si="39"/>
        <v>Win</v>
      </c>
      <c r="N78" t="s">
        <v>221</v>
      </c>
    </row>
    <row r="79" spans="1:14" x14ac:dyDescent="0.25">
      <c r="A79" s="2">
        <v>46045</v>
      </c>
      <c r="B79" t="s">
        <v>192</v>
      </c>
      <c r="C79">
        <v>23.03</v>
      </c>
      <c r="D79">
        <f>VLOOKUP(B79,'Stop Loss Calculator'!$A$3:$D$999,3,FALSE)</f>
        <v>0.63</v>
      </c>
      <c r="E79">
        <v>24.67</v>
      </c>
      <c r="F79">
        <f t="shared" si="5"/>
        <v>22.085000000000001</v>
      </c>
      <c r="G79" t="s">
        <v>164</v>
      </c>
      <c r="I79">
        <f t="shared" si="35"/>
        <v>7.1211463308727767</v>
      </c>
      <c r="J79">
        <f t="shared" si="36"/>
        <v>4.1033434650455938</v>
      </c>
      <c r="K79">
        <f t="shared" si="37"/>
        <v>7.1211463308727767</v>
      </c>
      <c r="L79">
        <f t="shared" si="38"/>
        <v>1.7354497354497356</v>
      </c>
      <c r="M79" t="str">
        <f t="shared" si="39"/>
        <v>Win</v>
      </c>
      <c r="N79" t="s">
        <v>222</v>
      </c>
    </row>
    <row r="80" spans="1:14" x14ac:dyDescent="0.25">
      <c r="A80" s="2">
        <v>46045</v>
      </c>
      <c r="B80" t="s">
        <v>116</v>
      </c>
      <c r="C80">
        <v>106.85</v>
      </c>
      <c r="D80">
        <f>VLOOKUP(B80,'Stop Loss Calculator'!$A$3:$D$999,3,FALSE)</f>
        <v>4.29</v>
      </c>
      <c r="E80">
        <v>104.54</v>
      </c>
      <c r="F80">
        <f t="shared" si="5"/>
        <v>100.41499999999999</v>
      </c>
      <c r="G80" t="s">
        <v>118</v>
      </c>
      <c r="I80">
        <f t="shared" si="35"/>
        <v>-2.1619092185306394</v>
      </c>
      <c r="J80">
        <f t="shared" si="36"/>
        <v>6.0224613944782428</v>
      </c>
      <c r="K80">
        <f t="shared" si="37"/>
        <v>-2.1619092185306394</v>
      </c>
      <c r="L80">
        <f t="shared" si="38"/>
        <v>-0.35897435897435703</v>
      </c>
      <c r="M80" t="str">
        <f t="shared" si="39"/>
        <v>Loss</v>
      </c>
      <c r="N80" t="s">
        <v>223</v>
      </c>
    </row>
    <row r="81" spans="1:14" x14ac:dyDescent="0.25">
      <c r="A81" s="2">
        <v>46045</v>
      </c>
      <c r="B81" t="s">
        <v>198</v>
      </c>
      <c r="C81">
        <v>9.3000000000000007</v>
      </c>
      <c r="D81">
        <f>VLOOKUP(B81,'Stop Loss Calculator'!$A$3:$D$999,3,FALSE)</f>
        <v>0.86099999999999999</v>
      </c>
      <c r="E81">
        <v>11.23</v>
      </c>
      <c r="F81">
        <f t="shared" si="5"/>
        <v>8.0085000000000015</v>
      </c>
      <c r="G81" t="s">
        <v>152</v>
      </c>
      <c r="I81">
        <f t="shared" si="35"/>
        <v>20.752688172043008</v>
      </c>
      <c r="J81">
        <f t="shared" si="36"/>
        <v>13.887096774193539</v>
      </c>
      <c r="K81">
        <f t="shared" si="37"/>
        <v>20.752688172043008</v>
      </c>
      <c r="L81">
        <f t="shared" si="38"/>
        <v>1.4943863724351538</v>
      </c>
      <c r="M81" t="str">
        <f t="shared" si="39"/>
        <v>Win</v>
      </c>
      <c r="N81" t="s">
        <v>224</v>
      </c>
    </row>
    <row r="82" spans="1:14" x14ac:dyDescent="0.25">
      <c r="A82" s="2">
        <v>46048</v>
      </c>
      <c r="B82" t="s">
        <v>217</v>
      </c>
      <c r="C82">
        <v>1.49</v>
      </c>
      <c r="D82">
        <f>VLOOKUP(B82,'Stop Loss Calculator'!$A$3:$D$999,3,FALSE)</f>
        <v>8.4599999999999995E-2</v>
      </c>
      <c r="E82">
        <v>1.82</v>
      </c>
      <c r="F82">
        <f t="shared" si="5"/>
        <v>1.3631</v>
      </c>
      <c r="G82" t="s">
        <v>176</v>
      </c>
      <c r="I82">
        <f t="shared" si="35"/>
        <v>22.147651006711413</v>
      </c>
      <c r="J82">
        <f t="shared" si="36"/>
        <v>8.5167785234899327</v>
      </c>
      <c r="K82">
        <f t="shared" si="37"/>
        <v>22.147651006711413</v>
      </c>
      <c r="L82">
        <f t="shared" si="38"/>
        <v>2.6004728132387713</v>
      </c>
      <c r="M82" t="str">
        <f t="shared" si="39"/>
        <v>Win</v>
      </c>
      <c r="N82" t="s">
        <v>226</v>
      </c>
    </row>
    <row r="83" spans="1:14" x14ac:dyDescent="0.25">
      <c r="A83" s="2">
        <v>46049</v>
      </c>
      <c r="B83" t="s">
        <v>136</v>
      </c>
      <c r="C83">
        <v>155.49</v>
      </c>
      <c r="D83">
        <f>VLOOKUP(B83,'Stop Loss Calculator'!$A$3:$D$999,3,FALSE)</f>
        <v>2.0499999999999998</v>
      </c>
      <c r="E83">
        <v>156.22</v>
      </c>
      <c r="F83">
        <f t="shared" si="5"/>
        <v>152.41500000000002</v>
      </c>
      <c r="G83" t="s">
        <v>227</v>
      </c>
      <c r="I83">
        <f t="shared" si="35"/>
        <v>0.46948356807511077</v>
      </c>
      <c r="J83">
        <f t="shared" si="36"/>
        <v>1.977619139494494</v>
      </c>
      <c r="K83">
        <f t="shared" si="37"/>
        <v>0.46948356807511077</v>
      </c>
      <c r="L83">
        <f t="shared" si="38"/>
        <v>0.23739837398373737</v>
      </c>
      <c r="M83" t="str">
        <f t="shared" si="39"/>
        <v>Win</v>
      </c>
      <c r="N83" t="s">
        <v>228</v>
      </c>
    </row>
    <row r="84" spans="1:14" x14ac:dyDescent="0.25">
      <c r="A84" s="2">
        <v>46049</v>
      </c>
      <c r="B84" t="s">
        <v>130</v>
      </c>
      <c r="C84">
        <v>30.83</v>
      </c>
      <c r="D84">
        <f>VLOOKUP(B84,'Stop Loss Calculator'!$A$3:$D$999,3,FALSE)</f>
        <v>1.57</v>
      </c>
      <c r="E84">
        <v>33.24</v>
      </c>
      <c r="F84">
        <f t="shared" si="5"/>
        <v>28.474999999999998</v>
      </c>
      <c r="G84" t="s">
        <v>188</v>
      </c>
      <c r="I84">
        <f t="shared" si="35"/>
        <v>7.8170613039247607</v>
      </c>
      <c r="J84">
        <f t="shared" si="36"/>
        <v>7.6386636393123597</v>
      </c>
      <c r="K84">
        <f t="shared" si="37"/>
        <v>7.8170613039247607</v>
      </c>
      <c r="L84">
        <f t="shared" si="38"/>
        <v>1.02335456475584</v>
      </c>
      <c r="M84" t="str">
        <f t="shared" si="39"/>
        <v>Win</v>
      </c>
      <c r="N84" t="s">
        <v>229</v>
      </c>
    </row>
    <row r="85" spans="1:14" x14ac:dyDescent="0.25">
      <c r="A85" s="2">
        <v>46049</v>
      </c>
      <c r="B85" t="s">
        <v>217</v>
      </c>
      <c r="C85">
        <v>1.49</v>
      </c>
      <c r="D85">
        <f>VLOOKUP(B85,'Stop Loss Calculator'!$A$3:$D$999,3,FALSE)</f>
        <v>8.4599999999999995E-2</v>
      </c>
      <c r="E85">
        <v>1.62</v>
      </c>
      <c r="F85">
        <f t="shared" si="5"/>
        <v>1.3631</v>
      </c>
      <c r="G85" t="s">
        <v>105</v>
      </c>
      <c r="I85">
        <f t="shared" si="35"/>
        <v>8.7248322147651081</v>
      </c>
      <c r="J85">
        <f t="shared" si="36"/>
        <v>8.5167785234899327</v>
      </c>
      <c r="K85">
        <f t="shared" si="37"/>
        <v>8.7248322147651081</v>
      </c>
      <c r="L85">
        <f t="shared" si="38"/>
        <v>1.0244286840031529</v>
      </c>
      <c r="M85" t="str">
        <f t="shared" si="39"/>
        <v>Win</v>
      </c>
      <c r="N85" t="s">
        <v>229</v>
      </c>
    </row>
    <row r="86" spans="1:14" x14ac:dyDescent="0.25">
      <c r="A86" s="2">
        <v>46049</v>
      </c>
      <c r="B86" t="s">
        <v>210</v>
      </c>
      <c r="C86">
        <v>47.69</v>
      </c>
      <c r="D86">
        <f>VLOOKUP(B86,'Stop Loss Calculator'!$A$3:$D$999,3,FALSE)</f>
        <v>1.1499999999999999</v>
      </c>
      <c r="E86">
        <v>45.75</v>
      </c>
      <c r="F86">
        <f t="shared" si="5"/>
        <v>45.964999999999996</v>
      </c>
      <c r="G86" t="s">
        <v>152</v>
      </c>
      <c r="I86">
        <f t="shared" si="35"/>
        <v>-4.0679387712308612</v>
      </c>
      <c r="J86">
        <f t="shared" si="36"/>
        <v>3.617110505347036</v>
      </c>
      <c r="K86">
        <f t="shared" si="37"/>
        <v>-4.0679387712308612</v>
      </c>
      <c r="L86">
        <f t="shared" si="38"/>
        <v>-1.1246376811594181</v>
      </c>
      <c r="M86" t="str">
        <f t="shared" si="39"/>
        <v>Loss</v>
      </c>
      <c r="N86" t="s">
        <v>230</v>
      </c>
    </row>
    <row r="87" spans="1:14" x14ac:dyDescent="0.25">
      <c r="A87" s="2">
        <v>46049</v>
      </c>
      <c r="B87" t="s">
        <v>136</v>
      </c>
      <c r="C87">
        <v>155.49</v>
      </c>
      <c r="D87">
        <f>VLOOKUP(B87,'Stop Loss Calculator'!$A$3:$D$999,3,FALSE)</f>
        <v>2.0499999999999998</v>
      </c>
      <c r="E87">
        <v>156.69</v>
      </c>
      <c r="F87">
        <f t="shared" si="5"/>
        <v>152.41500000000002</v>
      </c>
      <c r="G87" t="s">
        <v>227</v>
      </c>
      <c r="I87">
        <f t="shared" si="35"/>
        <v>0.77175381053443215</v>
      </c>
      <c r="J87">
        <f t="shared" si="36"/>
        <v>1.977619139494494</v>
      </c>
      <c r="K87">
        <f t="shared" si="37"/>
        <v>0.77175381053443215</v>
      </c>
      <c r="L87">
        <f t="shared" si="38"/>
        <v>0.39024390243902213</v>
      </c>
      <c r="M87" t="str">
        <f t="shared" si="39"/>
        <v>Win</v>
      </c>
      <c r="N87" t="s">
        <v>231</v>
      </c>
    </row>
    <row r="88" spans="1:14" x14ac:dyDescent="0.25">
      <c r="A88" s="2">
        <v>46050</v>
      </c>
      <c r="B88" t="s">
        <v>202</v>
      </c>
      <c r="C88">
        <v>20.13</v>
      </c>
      <c r="D88">
        <f>VLOOKUP(B88,'Stop Loss Calculator'!$A$3:$D$999,3,FALSE)</f>
        <v>0.45</v>
      </c>
      <c r="E88">
        <v>24.21</v>
      </c>
      <c r="F88">
        <f t="shared" si="5"/>
        <v>19.454999999999998</v>
      </c>
      <c r="G88" t="s">
        <v>233</v>
      </c>
      <c r="I88">
        <f t="shared" si="35"/>
        <v>20.268256333830116</v>
      </c>
      <c r="J88">
        <f t="shared" si="36"/>
        <v>3.3532041728763078</v>
      </c>
      <c r="K88">
        <f t="shared" si="37"/>
        <v>20.268256333830116</v>
      </c>
      <c r="L88">
        <f t="shared" si="38"/>
        <v>6.0444444444444416</v>
      </c>
      <c r="M88" t="str">
        <f t="shared" si="39"/>
        <v>Win</v>
      </c>
      <c r="N88" t="s">
        <v>234</v>
      </c>
    </row>
    <row r="89" spans="1:14" x14ac:dyDescent="0.25">
      <c r="A89" s="2">
        <v>46050</v>
      </c>
      <c r="B89" t="s">
        <v>232</v>
      </c>
      <c r="C89">
        <v>334.38</v>
      </c>
      <c r="D89">
        <f>VLOOKUP(B89,'Stop Loss Calculator'!$A$3:$D$999,3,FALSE)</f>
        <v>12.93</v>
      </c>
      <c r="E89">
        <v>327.12</v>
      </c>
      <c r="F89">
        <f t="shared" ref="F89:F110" si="40">C89-(1.5*D89)</f>
        <v>314.98500000000001</v>
      </c>
      <c r="G89" t="s">
        <v>118</v>
      </c>
      <c r="I89">
        <f t="shared" si="35"/>
        <v>-2.1711824869908458</v>
      </c>
      <c r="J89">
        <f t="shared" si="36"/>
        <v>5.8002870985106707</v>
      </c>
      <c r="K89">
        <f t="shared" si="37"/>
        <v>-2.1711824869908458</v>
      </c>
      <c r="L89">
        <f t="shared" si="38"/>
        <v>-0.37432327919566888</v>
      </c>
      <c r="M89" t="str">
        <f t="shared" si="39"/>
        <v>Loss</v>
      </c>
      <c r="N89" t="s">
        <v>235</v>
      </c>
    </row>
    <row r="90" spans="1:14" x14ac:dyDescent="0.25">
      <c r="A90" s="2">
        <v>46050</v>
      </c>
      <c r="B90" t="s">
        <v>112</v>
      </c>
      <c r="C90">
        <v>82.1</v>
      </c>
      <c r="D90">
        <f>VLOOKUP(B90,'Stop Loss Calculator'!$A$3:$D$999,3,FALSE)</f>
        <v>0.86</v>
      </c>
      <c r="E90">
        <v>82.32</v>
      </c>
      <c r="F90">
        <f t="shared" si="40"/>
        <v>80.809999999999988</v>
      </c>
      <c r="G90" t="s">
        <v>105</v>
      </c>
      <c r="I90">
        <f t="shared" si="35"/>
        <v>0.26796589524969411</v>
      </c>
      <c r="J90">
        <f t="shared" si="36"/>
        <v>1.5712545676004948</v>
      </c>
      <c r="K90">
        <f t="shared" si="37"/>
        <v>0.26796589524969411</v>
      </c>
      <c r="L90">
        <f t="shared" si="38"/>
        <v>0.17054263565891303</v>
      </c>
      <c r="M90" t="str">
        <f t="shared" si="39"/>
        <v>Win</v>
      </c>
      <c r="N90" t="s">
        <v>236</v>
      </c>
    </row>
    <row r="91" spans="1:14" x14ac:dyDescent="0.25">
      <c r="A91" s="2">
        <v>46050</v>
      </c>
      <c r="B91" t="s">
        <v>199</v>
      </c>
      <c r="C91">
        <v>220.05</v>
      </c>
      <c r="D91">
        <f>VLOOKUP(B91,'Stop Loss Calculator'!$A$3:$D$999,3,FALSE)</f>
        <v>5.05</v>
      </c>
      <c r="E91">
        <v>217.01</v>
      </c>
      <c r="F91">
        <f t="shared" si="40"/>
        <v>212.47500000000002</v>
      </c>
      <c r="G91" t="s">
        <v>113</v>
      </c>
      <c r="I91">
        <f t="shared" si="35"/>
        <v>-1.3815042035901024</v>
      </c>
      <c r="J91">
        <f t="shared" si="36"/>
        <v>3.4423994546693879</v>
      </c>
      <c r="K91">
        <f t="shared" si="37"/>
        <v>-1.3815042035901024</v>
      </c>
      <c r="L91">
        <f t="shared" si="38"/>
        <v>-0.40132013201320466</v>
      </c>
      <c r="M91" t="str">
        <f t="shared" si="39"/>
        <v>Loss</v>
      </c>
      <c r="N91" t="s">
        <v>237</v>
      </c>
    </row>
    <row r="92" spans="1:14" x14ac:dyDescent="0.25">
      <c r="A92" s="2">
        <v>46051</v>
      </c>
      <c r="B92" t="s">
        <v>238</v>
      </c>
      <c r="C92">
        <v>462.07</v>
      </c>
      <c r="D92">
        <f>VLOOKUP(B92,'Stop Loss Calculator'!$A$3:$D$999,3,FALSE)</f>
        <v>15.64</v>
      </c>
      <c r="E92">
        <v>439.59</v>
      </c>
      <c r="F92">
        <f t="shared" si="40"/>
        <v>438.61</v>
      </c>
      <c r="G92" t="s">
        <v>118</v>
      </c>
      <c r="I92">
        <f t="shared" si="35"/>
        <v>-4.8650637349319412</v>
      </c>
      <c r="J92">
        <f t="shared" si="36"/>
        <v>5.0771528123444458</v>
      </c>
      <c r="K92">
        <f t="shared" si="37"/>
        <v>-4.8650637349319412</v>
      </c>
      <c r="L92">
        <f t="shared" si="38"/>
        <v>-0.9582267689684586</v>
      </c>
      <c r="M92" t="str">
        <f t="shared" si="39"/>
        <v>Loss</v>
      </c>
      <c r="N92" t="s">
        <v>239</v>
      </c>
    </row>
    <row r="93" spans="1:14" x14ac:dyDescent="0.25">
      <c r="A93" s="2">
        <v>46051</v>
      </c>
      <c r="B93" t="s">
        <v>68</v>
      </c>
      <c r="C93">
        <v>190.33</v>
      </c>
      <c r="D93">
        <f>VLOOKUP(B93,'Stop Loss Calculator'!$A$3:$D$999,3,FALSE)</f>
        <v>5.1100000000000003</v>
      </c>
      <c r="E93">
        <v>189.01</v>
      </c>
      <c r="F93">
        <f t="shared" si="40"/>
        <v>182.66500000000002</v>
      </c>
      <c r="G93" t="s">
        <v>118</v>
      </c>
      <c r="I93">
        <f t="shared" ref="I93:I110" si="41">(E93-C93)/C93*(100)</f>
        <v>-0.69353228602953898</v>
      </c>
      <c r="J93">
        <f t="shared" ref="J93:J110" si="42">(C93-F93)/C93*100</f>
        <v>4.0272158881941849</v>
      </c>
      <c r="K93">
        <f t="shared" ref="K93:K110" si="43">(E93-C93)/C93*100</f>
        <v>-0.69353228602953898</v>
      </c>
      <c r="L93">
        <f t="shared" ref="L93:L110" si="44">K93/J93</f>
        <v>-0.17221135029354506</v>
      </c>
      <c r="M93" t="str">
        <f t="shared" ref="M93:M110" si="45">IF(I93&gt;0,"Win","Loss")</f>
        <v>Loss</v>
      </c>
      <c r="N93" t="s">
        <v>240</v>
      </c>
    </row>
    <row r="94" spans="1:14" x14ac:dyDescent="0.25">
      <c r="A94" s="2">
        <v>46051</v>
      </c>
      <c r="B94" t="s">
        <v>232</v>
      </c>
      <c r="C94">
        <v>332.81</v>
      </c>
      <c r="D94">
        <f>VLOOKUP(B94,'Stop Loss Calculator'!$A$3:$D$999,3,FALSE)</f>
        <v>12.93</v>
      </c>
      <c r="E94">
        <v>324.79000000000002</v>
      </c>
      <c r="F94">
        <f t="shared" si="40"/>
        <v>313.41500000000002</v>
      </c>
      <c r="G94" t="s">
        <v>118</v>
      </c>
      <c r="I94">
        <f t="shared" si="41"/>
        <v>-2.4097833598749983</v>
      </c>
      <c r="J94">
        <f t="shared" si="42"/>
        <v>5.8276494095730245</v>
      </c>
      <c r="K94">
        <f t="shared" si="43"/>
        <v>-2.4097833598749983</v>
      </c>
      <c r="L94">
        <f t="shared" si="44"/>
        <v>-0.41350863624645467</v>
      </c>
      <c r="M94" t="str">
        <f t="shared" si="45"/>
        <v>Loss</v>
      </c>
      <c r="N94" t="s">
        <v>241</v>
      </c>
    </row>
    <row r="95" spans="1:14" x14ac:dyDescent="0.25">
      <c r="A95" s="2">
        <v>46051</v>
      </c>
      <c r="B95" t="s">
        <v>225</v>
      </c>
      <c r="C95">
        <v>59.2</v>
      </c>
      <c r="D95">
        <f>VLOOKUP(B95,'Stop Loss Calculator'!$A$3:$D$999,3,FALSE)</f>
        <v>2.71</v>
      </c>
      <c r="E95">
        <v>55.04</v>
      </c>
      <c r="F95">
        <f t="shared" si="40"/>
        <v>55.135000000000005</v>
      </c>
      <c r="G95" t="s">
        <v>176</v>
      </c>
      <c r="I95">
        <f t="shared" si="41"/>
        <v>-7.0270270270270334</v>
      </c>
      <c r="J95">
        <f t="shared" si="42"/>
        <v>6.8665540540540499</v>
      </c>
      <c r="K95">
        <f t="shared" si="43"/>
        <v>-7.0270270270270334</v>
      </c>
      <c r="L95">
        <f t="shared" si="44"/>
        <v>-1.0233702337023385</v>
      </c>
      <c r="M95" t="str">
        <f t="shared" si="45"/>
        <v>Loss</v>
      </c>
      <c r="N95" t="s">
        <v>242</v>
      </c>
    </row>
    <row r="96" spans="1:14" x14ac:dyDescent="0.25">
      <c r="A96" s="2">
        <v>46052</v>
      </c>
      <c r="B96" t="s">
        <v>202</v>
      </c>
      <c r="C96">
        <v>20.13</v>
      </c>
      <c r="D96">
        <f>VLOOKUP(B96,'Stop Loss Calculator'!$A$3:$D$999,3,FALSE)</f>
        <v>0.45</v>
      </c>
      <c r="E96">
        <v>23.4</v>
      </c>
      <c r="F96">
        <f t="shared" si="40"/>
        <v>19.454999999999998</v>
      </c>
      <c r="G96" t="s">
        <v>244</v>
      </c>
      <c r="I96">
        <f t="shared" si="41"/>
        <v>16.24441132637854</v>
      </c>
      <c r="J96">
        <f t="shared" si="42"/>
        <v>3.3532041728763078</v>
      </c>
      <c r="K96">
        <f t="shared" si="43"/>
        <v>16.24441132637854</v>
      </c>
      <c r="L96">
        <f t="shared" si="44"/>
        <v>4.8444444444444388</v>
      </c>
      <c r="M96" t="str">
        <f t="shared" si="45"/>
        <v>Win</v>
      </c>
      <c r="N96" t="s">
        <v>245</v>
      </c>
    </row>
    <row r="97" spans="1:14" x14ac:dyDescent="0.25">
      <c r="A97" s="2">
        <v>46055</v>
      </c>
      <c r="B97" t="s">
        <v>246</v>
      </c>
      <c r="C97">
        <v>7.97</v>
      </c>
      <c r="D97">
        <f>VLOOKUP(B97,'Stop Loss Calculator'!$A$3:$D$999,3,FALSE)</f>
        <v>0.34</v>
      </c>
      <c r="E97">
        <v>8.73</v>
      </c>
      <c r="F97">
        <f t="shared" si="40"/>
        <v>7.46</v>
      </c>
      <c r="G97" t="s">
        <v>113</v>
      </c>
      <c r="I97">
        <f t="shared" si="41"/>
        <v>9.5357590966123045</v>
      </c>
      <c r="J97">
        <f t="shared" si="42"/>
        <v>6.3989962358845647</v>
      </c>
      <c r="K97">
        <f t="shared" si="43"/>
        <v>9.5357590966123045</v>
      </c>
      <c r="L97">
        <f t="shared" si="44"/>
        <v>1.4901960784313744</v>
      </c>
      <c r="M97" t="str">
        <f t="shared" si="45"/>
        <v>Win</v>
      </c>
      <c r="N97" t="s">
        <v>248</v>
      </c>
    </row>
    <row r="98" spans="1:14" x14ac:dyDescent="0.25">
      <c r="A98" s="2">
        <v>46056</v>
      </c>
      <c r="B98" t="s">
        <v>68</v>
      </c>
      <c r="C98">
        <v>191.76</v>
      </c>
      <c r="D98">
        <f>VLOOKUP(B98,'Stop Loss Calculator'!$A$3:$D$999,3,FALSE)</f>
        <v>5.1100000000000003</v>
      </c>
      <c r="E98">
        <v>184.07</v>
      </c>
      <c r="F98">
        <f t="shared" si="40"/>
        <v>184.095</v>
      </c>
      <c r="G98" t="s">
        <v>176</v>
      </c>
      <c r="I98">
        <f t="shared" si="41"/>
        <v>-4.010221109720483</v>
      </c>
      <c r="J98">
        <f t="shared" si="42"/>
        <v>3.9971839799749649</v>
      </c>
      <c r="K98">
        <f t="shared" si="43"/>
        <v>-4.010221109720483</v>
      </c>
      <c r="L98">
        <f t="shared" si="44"/>
        <v>-1.0032615786040451</v>
      </c>
      <c r="M98" t="str">
        <f t="shared" si="45"/>
        <v>Loss</v>
      </c>
      <c r="N98" t="s">
        <v>249</v>
      </c>
    </row>
    <row r="99" spans="1:14" x14ac:dyDescent="0.25">
      <c r="A99" s="2">
        <v>46056</v>
      </c>
      <c r="B99" t="s">
        <v>232</v>
      </c>
      <c r="C99">
        <v>333.81</v>
      </c>
      <c r="D99">
        <f>VLOOKUP(B99,'Stop Loss Calculator'!$A$3:$D$999,3,FALSE)</f>
        <v>12.93</v>
      </c>
      <c r="E99">
        <v>327.33</v>
      </c>
      <c r="F99">
        <f t="shared" si="40"/>
        <v>314.41500000000002</v>
      </c>
      <c r="G99" t="s">
        <v>113</v>
      </c>
      <c r="I99">
        <f t="shared" si="41"/>
        <v>-1.9412240496090645</v>
      </c>
      <c r="J99">
        <f t="shared" si="42"/>
        <v>5.8101914262604426</v>
      </c>
      <c r="K99">
        <f t="shared" si="43"/>
        <v>-1.9412240496090645</v>
      </c>
      <c r="L99">
        <f t="shared" si="44"/>
        <v>-0.33410672853828427</v>
      </c>
      <c r="M99" t="str">
        <f t="shared" si="45"/>
        <v>Loss</v>
      </c>
      <c r="N99" t="s">
        <v>250</v>
      </c>
    </row>
    <row r="100" spans="1:14" x14ac:dyDescent="0.25">
      <c r="A100" s="2">
        <v>46057</v>
      </c>
      <c r="B100" t="s">
        <v>143</v>
      </c>
      <c r="C100">
        <v>5.32</v>
      </c>
      <c r="D100">
        <f>VLOOKUP(B100,'Stop Loss Calculator'!$A$3:$D$999,3,FALSE)</f>
        <v>0.41</v>
      </c>
      <c r="E100">
        <v>5.57</v>
      </c>
      <c r="F100">
        <f t="shared" si="40"/>
        <v>4.7050000000000001</v>
      </c>
      <c r="G100" t="s">
        <v>188</v>
      </c>
      <c r="I100">
        <f t="shared" si="41"/>
        <v>4.6992481203007515</v>
      </c>
      <c r="J100">
        <f t="shared" si="42"/>
        <v>11.560150375939852</v>
      </c>
      <c r="K100">
        <f t="shared" si="43"/>
        <v>4.6992481203007515</v>
      </c>
      <c r="L100">
        <f t="shared" si="44"/>
        <v>0.40650406504065029</v>
      </c>
      <c r="M100" t="str">
        <f t="shared" si="45"/>
        <v>Win</v>
      </c>
      <c r="N100" t="s">
        <v>252</v>
      </c>
    </row>
    <row r="101" spans="1:14" x14ac:dyDescent="0.25">
      <c r="A101" s="2">
        <v>46057</v>
      </c>
      <c r="B101" t="s">
        <v>125</v>
      </c>
      <c r="C101">
        <v>56.06</v>
      </c>
      <c r="D101">
        <f>VLOOKUP(B101,'Stop Loss Calculator'!$A$3:$D$999,3,FALSE)</f>
        <v>2.16</v>
      </c>
      <c r="E101">
        <v>54.99</v>
      </c>
      <c r="F101">
        <f t="shared" si="40"/>
        <v>52.82</v>
      </c>
      <c r="G101" t="s">
        <v>176</v>
      </c>
      <c r="I101">
        <f t="shared" si="41"/>
        <v>-1.9086692829111671</v>
      </c>
      <c r="J101">
        <f t="shared" si="42"/>
        <v>5.7795219407777418</v>
      </c>
      <c r="K101">
        <f t="shared" si="43"/>
        <v>-1.9086692829111671</v>
      </c>
      <c r="L101">
        <f t="shared" si="44"/>
        <v>-0.33024691358024677</v>
      </c>
      <c r="M101" t="str">
        <f t="shared" si="45"/>
        <v>Loss</v>
      </c>
      <c r="N101" t="s">
        <v>253</v>
      </c>
    </row>
    <row r="102" spans="1:14" x14ac:dyDescent="0.25">
      <c r="A102" s="2">
        <v>46057</v>
      </c>
      <c r="B102" t="s">
        <v>246</v>
      </c>
      <c r="C102">
        <v>7.97</v>
      </c>
      <c r="D102">
        <f>VLOOKUP(B102,'Stop Loss Calculator'!$A$3:$D$999,3,FALSE)</f>
        <v>0.34</v>
      </c>
      <c r="E102">
        <v>8.2200000000000006</v>
      </c>
      <c r="F102">
        <f t="shared" si="40"/>
        <v>7.46</v>
      </c>
      <c r="G102" t="s">
        <v>107</v>
      </c>
      <c r="I102">
        <f t="shared" si="41"/>
        <v>3.1367628607277402</v>
      </c>
      <c r="J102">
        <f t="shared" si="42"/>
        <v>6.3989962358845647</v>
      </c>
      <c r="K102">
        <f t="shared" si="43"/>
        <v>3.1367628607277402</v>
      </c>
      <c r="L102">
        <f t="shared" si="44"/>
        <v>0.49019607843137447</v>
      </c>
      <c r="M102" t="str">
        <f t="shared" si="45"/>
        <v>Win</v>
      </c>
      <c r="N102" t="s">
        <v>254</v>
      </c>
    </row>
    <row r="103" spans="1:14" x14ac:dyDescent="0.25">
      <c r="A103" s="2">
        <v>46058</v>
      </c>
      <c r="B103" t="s">
        <v>207</v>
      </c>
      <c r="C103">
        <v>326.01</v>
      </c>
      <c r="D103">
        <f>VLOOKUP(B103,'Stop Loss Calculator'!$A$3:$D$999,3,FALSE)</f>
        <v>7.54</v>
      </c>
      <c r="E103">
        <v>311.27999999999997</v>
      </c>
      <c r="F103">
        <f t="shared" si="40"/>
        <v>314.7</v>
      </c>
      <c r="G103" t="s">
        <v>105</v>
      </c>
      <c r="I103">
        <f t="shared" si="41"/>
        <v>-4.5182663108493664</v>
      </c>
      <c r="J103">
        <f t="shared" si="42"/>
        <v>3.4692187356216078</v>
      </c>
      <c r="K103">
        <f t="shared" si="43"/>
        <v>-4.5182663108493664</v>
      </c>
      <c r="L103">
        <f t="shared" si="44"/>
        <v>-1.3023872679045105</v>
      </c>
      <c r="M103" t="str">
        <f t="shared" si="45"/>
        <v>Loss</v>
      </c>
      <c r="N103" t="s">
        <v>256</v>
      </c>
    </row>
    <row r="104" spans="1:14" x14ac:dyDescent="0.25">
      <c r="A104" s="2">
        <v>46058</v>
      </c>
      <c r="B104" t="s">
        <v>67</v>
      </c>
      <c r="C104">
        <v>57.51</v>
      </c>
      <c r="D104">
        <f>VLOOKUP(B104,'Stop Loss Calculator'!$A$3:$D$999,3,FALSE)</f>
        <v>1.7</v>
      </c>
      <c r="E104">
        <v>56.05</v>
      </c>
      <c r="F104">
        <f t="shared" si="40"/>
        <v>54.96</v>
      </c>
      <c r="G104" t="s">
        <v>113</v>
      </c>
      <c r="I104">
        <f t="shared" si="41"/>
        <v>-2.5386889236654513</v>
      </c>
      <c r="J104">
        <f t="shared" si="42"/>
        <v>4.4340114762649927</v>
      </c>
      <c r="K104">
        <f t="shared" si="43"/>
        <v>-2.5386889236654513</v>
      </c>
      <c r="L104">
        <f t="shared" si="44"/>
        <v>-0.5725490196078441</v>
      </c>
      <c r="M104" t="str">
        <f t="shared" si="45"/>
        <v>Loss</v>
      </c>
      <c r="N104" t="s">
        <v>258</v>
      </c>
    </row>
    <row r="105" spans="1:14" x14ac:dyDescent="0.25">
      <c r="A105" s="2">
        <v>46062</v>
      </c>
      <c r="B105" t="s">
        <v>243</v>
      </c>
      <c r="C105">
        <v>542.04999999999995</v>
      </c>
      <c r="D105">
        <f>VLOOKUP(B105,'Stop Loss Calculator'!$A$3:$D$999,3,FALSE)</f>
        <v>11.04</v>
      </c>
      <c r="E105">
        <v>538</v>
      </c>
      <c r="F105">
        <f t="shared" si="40"/>
        <v>525.49</v>
      </c>
      <c r="G105" t="s">
        <v>105</v>
      </c>
      <c r="I105">
        <f t="shared" si="41"/>
        <v>-0.74716354579834976</v>
      </c>
      <c r="J105">
        <f t="shared" si="42"/>
        <v>3.0550687205977209</v>
      </c>
      <c r="K105">
        <f t="shared" si="43"/>
        <v>-0.74716354579834976</v>
      </c>
      <c r="L105">
        <f t="shared" si="44"/>
        <v>-0.24456521739130241</v>
      </c>
      <c r="M105" t="str">
        <f t="shared" si="45"/>
        <v>Loss</v>
      </c>
      <c r="N105" t="s">
        <v>259</v>
      </c>
    </row>
    <row r="106" spans="1:14" x14ac:dyDescent="0.25">
      <c r="A106" s="2">
        <v>46062</v>
      </c>
      <c r="B106" t="s">
        <v>257</v>
      </c>
      <c r="C106">
        <v>28.96</v>
      </c>
      <c r="D106">
        <f>VLOOKUP(B106,'Stop Loss Calculator'!$A$3:$D$999,3,FALSE)</f>
        <v>0.9</v>
      </c>
      <c r="E106">
        <v>27.84</v>
      </c>
      <c r="F106">
        <f t="shared" si="40"/>
        <v>27.61</v>
      </c>
      <c r="G106" t="s">
        <v>118</v>
      </c>
      <c r="I106">
        <f t="shared" si="41"/>
        <v>-3.8674033149171305</v>
      </c>
      <c r="J106">
        <f t="shared" si="42"/>
        <v>4.661602209944756</v>
      </c>
      <c r="K106">
        <f t="shared" si="43"/>
        <v>-3.8674033149171305</v>
      </c>
      <c r="L106">
        <f t="shared" si="44"/>
        <v>-0.82962962962962949</v>
      </c>
      <c r="M106" t="str">
        <f t="shared" si="45"/>
        <v>Loss</v>
      </c>
      <c r="N106" t="s">
        <v>260</v>
      </c>
    </row>
    <row r="107" spans="1:14" x14ac:dyDescent="0.25">
      <c r="A107" s="2">
        <v>46063</v>
      </c>
      <c r="B107" t="s">
        <v>179</v>
      </c>
      <c r="C107">
        <v>181.08</v>
      </c>
      <c r="D107">
        <f>VLOOKUP(B107,'Stop Loss Calculator'!$A$3:$D$999,3,FALSE)</f>
        <v>4.13</v>
      </c>
      <c r="E107">
        <v>193.53</v>
      </c>
      <c r="F107">
        <f t="shared" si="40"/>
        <v>174.88500000000002</v>
      </c>
      <c r="G107" t="s">
        <v>261</v>
      </c>
      <c r="I107">
        <f t="shared" si="41"/>
        <v>6.875414181577197</v>
      </c>
      <c r="J107">
        <f t="shared" si="42"/>
        <v>3.4211398277004599</v>
      </c>
      <c r="K107">
        <f t="shared" si="43"/>
        <v>6.875414181577197</v>
      </c>
      <c r="L107">
        <f t="shared" si="44"/>
        <v>2.0096852300242136</v>
      </c>
      <c r="M107" t="str">
        <f t="shared" si="45"/>
        <v>Win</v>
      </c>
      <c r="N107" t="s">
        <v>262</v>
      </c>
    </row>
    <row r="108" spans="1:14" x14ac:dyDescent="0.25">
      <c r="A108" s="2">
        <v>46063</v>
      </c>
      <c r="B108" t="s">
        <v>125</v>
      </c>
      <c r="C108">
        <v>58.96</v>
      </c>
      <c r="D108">
        <f>VLOOKUP(B108,'Stop Loss Calculator'!$A$3:$D$999,3,FALSE)</f>
        <v>2.16</v>
      </c>
      <c r="E108">
        <v>55.66</v>
      </c>
      <c r="F108">
        <f t="shared" si="40"/>
        <v>55.72</v>
      </c>
      <c r="G108" t="s">
        <v>176</v>
      </c>
      <c r="I108">
        <f t="shared" si="41"/>
        <v>-5.5970149253731414</v>
      </c>
      <c r="J108">
        <f t="shared" si="42"/>
        <v>5.495251017639081</v>
      </c>
      <c r="K108">
        <f t="shared" si="43"/>
        <v>-5.5970149253731414</v>
      </c>
      <c r="L108">
        <f t="shared" si="44"/>
        <v>-1.018518518518519</v>
      </c>
      <c r="M108" t="str">
        <f t="shared" si="45"/>
        <v>Loss</v>
      </c>
      <c r="N108" t="s">
        <v>265</v>
      </c>
    </row>
    <row r="109" spans="1:14" x14ac:dyDescent="0.25">
      <c r="A109" s="2">
        <v>46064</v>
      </c>
      <c r="B109" t="s">
        <v>122</v>
      </c>
      <c r="C109">
        <v>10.08</v>
      </c>
      <c r="D109">
        <f>VLOOKUP(B109,'Stop Loss Calculator'!$A$3:$D$999,3,FALSE)</f>
        <v>1.28</v>
      </c>
      <c r="E109">
        <v>9.39</v>
      </c>
      <c r="F109">
        <f t="shared" si="40"/>
        <v>8.16</v>
      </c>
      <c r="G109" t="s">
        <v>113</v>
      </c>
      <c r="I109">
        <f t="shared" si="41"/>
        <v>-6.8452380952380905</v>
      </c>
      <c r="J109">
        <f t="shared" si="42"/>
        <v>19.047619047619047</v>
      </c>
      <c r="K109">
        <f t="shared" si="43"/>
        <v>-6.8452380952380905</v>
      </c>
      <c r="L109">
        <f t="shared" si="44"/>
        <v>-0.35937499999999978</v>
      </c>
      <c r="M109" t="str">
        <f t="shared" si="45"/>
        <v>Loss</v>
      </c>
      <c r="N109" t="s">
        <v>267</v>
      </c>
    </row>
    <row r="110" spans="1:14" x14ac:dyDescent="0.25">
      <c r="A110" s="2">
        <v>46064</v>
      </c>
      <c r="B110" t="s">
        <v>67</v>
      </c>
      <c r="C110">
        <v>58.52</v>
      </c>
      <c r="D110">
        <f>VLOOKUP(B110,'Stop Loss Calculator'!$A$3:$D$999,3,FALSE)</f>
        <v>1.7</v>
      </c>
      <c r="E110">
        <v>63.83</v>
      </c>
      <c r="F110">
        <f t="shared" si="40"/>
        <v>55.970000000000006</v>
      </c>
      <c r="G110" t="s">
        <v>176</v>
      </c>
      <c r="I110">
        <f t="shared" si="41"/>
        <v>9.07382091592617</v>
      </c>
      <c r="J110">
        <f t="shared" si="42"/>
        <v>4.3574846206425102</v>
      </c>
      <c r="K110">
        <f t="shared" si="43"/>
        <v>9.07382091592617</v>
      </c>
      <c r="L110">
        <f t="shared" si="44"/>
        <v>2.0823529411764712</v>
      </c>
      <c r="M110" t="str">
        <f t="shared" si="45"/>
        <v>Win</v>
      </c>
      <c r="N110" t="s">
        <v>269</v>
      </c>
    </row>
  </sheetData>
  <phoneticPr fontId="1" type="noConversion"/>
  <conditionalFormatting sqref="E23:E110">
    <cfRule type="expression" dxfId="0" priority="1">
      <formula>$F$2=$A23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Stop Loss Calculator</vt:lpstr>
      <vt:lpstr>Shares calculator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</dc:creator>
  <cp:lastModifiedBy>Alonso</cp:lastModifiedBy>
  <cp:lastPrinted>2025-11-18T17:18:00Z</cp:lastPrinted>
  <dcterms:created xsi:type="dcterms:W3CDTF">2025-10-30T17:34:36Z</dcterms:created>
  <dcterms:modified xsi:type="dcterms:W3CDTF">2026-02-11T20:16:33Z</dcterms:modified>
</cp:coreProperties>
</file>