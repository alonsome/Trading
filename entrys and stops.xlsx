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onso\Documents\GitHub\Trading\"/>
    </mc:Choice>
  </mc:AlternateContent>
  <xr:revisionPtr revIDLastSave="0" documentId="13_ncr:1_{5C1CF7DB-2631-47D7-84D6-30ED736DF249}" xr6:coauthVersionLast="47" xr6:coauthVersionMax="47" xr10:uidLastSave="{00000000-0000-0000-0000-000000000000}"/>
  <bookViews>
    <workbookView xWindow="-120" yWindow="-120" windowWidth="29040" windowHeight="15720" xr2:uid="{700066B9-5A74-44E1-ACE9-D49B5F1E5EBB}"/>
  </bookViews>
  <sheets>
    <sheet name="Stop Loss Calculator" sheetId="1" r:id="rId1"/>
    <sheet name="Shares calculator" sheetId="2" r:id="rId2"/>
    <sheet name="Resul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84" i="1" l="1"/>
  <c r="I36" i="3"/>
  <c r="M36" i="3" s="1"/>
  <c r="K36" i="3"/>
  <c r="D36" i="3"/>
  <c r="F36" i="3" s="1"/>
  <c r="J36" i="3" s="1"/>
  <c r="L36" i="3" s="1"/>
  <c r="I35" i="3"/>
  <c r="M35" i="3" s="1"/>
  <c r="K35" i="3"/>
  <c r="D35" i="3"/>
  <c r="F35" i="3" s="1"/>
  <c r="J35" i="3" s="1"/>
  <c r="L35" i="3" s="1"/>
  <c r="I34" i="3"/>
  <c r="M34" i="3"/>
  <c r="K34" i="3"/>
  <c r="D34" i="3"/>
  <c r="F34" i="3" s="1"/>
  <c r="I33" i="3"/>
  <c r="M33" i="3" s="1"/>
  <c r="K33" i="3"/>
  <c r="D33" i="3"/>
  <c r="I32" i="3"/>
  <c r="M32" i="3"/>
  <c r="K32" i="3"/>
  <c r="D32" i="3"/>
  <c r="F32" i="3" s="1"/>
  <c r="J32" i="3" s="1"/>
  <c r="L32" i="3" s="1"/>
  <c r="I31" i="3"/>
  <c r="M31" i="3"/>
  <c r="K31" i="3"/>
  <c r="D31" i="3"/>
  <c r="F31" i="3" s="1"/>
  <c r="D30" i="3"/>
  <c r="F30" i="3" s="1"/>
  <c r="I30" i="3"/>
  <c r="M30" i="3"/>
  <c r="K30" i="3"/>
  <c r="D83" i="1"/>
  <c r="I29" i="3"/>
  <c r="M29" i="3" s="1"/>
  <c r="K29" i="3"/>
  <c r="D29" i="3"/>
  <c r="F29" i="3" s="1"/>
  <c r="J29" i="3" s="1"/>
  <c r="L29" i="3" s="1"/>
  <c r="D62" i="1"/>
  <c r="D70" i="1"/>
  <c r="D59" i="1"/>
  <c r="D26" i="1"/>
  <c r="D51" i="1"/>
  <c r="D24" i="1"/>
  <c r="D53" i="1"/>
  <c r="D82" i="1"/>
  <c r="I28" i="3"/>
  <c r="M28" i="3" s="1"/>
  <c r="K28" i="3"/>
  <c r="D28" i="3"/>
  <c r="F28" i="3" s="1"/>
  <c r="D60" i="1"/>
  <c r="D72" i="1"/>
  <c r="D74" i="1"/>
  <c r="D64" i="1"/>
  <c r="I27" i="3"/>
  <c r="M27" i="3" s="1"/>
  <c r="K27" i="3"/>
  <c r="D27" i="3"/>
  <c r="D81" i="1"/>
  <c r="D80" i="1"/>
  <c r="D79" i="1"/>
  <c r="D65" i="1"/>
  <c r="I26" i="3"/>
  <c r="M26" i="3"/>
  <c r="K26" i="3"/>
  <c r="D26" i="3"/>
  <c r="F26" i="3" s="1"/>
  <c r="D78" i="1"/>
  <c r="C8" i="2"/>
  <c r="D66" i="1"/>
  <c r="D77" i="1"/>
  <c r="D76" i="1"/>
  <c r="D68" i="1"/>
  <c r="D75" i="1"/>
  <c r="D73" i="1"/>
  <c r="D34" i="1"/>
  <c r="I25" i="3"/>
  <c r="K25" i="3"/>
  <c r="M25" i="3"/>
  <c r="D25" i="3"/>
  <c r="F25" i="3" s="1"/>
  <c r="I24" i="3"/>
  <c r="M24" i="3"/>
  <c r="K24" i="3"/>
  <c r="D24" i="3"/>
  <c r="F24" i="3" s="1"/>
  <c r="D46" i="1"/>
  <c r="D71" i="1"/>
  <c r="D69" i="1"/>
  <c r="I23" i="3"/>
  <c r="K23" i="3"/>
  <c r="M23" i="3"/>
  <c r="D11" i="3"/>
  <c r="D12" i="3"/>
  <c r="F12" i="3" s="1"/>
  <c r="D13" i="3"/>
  <c r="F13" i="3" s="1"/>
  <c r="D14" i="3"/>
  <c r="F14" i="3" s="1"/>
  <c r="D15" i="3"/>
  <c r="F15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J21" i="3" s="1"/>
  <c r="D22" i="3"/>
  <c r="F22" i="3" s="1"/>
  <c r="D23" i="3"/>
  <c r="F23" i="3" s="1"/>
  <c r="D10" i="3"/>
  <c r="F10" i="3" s="1"/>
  <c r="D25" i="1"/>
  <c r="I13" i="3"/>
  <c r="M13" i="3" s="1"/>
  <c r="D63" i="1"/>
  <c r="D67" i="1"/>
  <c r="D3" i="1"/>
  <c r="I22" i="3"/>
  <c r="M22" i="3" s="1"/>
  <c r="D61" i="1"/>
  <c r="D47" i="1"/>
  <c r="I18" i="3"/>
  <c r="M18" i="3" s="1"/>
  <c r="D58" i="1"/>
  <c r="D57" i="1"/>
  <c r="D56" i="1"/>
  <c r="I14" i="3"/>
  <c r="M14" i="3" s="1"/>
  <c r="I12" i="3"/>
  <c r="M12" i="3" s="1"/>
  <c r="C11" i="3"/>
  <c r="D50" i="1"/>
  <c r="D55" i="1"/>
  <c r="D37" i="1"/>
  <c r="D48" i="1"/>
  <c r="D54" i="1"/>
  <c r="D40" i="1"/>
  <c r="D52" i="1"/>
  <c r="D38" i="1"/>
  <c r="D49" i="1"/>
  <c r="D45" i="1"/>
  <c r="D44" i="1"/>
  <c r="D43" i="1"/>
  <c r="D39" i="1"/>
  <c r="D42" i="1"/>
  <c r="D41" i="1"/>
  <c r="D36" i="1"/>
  <c r="D35" i="1"/>
  <c r="D29" i="1"/>
  <c r="C11" i="2" s="1"/>
  <c r="D33" i="1"/>
  <c r="B13" i="2"/>
  <c r="H7" i="1"/>
  <c r="H4" i="1"/>
  <c r="D32" i="1"/>
  <c r="C13" i="2" s="1"/>
  <c r="D31" i="1"/>
  <c r="D30" i="1"/>
  <c r="B12" i="2"/>
  <c r="B11" i="2"/>
  <c r="B10" i="2"/>
  <c r="B9" i="2"/>
  <c r="D28" i="1"/>
  <c r="C9" i="2" s="1"/>
  <c r="D27" i="1"/>
  <c r="B8" i="2"/>
  <c r="B7" i="2"/>
  <c r="D23" i="1"/>
  <c r="C7" i="2" s="1"/>
  <c r="B4" i="2"/>
  <c r="B5" i="2"/>
  <c r="B6" i="2"/>
  <c r="B3" i="2"/>
  <c r="D22" i="1"/>
  <c r="C6" i="2" s="1"/>
  <c r="D21" i="1"/>
  <c r="C5" i="2" s="1"/>
  <c r="D20" i="1"/>
  <c r="C3" i="2" s="1"/>
  <c r="D19" i="1"/>
  <c r="D18" i="1"/>
  <c r="D17" i="1"/>
  <c r="D16" i="1"/>
  <c r="D15" i="1"/>
  <c r="D14" i="1"/>
  <c r="C10" i="2" s="1"/>
  <c r="D13" i="1"/>
  <c r="D12" i="1"/>
  <c r="D11" i="1"/>
  <c r="D10" i="1"/>
  <c r="D9" i="1"/>
  <c r="C4" i="2" s="1"/>
  <c r="D8" i="1"/>
  <c r="D7" i="1"/>
  <c r="D6" i="1"/>
  <c r="D5" i="1"/>
  <c r="C12" i="2" s="1"/>
  <c r="D4" i="1"/>
  <c r="F11" i="3" l="1"/>
  <c r="F33" i="3"/>
  <c r="J33" i="3" s="1"/>
  <c r="L33" i="3" s="1"/>
  <c r="J30" i="3"/>
  <c r="L30" i="3" s="1"/>
  <c r="F27" i="3"/>
  <c r="J27" i="3" s="1"/>
  <c r="L27" i="3" s="1"/>
  <c r="J24" i="3"/>
  <c r="L24" i="3" s="1"/>
  <c r="J28" i="3"/>
  <c r="L28" i="3" s="1"/>
  <c r="J34" i="3"/>
  <c r="L34" i="3" s="1"/>
  <c r="J23" i="3"/>
  <c r="J26" i="3"/>
  <c r="L26" i="3" s="1"/>
  <c r="J25" i="3"/>
  <c r="L25" i="3" s="1"/>
  <c r="J31" i="3"/>
  <c r="L31" i="3" s="1"/>
  <c r="L23" i="3"/>
  <c r="K22" i="3"/>
  <c r="J22" i="3"/>
  <c r="J20" i="3"/>
  <c r="J19" i="3"/>
  <c r="I21" i="3"/>
  <c r="M21" i="3" s="1"/>
  <c r="K21" i="3"/>
  <c r="L21" i="3" s="1"/>
  <c r="K19" i="3"/>
  <c r="K20" i="3"/>
  <c r="I20" i="3"/>
  <c r="M20" i="3" s="1"/>
  <c r="I19" i="3"/>
  <c r="M19" i="3" s="1"/>
  <c r="K18" i="3"/>
  <c r="J18" i="3"/>
  <c r="J17" i="3"/>
  <c r="K17" i="3"/>
  <c r="I17" i="3"/>
  <c r="M17" i="3" s="1"/>
  <c r="J10" i="3"/>
  <c r="J12" i="3"/>
  <c r="J16" i="3"/>
  <c r="K16" i="3"/>
  <c r="I16" i="3"/>
  <c r="M16" i="3" s="1"/>
  <c r="J11" i="3"/>
  <c r="J15" i="3"/>
  <c r="J14" i="3"/>
  <c r="J13" i="3"/>
  <c r="K11" i="3"/>
  <c r="K15" i="3"/>
  <c r="I15" i="3"/>
  <c r="M15" i="3" s="1"/>
  <c r="I11" i="3"/>
  <c r="M11" i="3" s="1"/>
  <c r="K13" i="3"/>
  <c r="K14" i="3"/>
  <c r="K12" i="3"/>
  <c r="I10" i="3"/>
  <c r="M10" i="3" s="1"/>
  <c r="K10" i="3"/>
  <c r="H5" i="1"/>
  <c r="H8" i="1" s="1"/>
  <c r="H9" i="1" s="1"/>
  <c r="D13" i="2"/>
  <c r="H10" i="1"/>
  <c r="D12" i="2"/>
  <c r="D11" i="2"/>
  <c r="D9" i="2"/>
  <c r="D10" i="2"/>
  <c r="D7" i="2"/>
  <c r="D8" i="2"/>
  <c r="D5" i="2"/>
  <c r="D6" i="2"/>
  <c r="D4" i="2"/>
  <c r="D3" i="2"/>
  <c r="L20" i="3" l="1"/>
  <c r="L19" i="3"/>
  <c r="L22" i="3"/>
  <c r="L16" i="3"/>
  <c r="L17" i="3"/>
  <c r="L11" i="3"/>
  <c r="L18" i="3"/>
  <c r="L13" i="3"/>
  <c r="L14" i="3"/>
  <c r="L12" i="3"/>
  <c r="L15" i="3"/>
  <c r="B1" i="3"/>
  <c r="B2" i="3"/>
  <c r="B3" i="3"/>
  <c r="L10" i="3"/>
  <c r="H11" i="1"/>
  <c r="H12" i="1" s="1"/>
  <c r="H13" i="1" s="1"/>
  <c r="B4" i="3" l="1"/>
  <c r="B5" i="3"/>
</calcChain>
</file>

<file path=xl/sharedStrings.xml><?xml version="1.0" encoding="utf-8"?>
<sst xmlns="http://schemas.openxmlformats.org/spreadsheetml/2006/main" count="228" uniqueCount="163">
  <si>
    <t>Price</t>
  </si>
  <si>
    <t>ATR</t>
  </si>
  <si>
    <t>Stop loss</t>
  </si>
  <si>
    <t>TICKR</t>
  </si>
  <si>
    <t>BILI</t>
  </si>
  <si>
    <t>TSHA</t>
  </si>
  <si>
    <t>ADPT</t>
  </si>
  <si>
    <t>GGB</t>
  </si>
  <si>
    <t>UUUU</t>
  </si>
  <si>
    <t>SHOP</t>
  </si>
  <si>
    <t>AMZN</t>
  </si>
  <si>
    <t>FRDV</t>
  </si>
  <si>
    <t>ATAI</t>
  </si>
  <si>
    <t>ANGO</t>
  </si>
  <si>
    <t>NIO</t>
  </si>
  <si>
    <t>TOYO</t>
  </si>
  <si>
    <t>CSX</t>
  </si>
  <si>
    <t>KTOS</t>
  </si>
  <si>
    <t>FIGS</t>
  </si>
  <si>
    <t>CNP</t>
  </si>
  <si>
    <t>MNST</t>
  </si>
  <si>
    <t>Max risk per trade</t>
  </si>
  <si>
    <t>AAUC</t>
  </si>
  <si>
    <t>Shares</t>
  </si>
  <si>
    <t>Stop Loss</t>
  </si>
  <si>
    <t>FMST</t>
  </si>
  <si>
    <t>Account size</t>
  </si>
  <si>
    <t>Total account balance</t>
  </si>
  <si>
    <t>Stock entry price</t>
  </si>
  <si>
    <t>Stop-loss price</t>
  </si>
  <si>
    <t>Available funds</t>
  </si>
  <si>
    <t>Risk per share</t>
  </si>
  <si>
    <t>Entry - Stop</t>
  </si>
  <si>
    <t>Ideal shares (risk-based)</t>
  </si>
  <si>
    <t>Max shares if enough funds</t>
  </si>
  <si>
    <t>Max shares (funds-based)</t>
  </si>
  <si>
    <t>Available funds ÷ Entry price</t>
  </si>
  <si>
    <t>Shares to buy (final)</t>
  </si>
  <si>
    <t>Smaller of the two values</t>
  </si>
  <si>
    <t>Real $ risk</t>
  </si>
  <si>
    <t>Actual $ risk</t>
  </si>
  <si>
    <t>Real % risk</t>
  </si>
  <si>
    <t>Actual % of account risked</t>
  </si>
  <si>
    <t>% risk per trade</t>
  </si>
  <si>
    <t>Entry</t>
  </si>
  <si>
    <t>Input</t>
  </si>
  <si>
    <t>Calculation</t>
  </si>
  <si>
    <t>Description</t>
  </si>
  <si>
    <t>$Risk per trade</t>
  </si>
  <si>
    <t>SOFI</t>
  </si>
  <si>
    <t>DNN</t>
  </si>
  <si>
    <t>CWK</t>
  </si>
  <si>
    <t>GILD</t>
  </si>
  <si>
    <t>INTR</t>
  </si>
  <si>
    <t>KOPN</t>
  </si>
  <si>
    <t>RKT</t>
  </si>
  <si>
    <t>NBIS</t>
  </si>
  <si>
    <t>NRT</t>
  </si>
  <si>
    <t>SEI</t>
  </si>
  <si>
    <t>AMPY</t>
  </si>
  <si>
    <t>Ticker</t>
  </si>
  <si>
    <t>MYSZ</t>
  </si>
  <si>
    <t>TCEHY</t>
  </si>
  <si>
    <t>PATH</t>
  </si>
  <si>
    <t>GFI</t>
  </si>
  <si>
    <t>AMD</t>
  </si>
  <si>
    <t>ITT</t>
  </si>
  <si>
    <t>GXO</t>
  </si>
  <si>
    <t>NVDA</t>
  </si>
  <si>
    <t>CELH</t>
  </si>
  <si>
    <t>QCOM</t>
  </si>
  <si>
    <t>AAOI</t>
  </si>
  <si>
    <t>AAL</t>
  </si>
  <si>
    <t>ARM</t>
  </si>
  <si>
    <t>TSM</t>
  </si>
  <si>
    <t>ATAT</t>
  </si>
  <si>
    <t>ASML</t>
  </si>
  <si>
    <t>APPS</t>
  </si>
  <si>
    <t>FLEX</t>
  </si>
  <si>
    <t>PLTR</t>
  </si>
  <si>
    <t>HAYW</t>
  </si>
  <si>
    <t>Date</t>
  </si>
  <si>
    <t>Entry Price</t>
  </si>
  <si>
    <t>Exit Price</t>
  </si>
  <si>
    <t>Take Profit Target</t>
  </si>
  <si>
    <t>Result(%)</t>
  </si>
  <si>
    <t>Risk(%)</t>
  </si>
  <si>
    <t>Reward(%)</t>
  </si>
  <si>
    <t>R Multiple</t>
  </si>
  <si>
    <t>Trade Outcome</t>
  </si>
  <si>
    <t>Notes</t>
  </si>
  <si>
    <t>Win Rate</t>
  </si>
  <si>
    <t>%of winning trades</t>
  </si>
  <si>
    <t>Avg Win (%)</t>
  </si>
  <si>
    <t>Avg Loss (%)</t>
  </si>
  <si>
    <t>Avg R Multiple</t>
  </si>
  <si>
    <t>Expected Value (EV)</t>
  </si>
  <si>
    <t>The stock is showing a reversal not worth it to keep it until stop loss</t>
  </si>
  <si>
    <t>Bought before Q3 results, big movement involved and too risky. 1 Share remaining</t>
  </si>
  <si>
    <t>HYMC</t>
  </si>
  <si>
    <t>APH</t>
  </si>
  <si>
    <t>Sold in order to release funds and look for better candidates. It presents big volatility</t>
  </si>
  <si>
    <t>GILT</t>
  </si>
  <si>
    <t>Time holded</t>
  </si>
  <si>
    <t>10days</t>
  </si>
  <si>
    <t>5 days</t>
  </si>
  <si>
    <t>Sold for locking profits, the market is down today</t>
  </si>
  <si>
    <t>4 days</t>
  </si>
  <si>
    <t>9 days</t>
  </si>
  <si>
    <t>Sold to prevent big loss in the biggest position (1K)</t>
  </si>
  <si>
    <t>3 weeks</t>
  </si>
  <si>
    <t>Stopped out</t>
  </si>
  <si>
    <t>XLP</t>
  </si>
  <si>
    <t>2 days</t>
  </si>
  <si>
    <t>Sold to secure profits, the stock went down and then recover</t>
  </si>
  <si>
    <t>NIU</t>
  </si>
  <si>
    <t>ROKU</t>
  </si>
  <si>
    <t>1 week</t>
  </si>
  <si>
    <t>1 day</t>
  </si>
  <si>
    <t>Clear downtrend, bad trade</t>
  </si>
  <si>
    <t>XLI</t>
  </si>
  <si>
    <t>CPA</t>
  </si>
  <si>
    <t>ONDS</t>
  </si>
  <si>
    <t>NG</t>
  </si>
  <si>
    <t>TJX</t>
  </si>
  <si>
    <t>COCO</t>
  </si>
  <si>
    <t>UEC</t>
  </si>
  <si>
    <t>GAU</t>
  </si>
  <si>
    <t>DHR</t>
  </si>
  <si>
    <t>Missplaced stop loss, it was adjusted to secure earnings</t>
  </si>
  <si>
    <t>SA</t>
  </si>
  <si>
    <t>SSRM</t>
  </si>
  <si>
    <t>BBAI</t>
  </si>
  <si>
    <t>Stopped out. Unemployment rate announcement unfavorable</t>
  </si>
  <si>
    <t>ABT</t>
  </si>
  <si>
    <t>PFE</t>
  </si>
  <si>
    <t>XLV</t>
  </si>
  <si>
    <t>GSK</t>
  </si>
  <si>
    <t>LGCY</t>
  </si>
  <si>
    <t>ROST</t>
  </si>
  <si>
    <t>FOLD</t>
  </si>
  <si>
    <t>1 month</t>
  </si>
  <si>
    <t>Sold a small position that is not giving big profit</t>
  </si>
  <si>
    <t>CTMX</t>
  </si>
  <si>
    <t>GSM</t>
  </si>
  <si>
    <t>ST</t>
  </si>
  <si>
    <t>Better entry using MACD and RSI</t>
  </si>
  <si>
    <t xml:space="preserve">Partially sold after reaching 16% </t>
  </si>
  <si>
    <t>CDE</t>
  </si>
  <si>
    <t>10 days</t>
  </si>
  <si>
    <t>Stopped out, but with earnings after adjusting the exit according to previous days closing prices</t>
  </si>
  <si>
    <t>INTC</t>
  </si>
  <si>
    <t>14 days</t>
  </si>
  <si>
    <t>Stopped out by trailing stop, few earnings. I need to adjust trailing stop</t>
  </si>
  <si>
    <t>Stopped out. FOMO entry bad placed</t>
  </si>
  <si>
    <t>2 weeks</t>
  </si>
  <si>
    <t>16% earnings sold to release funds</t>
  </si>
  <si>
    <t>Stopped out. MACD uncertain</t>
  </si>
  <si>
    <t>Merger announced too risky to keep it</t>
  </si>
  <si>
    <t>stock is showing weakness. Sold before entering in negative territory</t>
  </si>
  <si>
    <t>5.2% increase. Sold for securing profit</t>
  </si>
  <si>
    <t>IGV</t>
  </si>
  <si>
    <t>amzn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</si>
</sst>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</cellXfs>
  <cellStyles count="1">
    <cellStyle name="Normal" xfId="0" builtinId="0"/>
  </cellStyles>
  <dxfs count="2"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06170-A489-4C8C-B698-A8974D996514}">
  <dimension ref="A1:I84"/>
  <sheetViews>
    <sheetView tabSelected="1" workbookViewId="0">
      <pane xSplit="5" ySplit="13" topLeftCell="F50" activePane="bottomRight" state="frozen"/>
      <selection pane="topRight" activeCell="F1" sqref="F1"/>
      <selection pane="bottomLeft" activeCell="A14" sqref="A14"/>
      <selection pane="bottomRight" activeCell="D9" sqref="D9"/>
    </sheetView>
  </sheetViews>
  <sheetFormatPr baseColWidth="10" defaultRowHeight="15" x14ac:dyDescent="0.25"/>
  <cols>
    <col min="5" max="5" width="11.42578125" customWidth="1"/>
    <col min="7" max="7" width="23.42578125" bestFit="1" customWidth="1"/>
    <col min="9" max="9" width="20.7109375" bestFit="1" customWidth="1"/>
  </cols>
  <sheetData>
    <row r="1" spans="1:9" x14ac:dyDescent="0.25">
      <c r="F1" t="s">
        <v>60</v>
      </c>
      <c r="G1" t="s">
        <v>45</v>
      </c>
      <c r="H1" t="s">
        <v>46</v>
      </c>
      <c r="I1" t="s">
        <v>47</v>
      </c>
    </row>
    <row r="2" spans="1:9" x14ac:dyDescent="0.25">
      <c r="A2" t="s">
        <v>60</v>
      </c>
      <c r="B2" t="s">
        <v>0</v>
      </c>
      <c r="C2" t="s">
        <v>1</v>
      </c>
      <c r="D2" t="s">
        <v>2</v>
      </c>
      <c r="F2" t="s">
        <v>162</v>
      </c>
      <c r="G2" t="s">
        <v>26</v>
      </c>
      <c r="H2">
        <v>9400</v>
      </c>
      <c r="I2" t="s">
        <v>27</v>
      </c>
    </row>
    <row r="3" spans="1:9" x14ac:dyDescent="0.25">
      <c r="A3" t="s">
        <v>4</v>
      </c>
      <c r="B3">
        <v>26.85</v>
      </c>
      <c r="C3">
        <v>1.1000000000000001</v>
      </c>
      <c r="D3">
        <f>B3-(2*C3)</f>
        <v>24.650000000000002</v>
      </c>
      <c r="G3" t="s">
        <v>43</v>
      </c>
      <c r="H3">
        <v>0.5</v>
      </c>
      <c r="I3" t="s">
        <v>27</v>
      </c>
    </row>
    <row r="4" spans="1:9" x14ac:dyDescent="0.25">
      <c r="A4" t="s">
        <v>5</v>
      </c>
      <c r="B4">
        <v>5.04</v>
      </c>
      <c r="C4">
        <v>0.36730000000000002</v>
      </c>
      <c r="D4">
        <f t="shared" ref="D4:D33" si="0">B4-(1.5*C4)</f>
        <v>4.4890499999999998</v>
      </c>
      <c r="G4" t="s">
        <v>44</v>
      </c>
      <c r="H4">
        <f>VLOOKUP($F$2,$A$3:$D$99,2,FALSE)</f>
        <v>231.63</v>
      </c>
      <c r="I4" t="s">
        <v>28</v>
      </c>
    </row>
    <row r="5" spans="1:9" x14ac:dyDescent="0.25">
      <c r="A5" t="s">
        <v>6</v>
      </c>
      <c r="B5">
        <v>17.63</v>
      </c>
      <c r="C5">
        <v>0.79</v>
      </c>
      <c r="D5">
        <f t="shared" si="0"/>
        <v>16.445</v>
      </c>
      <c r="G5" t="s">
        <v>2</v>
      </c>
      <c r="H5">
        <f>VLOOKUP($F$2,$A$3:$D$99,4,FALSE)</f>
        <v>222.435</v>
      </c>
      <c r="I5" t="s">
        <v>29</v>
      </c>
    </row>
    <row r="6" spans="1:9" x14ac:dyDescent="0.25">
      <c r="A6" t="s">
        <v>7</v>
      </c>
      <c r="B6">
        <v>3.27</v>
      </c>
      <c r="C6">
        <v>9.1600000000000001E-2</v>
      </c>
      <c r="D6">
        <f t="shared" si="0"/>
        <v>3.1326000000000001</v>
      </c>
      <c r="G6" t="s">
        <v>30</v>
      </c>
      <c r="H6">
        <v>3600</v>
      </c>
    </row>
    <row r="7" spans="1:9" x14ac:dyDescent="0.25">
      <c r="A7" t="s">
        <v>8</v>
      </c>
      <c r="B7">
        <v>20.38</v>
      </c>
      <c r="C7">
        <v>2.5</v>
      </c>
      <c r="D7">
        <f t="shared" si="0"/>
        <v>16.63</v>
      </c>
      <c r="G7" t="s">
        <v>48</v>
      </c>
      <c r="H7">
        <f>$H$2*(H3/100)</f>
        <v>47</v>
      </c>
    </row>
    <row r="8" spans="1:9" x14ac:dyDescent="0.25">
      <c r="A8" t="s">
        <v>9</v>
      </c>
      <c r="B8">
        <v>152.62</v>
      </c>
      <c r="C8">
        <v>7.35</v>
      </c>
      <c r="D8">
        <f t="shared" si="0"/>
        <v>141.595</v>
      </c>
      <c r="G8" t="s">
        <v>31</v>
      </c>
      <c r="H8">
        <f>H4-H5</f>
        <v>9.1949999999999932</v>
      </c>
      <c r="I8" t="s">
        <v>32</v>
      </c>
    </row>
    <row r="9" spans="1:9" x14ac:dyDescent="0.25">
      <c r="A9" t="s">
        <v>10</v>
      </c>
      <c r="B9">
        <v>231.63</v>
      </c>
      <c r="C9">
        <v>6.13</v>
      </c>
      <c r="D9">
        <f t="shared" si="0"/>
        <v>222.435</v>
      </c>
      <c r="G9" t="s">
        <v>33</v>
      </c>
      <c r="H9">
        <f>H7/H8</f>
        <v>5.1114736269711836</v>
      </c>
      <c r="I9" t="s">
        <v>34</v>
      </c>
    </row>
    <row r="10" spans="1:9" x14ac:dyDescent="0.25">
      <c r="A10" t="s">
        <v>11</v>
      </c>
      <c r="B10">
        <v>17.11</v>
      </c>
      <c r="C10">
        <v>0.28999999999999998</v>
      </c>
      <c r="D10">
        <f t="shared" si="0"/>
        <v>16.675000000000001</v>
      </c>
      <c r="G10" t="s">
        <v>35</v>
      </c>
      <c r="H10">
        <f>H6/H4</f>
        <v>15.542028234684627</v>
      </c>
      <c r="I10" t="s">
        <v>36</v>
      </c>
    </row>
    <row r="11" spans="1:9" x14ac:dyDescent="0.25">
      <c r="A11" t="s">
        <v>12</v>
      </c>
      <c r="B11">
        <v>5.86</v>
      </c>
      <c r="C11">
        <v>0.4304</v>
      </c>
      <c r="D11">
        <f t="shared" si="0"/>
        <v>5.2144000000000004</v>
      </c>
      <c r="G11" t="s">
        <v>37</v>
      </c>
      <c r="H11">
        <f>MIN(H9,H10)</f>
        <v>5.1114736269711836</v>
      </c>
      <c r="I11" t="s">
        <v>38</v>
      </c>
    </row>
    <row r="12" spans="1:9" x14ac:dyDescent="0.25">
      <c r="A12" t="s">
        <v>13</v>
      </c>
      <c r="B12">
        <v>12.05</v>
      </c>
      <c r="C12">
        <v>0.42</v>
      </c>
      <c r="D12">
        <f t="shared" si="0"/>
        <v>11.42</v>
      </c>
      <c r="G12" t="s">
        <v>39</v>
      </c>
      <c r="H12">
        <f>(H4-H5)*H11</f>
        <v>47</v>
      </c>
      <c r="I12" t="s">
        <v>40</v>
      </c>
    </row>
    <row r="13" spans="1:9" x14ac:dyDescent="0.25">
      <c r="A13" t="s">
        <v>14</v>
      </c>
      <c r="B13">
        <v>7.11</v>
      </c>
      <c r="C13">
        <v>0.35</v>
      </c>
      <c r="D13">
        <f t="shared" si="0"/>
        <v>6.5850000000000009</v>
      </c>
      <c r="G13" t="s">
        <v>41</v>
      </c>
      <c r="H13">
        <f>(H12/H2)*100</f>
        <v>0.5</v>
      </c>
      <c r="I13" t="s">
        <v>42</v>
      </c>
    </row>
    <row r="14" spans="1:9" x14ac:dyDescent="0.25">
      <c r="A14" t="s">
        <v>15</v>
      </c>
      <c r="B14">
        <v>7.61</v>
      </c>
      <c r="C14">
        <v>0.53090000000000004</v>
      </c>
      <c r="D14">
        <f t="shared" si="0"/>
        <v>6.81365</v>
      </c>
    </row>
    <row r="15" spans="1:9" x14ac:dyDescent="0.25">
      <c r="A15" t="s">
        <v>16</v>
      </c>
      <c r="B15">
        <v>35.83</v>
      </c>
      <c r="C15">
        <v>0.71</v>
      </c>
      <c r="D15">
        <f t="shared" si="0"/>
        <v>34.765000000000001</v>
      </c>
    </row>
    <row r="16" spans="1:9" x14ac:dyDescent="0.25">
      <c r="A16" t="s">
        <v>17</v>
      </c>
      <c r="B16">
        <v>91.33</v>
      </c>
      <c r="C16">
        <v>5.3</v>
      </c>
      <c r="D16">
        <f t="shared" si="0"/>
        <v>83.38</v>
      </c>
    </row>
    <row r="17" spans="1:4" x14ac:dyDescent="0.25">
      <c r="A17" t="s">
        <v>18</v>
      </c>
      <c r="B17">
        <v>7.99</v>
      </c>
      <c r="C17">
        <v>0.28000000000000003</v>
      </c>
      <c r="D17">
        <f t="shared" si="0"/>
        <v>7.57</v>
      </c>
    </row>
    <row r="18" spans="1:4" x14ac:dyDescent="0.25">
      <c r="A18" t="s">
        <v>19</v>
      </c>
      <c r="B18">
        <v>39.74</v>
      </c>
      <c r="C18">
        <v>0.64</v>
      </c>
      <c r="D18">
        <f t="shared" si="0"/>
        <v>38.78</v>
      </c>
    </row>
    <row r="19" spans="1:4" x14ac:dyDescent="0.25">
      <c r="A19" t="s">
        <v>20</v>
      </c>
      <c r="B19">
        <v>69.73</v>
      </c>
      <c r="C19">
        <v>1.68</v>
      </c>
      <c r="D19">
        <f t="shared" si="0"/>
        <v>67.210000000000008</v>
      </c>
    </row>
    <row r="20" spans="1:4" x14ac:dyDescent="0.25">
      <c r="A20" t="s">
        <v>22</v>
      </c>
      <c r="B20">
        <v>24.59</v>
      </c>
      <c r="C20">
        <v>1.31</v>
      </c>
      <c r="D20">
        <f t="shared" si="0"/>
        <v>22.625</v>
      </c>
    </row>
    <row r="21" spans="1:4" x14ac:dyDescent="0.25">
      <c r="A21" t="s">
        <v>25</v>
      </c>
      <c r="B21">
        <v>3.52</v>
      </c>
      <c r="C21">
        <v>0.36909999999999998</v>
      </c>
      <c r="D21">
        <f t="shared" si="0"/>
        <v>2.9663500000000003</v>
      </c>
    </row>
    <row r="22" spans="1:4" x14ac:dyDescent="0.25">
      <c r="A22" t="s">
        <v>49</v>
      </c>
      <c r="B22">
        <v>26.61</v>
      </c>
      <c r="C22">
        <v>1.77</v>
      </c>
      <c r="D22">
        <f t="shared" si="0"/>
        <v>23.954999999999998</v>
      </c>
    </row>
    <row r="23" spans="1:4" x14ac:dyDescent="0.25">
      <c r="A23" t="s">
        <v>50</v>
      </c>
      <c r="B23">
        <v>2.95</v>
      </c>
      <c r="C23">
        <v>0.23599999999999999</v>
      </c>
      <c r="D23">
        <f t="shared" si="0"/>
        <v>2.5960000000000001</v>
      </c>
    </row>
    <row r="24" spans="1:4" x14ac:dyDescent="0.25">
      <c r="A24" t="s">
        <v>51</v>
      </c>
      <c r="B24">
        <v>16.739999999999998</v>
      </c>
      <c r="C24">
        <v>0.57999999999999996</v>
      </c>
      <c r="D24">
        <f>B24-(1.5*C24)</f>
        <v>15.87</v>
      </c>
    </row>
    <row r="25" spans="1:4" x14ac:dyDescent="0.25">
      <c r="A25" t="s">
        <v>52</v>
      </c>
      <c r="B25">
        <v>120.06</v>
      </c>
      <c r="C25">
        <v>3.33</v>
      </c>
      <c r="D25">
        <f>B25-(1*C25)</f>
        <v>116.73</v>
      </c>
    </row>
    <row r="26" spans="1:4" x14ac:dyDescent="0.25">
      <c r="A26" t="s">
        <v>53</v>
      </c>
      <c r="B26">
        <v>9.2899999999999991</v>
      </c>
      <c r="C26">
        <v>0.34610000000000002</v>
      </c>
      <c r="D26">
        <f>B26-(1.5*C26)</f>
        <v>8.7708499999999994</v>
      </c>
    </row>
    <row r="27" spans="1:4" x14ac:dyDescent="0.25">
      <c r="A27" t="s">
        <v>54</v>
      </c>
      <c r="B27">
        <v>3.17</v>
      </c>
      <c r="C27">
        <v>0.28710000000000002</v>
      </c>
      <c r="D27">
        <f t="shared" si="0"/>
        <v>2.73935</v>
      </c>
    </row>
    <row r="28" spans="1:4" x14ac:dyDescent="0.25">
      <c r="A28" t="s">
        <v>55</v>
      </c>
      <c r="B28">
        <v>16.260000000000002</v>
      </c>
      <c r="C28">
        <v>0.88</v>
      </c>
      <c r="D28">
        <f t="shared" si="0"/>
        <v>14.940000000000001</v>
      </c>
    </row>
    <row r="29" spans="1:4" x14ac:dyDescent="0.25">
      <c r="A29" t="s">
        <v>56</v>
      </c>
      <c r="B29">
        <v>129.83000000000001</v>
      </c>
      <c r="C29">
        <v>9.1300000000000008</v>
      </c>
      <c r="D29">
        <f>B29-(1*C29)</f>
        <v>120.70000000000002</v>
      </c>
    </row>
    <row r="30" spans="1:4" x14ac:dyDescent="0.25">
      <c r="A30" t="s">
        <v>57</v>
      </c>
      <c r="B30">
        <v>6.32</v>
      </c>
      <c r="C30">
        <v>0.21</v>
      </c>
      <c r="D30">
        <f t="shared" si="0"/>
        <v>6.0049999999999999</v>
      </c>
    </row>
    <row r="31" spans="1:4" x14ac:dyDescent="0.25">
      <c r="A31" t="s">
        <v>58</v>
      </c>
      <c r="B31">
        <v>53.59</v>
      </c>
      <c r="C31">
        <v>3.71</v>
      </c>
      <c r="D31">
        <f t="shared" si="0"/>
        <v>48.025000000000006</v>
      </c>
    </row>
    <row r="32" spans="1:4" x14ac:dyDescent="0.25">
      <c r="A32" t="s">
        <v>59</v>
      </c>
      <c r="B32">
        <v>4.54</v>
      </c>
      <c r="C32">
        <v>0.3</v>
      </c>
      <c r="D32">
        <f t="shared" si="0"/>
        <v>4.09</v>
      </c>
    </row>
    <row r="33" spans="1:4" x14ac:dyDescent="0.25">
      <c r="A33" t="s">
        <v>61</v>
      </c>
      <c r="B33">
        <v>1.18</v>
      </c>
      <c r="C33">
        <v>5.3999999999999999E-2</v>
      </c>
      <c r="D33">
        <f t="shared" si="0"/>
        <v>1.099</v>
      </c>
    </row>
    <row r="34" spans="1:4" x14ac:dyDescent="0.25">
      <c r="A34" t="s">
        <v>62</v>
      </c>
      <c r="B34">
        <v>80.010000000000005</v>
      </c>
      <c r="C34">
        <v>1.88</v>
      </c>
      <c r="D34">
        <f>B34-(1.5*C34)</f>
        <v>77.190000000000012</v>
      </c>
    </row>
    <row r="35" spans="1:4" x14ac:dyDescent="0.25">
      <c r="A35" t="s">
        <v>63</v>
      </c>
      <c r="B35">
        <v>16.420000000000002</v>
      </c>
      <c r="C35">
        <v>0.98</v>
      </c>
      <c r="D35">
        <f>B35-(1*C35)</f>
        <v>15.440000000000001</v>
      </c>
    </row>
    <row r="36" spans="1:4" x14ac:dyDescent="0.25">
      <c r="A36" t="s">
        <v>64</v>
      </c>
      <c r="B36">
        <v>37.96</v>
      </c>
      <c r="C36">
        <v>2.0299999999999998</v>
      </c>
      <c r="D36">
        <f>B36-(1*C36)</f>
        <v>35.93</v>
      </c>
    </row>
    <row r="37" spans="1:4" x14ac:dyDescent="0.25">
      <c r="A37" t="s">
        <v>65</v>
      </c>
      <c r="B37">
        <v>239.81</v>
      </c>
      <c r="C37">
        <v>13.41</v>
      </c>
      <c r="D37">
        <f>B37-(1.5*C37)</f>
        <v>219.69499999999999</v>
      </c>
    </row>
    <row r="38" spans="1:4" x14ac:dyDescent="0.25">
      <c r="A38" t="s">
        <v>66</v>
      </c>
      <c r="B38">
        <v>186.35</v>
      </c>
      <c r="C38">
        <v>5.4</v>
      </c>
      <c r="D38">
        <f>B38-(2*C38)</f>
        <v>175.54999999999998</v>
      </c>
    </row>
    <row r="39" spans="1:4" x14ac:dyDescent="0.25">
      <c r="A39" t="s">
        <v>67</v>
      </c>
      <c r="B39">
        <v>55.58</v>
      </c>
      <c r="C39">
        <v>1.73</v>
      </c>
      <c r="D39">
        <f>B39-(1*C39)</f>
        <v>53.85</v>
      </c>
    </row>
    <row r="40" spans="1:4" x14ac:dyDescent="0.25">
      <c r="A40" t="s">
        <v>68</v>
      </c>
      <c r="B40">
        <v>194.3</v>
      </c>
      <c r="C40">
        <v>7.59</v>
      </c>
      <c r="D40">
        <f>B40-(2*C40)</f>
        <v>179.12</v>
      </c>
    </row>
    <row r="41" spans="1:4" x14ac:dyDescent="0.25">
      <c r="A41" t="s">
        <v>69</v>
      </c>
      <c r="B41">
        <v>60.28</v>
      </c>
      <c r="C41">
        <v>2.33</v>
      </c>
      <c r="D41">
        <f>B41-(1.5*C41)</f>
        <v>56.785000000000004</v>
      </c>
    </row>
    <row r="42" spans="1:4" x14ac:dyDescent="0.25">
      <c r="A42" t="s">
        <v>70</v>
      </c>
      <c r="B42">
        <v>176.97</v>
      </c>
      <c r="C42">
        <v>6.16</v>
      </c>
      <c r="D42">
        <f>B42-(1.5*C42)</f>
        <v>167.73</v>
      </c>
    </row>
    <row r="43" spans="1:4" x14ac:dyDescent="0.25">
      <c r="A43" t="s">
        <v>71</v>
      </c>
      <c r="B43">
        <v>31.05</v>
      </c>
      <c r="C43">
        <v>3.19</v>
      </c>
      <c r="D43">
        <f>B43-(1*C43)</f>
        <v>27.86</v>
      </c>
    </row>
    <row r="44" spans="1:4" x14ac:dyDescent="0.25">
      <c r="A44" t="s">
        <v>72</v>
      </c>
      <c r="B44">
        <v>13.48</v>
      </c>
      <c r="C44">
        <v>0.57999999999999996</v>
      </c>
      <c r="D44">
        <f>B44-(1.5*C44)</f>
        <v>12.610000000000001</v>
      </c>
    </row>
    <row r="45" spans="1:4" x14ac:dyDescent="0.25">
      <c r="A45" t="s">
        <v>73</v>
      </c>
      <c r="B45">
        <v>161.91</v>
      </c>
      <c r="C45">
        <v>7.77</v>
      </c>
      <c r="D45">
        <f>B45-(1*C45)</f>
        <v>154.13999999999999</v>
      </c>
    </row>
    <row r="46" spans="1:4" x14ac:dyDescent="0.25">
      <c r="A46" t="s">
        <v>74</v>
      </c>
      <c r="B46">
        <v>292.64</v>
      </c>
      <c r="C46">
        <v>9.1199999999999992</v>
      </c>
      <c r="D46">
        <f>B46-(2*C46)</f>
        <v>274.39999999999998</v>
      </c>
    </row>
    <row r="47" spans="1:4" x14ac:dyDescent="0.25">
      <c r="A47" t="s">
        <v>75</v>
      </c>
      <c r="B47">
        <v>40.33</v>
      </c>
      <c r="C47">
        <v>1.57</v>
      </c>
      <c r="D47">
        <f>B47-(1.5*C47)</f>
        <v>37.975000000000001</v>
      </c>
    </row>
    <row r="48" spans="1:4" x14ac:dyDescent="0.25">
      <c r="A48" t="s">
        <v>76</v>
      </c>
      <c r="B48">
        <v>1023.19</v>
      </c>
      <c r="C48">
        <v>25.4</v>
      </c>
      <c r="D48">
        <f>B48-(1.5*C48)</f>
        <v>985.09</v>
      </c>
    </row>
    <row r="49" spans="1:4" x14ac:dyDescent="0.25">
      <c r="A49" t="s">
        <v>77</v>
      </c>
      <c r="B49">
        <v>6.02</v>
      </c>
      <c r="C49">
        <v>0.58540000000000003</v>
      </c>
      <c r="D49">
        <f>B49-(1.5*C49)</f>
        <v>5.1418999999999997</v>
      </c>
    </row>
    <row r="50" spans="1:4" x14ac:dyDescent="0.25">
      <c r="A50" t="s">
        <v>78</v>
      </c>
      <c r="B50">
        <v>61.6</v>
      </c>
      <c r="C50">
        <v>2.72</v>
      </c>
      <c r="D50">
        <f>B50-(2*C50)</f>
        <v>56.160000000000004</v>
      </c>
    </row>
    <row r="51" spans="1:4" x14ac:dyDescent="0.25">
      <c r="A51" t="s">
        <v>19</v>
      </c>
      <c r="B51">
        <v>39.479999999999997</v>
      </c>
      <c r="C51">
        <v>0.62</v>
      </c>
      <c r="D51">
        <f>B51-(1.2*C51)</f>
        <v>38.735999999999997</v>
      </c>
    </row>
    <row r="52" spans="1:4" x14ac:dyDescent="0.25">
      <c r="A52" t="s">
        <v>79</v>
      </c>
      <c r="B52">
        <v>169.86</v>
      </c>
      <c r="C52">
        <v>8.98</v>
      </c>
      <c r="D52">
        <f>B52-(1.5*C52)</f>
        <v>156.39000000000001</v>
      </c>
    </row>
    <row r="53" spans="1:4" x14ac:dyDescent="0.25">
      <c r="A53" t="s">
        <v>80</v>
      </c>
      <c r="B53">
        <v>16.29</v>
      </c>
      <c r="C53">
        <v>0.45</v>
      </c>
      <c r="D53">
        <f>B53-(1.5*C53)</f>
        <v>15.614999999999998</v>
      </c>
    </row>
    <row r="54" spans="1:4" x14ac:dyDescent="0.25">
      <c r="A54" t="s">
        <v>99</v>
      </c>
      <c r="B54">
        <v>8.32</v>
      </c>
      <c r="C54">
        <v>1.01</v>
      </c>
      <c r="D54">
        <f>B54-(1.25*C54)</f>
        <v>7.0575000000000001</v>
      </c>
    </row>
    <row r="55" spans="1:4" x14ac:dyDescent="0.25">
      <c r="A55" t="s">
        <v>102</v>
      </c>
      <c r="B55">
        <v>11.61</v>
      </c>
      <c r="C55">
        <v>0.59</v>
      </c>
      <c r="D55">
        <f>B55-(2*C55)</f>
        <v>10.43</v>
      </c>
    </row>
    <row r="56" spans="1:4" x14ac:dyDescent="0.25">
      <c r="A56" t="s">
        <v>112</v>
      </c>
      <c r="B56">
        <v>77.52</v>
      </c>
      <c r="C56">
        <v>0.82</v>
      </c>
      <c r="D56">
        <f t="shared" ref="D56:D61" si="1">B56-(1.5*C56)</f>
        <v>76.289999999999992</v>
      </c>
    </row>
    <row r="57" spans="1:4" x14ac:dyDescent="0.25">
      <c r="A57" t="s">
        <v>100</v>
      </c>
      <c r="B57">
        <v>135.29</v>
      </c>
      <c r="C57">
        <v>4.41</v>
      </c>
      <c r="D57">
        <f t="shared" si="1"/>
        <v>128.67499999999998</v>
      </c>
    </row>
    <row r="58" spans="1:4" x14ac:dyDescent="0.25">
      <c r="A58" t="s">
        <v>115</v>
      </c>
      <c r="B58">
        <v>4.13</v>
      </c>
      <c r="C58">
        <v>0.24379999999999999</v>
      </c>
      <c r="D58">
        <f t="shared" si="1"/>
        <v>3.7643</v>
      </c>
    </row>
    <row r="59" spans="1:4" x14ac:dyDescent="0.25">
      <c r="A59" t="s">
        <v>116</v>
      </c>
      <c r="B59">
        <v>99.09</v>
      </c>
      <c r="C59">
        <v>4.87</v>
      </c>
      <c r="D59">
        <f>B59-(1.5*C59)</f>
        <v>91.784999999999997</v>
      </c>
    </row>
    <row r="60" spans="1:4" x14ac:dyDescent="0.25">
      <c r="A60" t="s">
        <v>120</v>
      </c>
      <c r="B60">
        <v>150.19</v>
      </c>
      <c r="C60">
        <v>2.2200000000000002</v>
      </c>
      <c r="D60">
        <f>B60-(1*C60)</f>
        <v>147.97</v>
      </c>
    </row>
    <row r="61" spans="1:4" x14ac:dyDescent="0.25">
      <c r="A61" t="s">
        <v>121</v>
      </c>
      <c r="B61">
        <v>125.37</v>
      </c>
      <c r="C61">
        <v>3.25</v>
      </c>
      <c r="D61">
        <f t="shared" si="1"/>
        <v>120.495</v>
      </c>
    </row>
    <row r="62" spans="1:4" x14ac:dyDescent="0.25">
      <c r="A62" t="s">
        <v>122</v>
      </c>
      <c r="B62">
        <v>8.52</v>
      </c>
      <c r="C62">
        <v>1.03</v>
      </c>
      <c r="D62">
        <f>B62-(1*C62)</f>
        <v>7.4899999999999993</v>
      </c>
    </row>
    <row r="63" spans="1:4" x14ac:dyDescent="0.25">
      <c r="A63" t="s">
        <v>123</v>
      </c>
      <c r="B63">
        <v>9.09</v>
      </c>
      <c r="C63">
        <v>0.49840000000000001</v>
      </c>
      <c r="D63">
        <f>B63-(2*C63)</f>
        <v>8.0931999999999995</v>
      </c>
    </row>
    <row r="64" spans="1:4" x14ac:dyDescent="0.25">
      <c r="A64" t="s">
        <v>124</v>
      </c>
      <c r="B64">
        <v>154.36000000000001</v>
      </c>
      <c r="C64">
        <v>2.94</v>
      </c>
      <c r="D64">
        <f>B64-(1*C64)</f>
        <v>151.42000000000002</v>
      </c>
    </row>
    <row r="65" spans="1:4" x14ac:dyDescent="0.25">
      <c r="A65" t="s">
        <v>125</v>
      </c>
      <c r="B65">
        <v>53.9</v>
      </c>
      <c r="C65">
        <v>2</v>
      </c>
      <c r="D65">
        <f>B65-(1*C65)</f>
        <v>51.9</v>
      </c>
    </row>
    <row r="66" spans="1:4" x14ac:dyDescent="0.25">
      <c r="A66" t="s">
        <v>126</v>
      </c>
      <c r="B66">
        <v>11.98</v>
      </c>
      <c r="C66">
        <v>1.06</v>
      </c>
      <c r="D66">
        <f>B66-(1.2*C66)</f>
        <v>10.708</v>
      </c>
    </row>
    <row r="67" spans="1:4" x14ac:dyDescent="0.25">
      <c r="A67" t="s">
        <v>127</v>
      </c>
      <c r="B67">
        <v>2.17</v>
      </c>
      <c r="C67">
        <v>0.1605</v>
      </c>
      <c r="D67">
        <f t="shared" ref="D67:D73" si="2">B67-(2*C67)</f>
        <v>1.849</v>
      </c>
    </row>
    <row r="68" spans="1:4" x14ac:dyDescent="0.25">
      <c r="A68" t="s">
        <v>128</v>
      </c>
      <c r="B68">
        <v>227.09</v>
      </c>
      <c r="C68">
        <v>5.88</v>
      </c>
      <c r="D68">
        <f>B68-(1.5*C68)</f>
        <v>218.27</v>
      </c>
    </row>
    <row r="69" spans="1:4" x14ac:dyDescent="0.25">
      <c r="A69" t="s">
        <v>130</v>
      </c>
      <c r="B69">
        <v>25.69</v>
      </c>
      <c r="C69">
        <v>1.24</v>
      </c>
      <c r="D69">
        <f t="shared" si="2"/>
        <v>23.21</v>
      </c>
    </row>
    <row r="70" spans="1:4" x14ac:dyDescent="0.25">
      <c r="A70" t="s">
        <v>131</v>
      </c>
      <c r="B70">
        <v>23.23</v>
      </c>
      <c r="C70">
        <v>1.17</v>
      </c>
      <c r="D70">
        <f>B70-(1*C70)</f>
        <v>22.060000000000002</v>
      </c>
    </row>
    <row r="71" spans="1:4" x14ac:dyDescent="0.25">
      <c r="A71" t="s">
        <v>132</v>
      </c>
      <c r="B71">
        <v>6.25</v>
      </c>
      <c r="C71">
        <v>0.6633</v>
      </c>
      <c r="D71">
        <f t="shared" si="2"/>
        <v>4.9234</v>
      </c>
    </row>
    <row r="72" spans="1:4" x14ac:dyDescent="0.25">
      <c r="A72" t="s">
        <v>134</v>
      </c>
      <c r="B72">
        <v>126.22</v>
      </c>
      <c r="C72">
        <v>2.76</v>
      </c>
      <c r="D72">
        <f>B72-(1*C72)</f>
        <v>123.46</v>
      </c>
    </row>
    <row r="73" spans="1:4" x14ac:dyDescent="0.25">
      <c r="A73" t="s">
        <v>135</v>
      </c>
      <c r="B73">
        <v>25.03</v>
      </c>
      <c r="C73">
        <v>0.64</v>
      </c>
      <c r="D73">
        <f t="shared" si="2"/>
        <v>23.75</v>
      </c>
    </row>
    <row r="74" spans="1:4" x14ac:dyDescent="0.25">
      <c r="A74" t="s">
        <v>136</v>
      </c>
      <c r="B74">
        <v>153.4</v>
      </c>
      <c r="C74">
        <v>2.0499999999999998</v>
      </c>
      <c r="D74">
        <f>B74-(1.5*C74)</f>
        <v>150.32500000000002</v>
      </c>
    </row>
    <row r="75" spans="1:4" x14ac:dyDescent="0.25">
      <c r="A75" t="s">
        <v>137</v>
      </c>
      <c r="B75">
        <v>47.19</v>
      </c>
      <c r="C75">
        <v>0.96</v>
      </c>
      <c r="D75">
        <f>B75-(1*C75)</f>
        <v>46.23</v>
      </c>
    </row>
    <row r="76" spans="1:4" x14ac:dyDescent="0.25">
      <c r="A76" t="s">
        <v>138</v>
      </c>
      <c r="B76">
        <v>10.24</v>
      </c>
      <c r="C76">
        <v>0.65</v>
      </c>
      <c r="D76">
        <f>B76-(1.5*C76)</f>
        <v>9.2650000000000006</v>
      </c>
    </row>
    <row r="77" spans="1:4" x14ac:dyDescent="0.25">
      <c r="A77" t="s">
        <v>139</v>
      </c>
      <c r="B77">
        <v>174</v>
      </c>
      <c r="C77">
        <v>3.46</v>
      </c>
      <c r="D77">
        <f>B77-(1.5*C77)</f>
        <v>168.81</v>
      </c>
    </row>
    <row r="78" spans="1:4" x14ac:dyDescent="0.25">
      <c r="A78" t="s">
        <v>140</v>
      </c>
      <c r="B78">
        <v>9.84</v>
      </c>
      <c r="C78">
        <v>0.40200000000000002</v>
      </c>
      <c r="D78">
        <f>B78-(1*C78)</f>
        <v>9.4380000000000006</v>
      </c>
    </row>
    <row r="79" spans="1:4" x14ac:dyDescent="0.25">
      <c r="A79" t="s">
        <v>143</v>
      </c>
      <c r="B79">
        <v>4.16</v>
      </c>
      <c r="C79">
        <v>0.30859999999999999</v>
      </c>
      <c r="D79">
        <f>B79-(1.5*C79)</f>
        <v>3.6971000000000003</v>
      </c>
    </row>
    <row r="80" spans="1:4" x14ac:dyDescent="0.25">
      <c r="A80" t="s">
        <v>144</v>
      </c>
      <c r="B80">
        <v>4.1900000000000004</v>
      </c>
      <c r="C80">
        <v>0.27489999999999998</v>
      </c>
      <c r="D80">
        <f>B80-(1.5*C80)</f>
        <v>3.7776500000000004</v>
      </c>
    </row>
    <row r="81" spans="1:4" x14ac:dyDescent="0.25">
      <c r="A81" t="s">
        <v>145</v>
      </c>
      <c r="B81">
        <v>32.51</v>
      </c>
      <c r="C81">
        <v>1.1299999999999999</v>
      </c>
      <c r="D81">
        <f>B81-(1.5*C81)</f>
        <v>30.814999999999998</v>
      </c>
    </row>
    <row r="82" spans="1:4" x14ac:dyDescent="0.25">
      <c r="A82" t="s">
        <v>148</v>
      </c>
      <c r="B82">
        <v>16.88</v>
      </c>
      <c r="C82">
        <v>1.03</v>
      </c>
      <c r="D82">
        <f>B82-(1.5*C82)</f>
        <v>15.334999999999999</v>
      </c>
    </row>
    <row r="83" spans="1:4" x14ac:dyDescent="0.25">
      <c r="A83" t="s">
        <v>151</v>
      </c>
      <c r="B83">
        <v>40.590000000000003</v>
      </c>
      <c r="C83">
        <v>1.81</v>
      </c>
      <c r="D83">
        <f>B83-(2*C83)</f>
        <v>36.970000000000006</v>
      </c>
    </row>
    <row r="84" spans="1:4" x14ac:dyDescent="0.25">
      <c r="A84" t="s">
        <v>161</v>
      </c>
      <c r="B84">
        <v>104.36</v>
      </c>
      <c r="C84">
        <v>2.34</v>
      </c>
      <c r="D84">
        <f>B84-(1.5*C84)</f>
        <v>100.85</v>
      </c>
    </row>
  </sheetData>
  <conditionalFormatting sqref="A2:D499">
    <cfRule type="expression" dxfId="1" priority="1">
      <formula>$F$2=$A2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0B143-FB10-4924-B38A-19EA27551BED}">
  <dimension ref="A1:D13"/>
  <sheetViews>
    <sheetView topLeftCell="A2" workbookViewId="0">
      <selection activeCell="C3" sqref="C3"/>
    </sheetView>
  </sheetViews>
  <sheetFormatPr baseColWidth="10" defaultRowHeight="15" x14ac:dyDescent="0.25"/>
  <sheetData>
    <row r="1" spans="1:4" ht="30" x14ac:dyDescent="0.25">
      <c r="A1" s="1" t="s">
        <v>21</v>
      </c>
      <c r="B1">
        <v>50</v>
      </c>
    </row>
    <row r="2" spans="1:4" x14ac:dyDescent="0.25">
      <c r="A2" t="s">
        <v>3</v>
      </c>
      <c r="B2" t="s">
        <v>0</v>
      </c>
      <c r="C2" t="s">
        <v>24</v>
      </c>
      <c r="D2" t="s">
        <v>23</v>
      </c>
    </row>
    <row r="3" spans="1:4" x14ac:dyDescent="0.25">
      <c r="A3" t="s">
        <v>22</v>
      </c>
      <c r="B3">
        <f>VLOOKUP(A3,'Stop Loss Calculator'!$A$3:$D$99,2,FALSE)</f>
        <v>24.59</v>
      </c>
      <c r="C3">
        <f>VLOOKUP(A3,'Stop Loss Calculator'!$A$3:$D$99,4,FALSE)</f>
        <v>22.625</v>
      </c>
      <c r="D3">
        <f t="shared" ref="D3:D12" si="0">50/(B3-C3)</f>
        <v>25.445292620865143</v>
      </c>
    </row>
    <row r="4" spans="1:4" x14ac:dyDescent="0.25">
      <c r="A4" t="s">
        <v>10</v>
      </c>
      <c r="B4">
        <f>VLOOKUP(A4,'Stop Loss Calculator'!$A$3:$D$99,2,FALSE)</f>
        <v>231.63</v>
      </c>
      <c r="C4">
        <f>VLOOKUP(A4,'Stop Loss Calculator'!$A$3:$D$99,4,FALSE)</f>
        <v>222.435</v>
      </c>
      <c r="D4">
        <f t="shared" si="0"/>
        <v>5.4377379010331746</v>
      </c>
    </row>
    <row r="5" spans="1:4" x14ac:dyDescent="0.25">
      <c r="A5" t="s">
        <v>25</v>
      </c>
      <c r="B5">
        <f>VLOOKUP(A5,'Stop Loss Calculator'!$A$3:$D$99,2,FALSE)</f>
        <v>3.52</v>
      </c>
      <c r="C5">
        <f>VLOOKUP(A5,'Stop Loss Calculator'!$A$3:$D$99,4,FALSE)</f>
        <v>2.9663500000000003</v>
      </c>
      <c r="D5">
        <f t="shared" si="0"/>
        <v>90.309762485324697</v>
      </c>
    </row>
    <row r="6" spans="1:4" x14ac:dyDescent="0.25">
      <c r="A6" t="s">
        <v>49</v>
      </c>
      <c r="B6">
        <f>VLOOKUP(A6,'Stop Loss Calculator'!$A$3:$D$99,2,FALSE)</f>
        <v>26.61</v>
      </c>
      <c r="C6">
        <f>VLOOKUP(A6,'Stop Loss Calculator'!$A$3:$D$99,4,FALSE)</f>
        <v>23.954999999999998</v>
      </c>
      <c r="D6">
        <f t="shared" si="0"/>
        <v>18.832391713747636</v>
      </c>
    </row>
    <row r="7" spans="1:4" x14ac:dyDescent="0.25">
      <c r="A7" t="s">
        <v>50</v>
      </c>
      <c r="B7">
        <f>VLOOKUP(A7,'Stop Loss Calculator'!$A$3:$D$99,2,FALSE)</f>
        <v>2.95</v>
      </c>
      <c r="C7">
        <f>VLOOKUP(A7,'Stop Loss Calculator'!$A$3:$D$99,4,FALSE)</f>
        <v>2.5960000000000001</v>
      </c>
      <c r="D7">
        <f t="shared" si="0"/>
        <v>141.24293785310732</v>
      </c>
    </row>
    <row r="8" spans="1:4" x14ac:dyDescent="0.25">
      <c r="A8" t="s">
        <v>51</v>
      </c>
      <c r="B8">
        <f>VLOOKUP(A8,'Stop Loss Calculator'!$A$3:$D$99,2,FALSE)</f>
        <v>16.739999999999998</v>
      </c>
      <c r="C8">
        <f>VLOOKUP(A8,'Stop Loss Calculator'!$A$3:$D$99,4,FALSE)</f>
        <v>15.87</v>
      </c>
      <c r="D8">
        <f t="shared" si="0"/>
        <v>57.471264367816147</v>
      </c>
    </row>
    <row r="9" spans="1:4" x14ac:dyDescent="0.25">
      <c r="A9" t="s">
        <v>55</v>
      </c>
      <c r="B9">
        <f>VLOOKUP(A9,'Stop Loss Calculator'!$A$3:$D$99,2,FALSE)</f>
        <v>16.260000000000002</v>
      </c>
      <c r="C9">
        <f>VLOOKUP(A9,'Stop Loss Calculator'!$A$3:$D$99,4,FALSE)</f>
        <v>14.940000000000001</v>
      </c>
      <c r="D9">
        <f t="shared" si="0"/>
        <v>37.878787878787868</v>
      </c>
    </row>
    <row r="10" spans="1:4" x14ac:dyDescent="0.25">
      <c r="A10" t="s">
        <v>15</v>
      </c>
      <c r="B10">
        <f>VLOOKUP(A10,'Stop Loss Calculator'!$A$3:$D$99,2,FALSE)</f>
        <v>7.61</v>
      </c>
      <c r="C10">
        <f>VLOOKUP(A10,'Stop Loss Calculator'!$A$3:$D$99,4,FALSE)</f>
        <v>6.81365</v>
      </c>
      <c r="D10">
        <f t="shared" si="0"/>
        <v>62.786463238525748</v>
      </c>
    </row>
    <row r="11" spans="1:4" x14ac:dyDescent="0.25">
      <c r="A11" t="s">
        <v>56</v>
      </c>
      <c r="B11">
        <f>VLOOKUP(A11,'Stop Loss Calculator'!$A$3:$D$99,2,FALSE)</f>
        <v>129.83000000000001</v>
      </c>
      <c r="C11">
        <f>VLOOKUP(A11,'Stop Loss Calculator'!$A$3:$D$99,4,FALSE)</f>
        <v>120.70000000000002</v>
      </c>
      <c r="D11">
        <f t="shared" si="0"/>
        <v>5.4764512595837926</v>
      </c>
    </row>
    <row r="12" spans="1:4" x14ac:dyDescent="0.25">
      <c r="A12" t="s">
        <v>6</v>
      </c>
      <c r="B12">
        <f>VLOOKUP(A12,'Stop Loss Calculator'!$A$3:$D$99,2,FALSE)</f>
        <v>17.63</v>
      </c>
      <c r="C12">
        <f>VLOOKUP(A12,'Stop Loss Calculator'!$A$3:$D$99,4,FALSE)</f>
        <v>16.445</v>
      </c>
      <c r="D12">
        <f t="shared" si="0"/>
        <v>42.194092827004262</v>
      </c>
    </row>
    <row r="13" spans="1:4" x14ac:dyDescent="0.25">
      <c r="A13" t="s">
        <v>59</v>
      </c>
      <c r="B13">
        <f>VLOOKUP(A13,'Stop Loss Calculator'!$A$3:$D$99,2,FALSE)</f>
        <v>4.54</v>
      </c>
      <c r="C13">
        <f>VLOOKUP(A13,'Stop Loss Calculator'!$A$3:$D$99,4,FALSE)</f>
        <v>4.09</v>
      </c>
      <c r="D13">
        <f t="shared" ref="D13" si="1">50/(B13-C13)</f>
        <v>111.11111111111107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A77BB-0F93-4C87-9B0A-B8954405005E}">
  <dimension ref="A1:N36"/>
  <sheetViews>
    <sheetView workbookViewId="0">
      <pane xSplit="2" ySplit="4" topLeftCell="C17" activePane="bottomRight" state="frozen"/>
      <selection pane="topRight" activeCell="C1" sqref="C1"/>
      <selection pane="bottomLeft" activeCell="A5" sqref="A5"/>
      <selection pane="bottomRight" activeCell="A36" sqref="A36"/>
    </sheetView>
  </sheetViews>
  <sheetFormatPr baseColWidth="10" defaultRowHeight="15" x14ac:dyDescent="0.25"/>
  <cols>
    <col min="1" max="1" width="22.28515625" bestFit="1" customWidth="1"/>
    <col min="3" max="3" width="27.85546875" bestFit="1" customWidth="1"/>
    <col min="4" max="4" width="27.85546875" customWidth="1"/>
    <col min="8" max="8" width="16.140625" customWidth="1"/>
    <col min="14" max="14" width="86" bestFit="1" customWidth="1"/>
  </cols>
  <sheetData>
    <row r="1" spans="1:14" x14ac:dyDescent="0.25">
      <c r="A1" t="s">
        <v>91</v>
      </c>
      <c r="B1">
        <f>COUNTIF(M:M,"Win")/COUNTA(M:M)</f>
        <v>0.5</v>
      </c>
      <c r="C1" t="s">
        <v>92</v>
      </c>
    </row>
    <row r="2" spans="1:14" x14ac:dyDescent="0.25">
      <c r="A2" t="s">
        <v>93</v>
      </c>
      <c r="B2">
        <f>AVERAGEIF(M:M,"Win",I:I)</f>
        <v>7.6328359280818336</v>
      </c>
    </row>
    <row r="3" spans="1:14" x14ac:dyDescent="0.25">
      <c r="A3" t="s">
        <v>94</v>
      </c>
      <c r="B3">
        <f>AVERAGEIF(M:M,"Loss",I:I)</f>
        <v>-5.4059804874115303</v>
      </c>
    </row>
    <row r="4" spans="1:14" x14ac:dyDescent="0.25">
      <c r="A4" t="s">
        <v>95</v>
      </c>
      <c r="B4">
        <f>AVERAGE(L:L)</f>
        <v>0.31136268428506697</v>
      </c>
    </row>
    <row r="5" spans="1:14" x14ac:dyDescent="0.25">
      <c r="A5" t="s">
        <v>96</v>
      </c>
      <c r="B5">
        <f>(B1*B2+(1-B1)*B3)</f>
        <v>1.1134277203351517</v>
      </c>
    </row>
    <row r="9" spans="1:14" x14ac:dyDescent="0.25">
      <c r="A9" t="s">
        <v>81</v>
      </c>
      <c r="B9" t="s">
        <v>60</v>
      </c>
      <c r="C9" t="s">
        <v>82</v>
      </c>
      <c r="D9" t="s">
        <v>1</v>
      </c>
      <c r="E9" t="s">
        <v>83</v>
      </c>
      <c r="F9" t="s">
        <v>24</v>
      </c>
      <c r="G9" t="s">
        <v>103</v>
      </c>
      <c r="H9" t="s">
        <v>84</v>
      </c>
      <c r="I9" t="s">
        <v>85</v>
      </c>
      <c r="J9" t="s">
        <v>86</v>
      </c>
      <c r="K9" t="s">
        <v>87</v>
      </c>
      <c r="L9" t="s">
        <v>88</v>
      </c>
      <c r="M9" t="s">
        <v>89</v>
      </c>
      <c r="N9" t="s">
        <v>90</v>
      </c>
    </row>
    <row r="10" spans="1:14" x14ac:dyDescent="0.25">
      <c r="A10" s="2">
        <v>45972</v>
      </c>
      <c r="B10" t="s">
        <v>10</v>
      </c>
      <c r="C10">
        <v>225.6</v>
      </c>
      <c r="D10">
        <f>VLOOKUP(B10,'Stop Loss Calculator'!$A$3:$D$99,3,FALSE)</f>
        <v>6.13</v>
      </c>
      <c r="E10">
        <v>248.87</v>
      </c>
      <c r="F10">
        <f>C10-(1.5*D10)</f>
        <v>216.405</v>
      </c>
      <c r="G10" t="s">
        <v>108</v>
      </c>
      <c r="H10">
        <v>249.48</v>
      </c>
      <c r="I10">
        <f t="shared" ref="I10:I17" si="0">(E10-C10)/C10*(100)</f>
        <v>10.314716312056742</v>
      </c>
      <c r="J10">
        <f t="shared" ref="J10:J17" si="1">(C10-F10)/C10*100</f>
        <v>4.0757978723404227</v>
      </c>
      <c r="K10">
        <f t="shared" ref="K10:K17" si="2">(E10-C10)/C10*100</f>
        <v>10.314716312056742</v>
      </c>
      <c r="L10">
        <f t="shared" ref="L10:L17" si="3">K10/J10</f>
        <v>2.5307232191408402</v>
      </c>
      <c r="M10" t="str">
        <f t="shared" ref="M10:M17" si="4">IF(I10&gt;0,"Win","Loss")</f>
        <v>Win</v>
      </c>
      <c r="N10" t="s">
        <v>98</v>
      </c>
    </row>
    <row r="11" spans="1:14" x14ac:dyDescent="0.25">
      <c r="A11" s="2">
        <v>45941</v>
      </c>
      <c r="B11" t="s">
        <v>14</v>
      </c>
      <c r="C11">
        <f>VLOOKUP(B11,'Stop Loss Calculator'!$A$3:$D$99,2,FALSE)</f>
        <v>7.11</v>
      </c>
      <c r="D11">
        <f>VLOOKUP(B11,'Stop Loss Calculator'!$A$3:$D$99,3,FALSE)</f>
        <v>0.35</v>
      </c>
      <c r="E11">
        <v>6.68</v>
      </c>
      <c r="F11">
        <f t="shared" ref="F11:F36" si="5">C11-(1.5*D11)</f>
        <v>6.5850000000000009</v>
      </c>
      <c r="G11" t="s">
        <v>105</v>
      </c>
      <c r="H11">
        <v>8.18</v>
      </c>
      <c r="I11">
        <f t="shared" si="0"/>
        <v>-6.0478199718706129</v>
      </c>
      <c r="J11">
        <f t="shared" si="1"/>
        <v>7.3839662447257304</v>
      </c>
      <c r="K11">
        <f t="shared" si="2"/>
        <v>-6.0478199718706129</v>
      </c>
      <c r="L11">
        <f t="shared" si="3"/>
        <v>-0.81904761904762102</v>
      </c>
      <c r="M11" t="str">
        <f t="shared" si="4"/>
        <v>Loss</v>
      </c>
      <c r="N11" t="s">
        <v>97</v>
      </c>
    </row>
    <row r="12" spans="1:14" x14ac:dyDescent="0.25">
      <c r="A12" s="2">
        <v>45973</v>
      </c>
      <c r="B12" t="s">
        <v>10</v>
      </c>
      <c r="C12">
        <v>225.6</v>
      </c>
      <c r="D12">
        <f>VLOOKUP(B12,'Stop Loss Calculator'!$A$3:$D$99,3,FALSE)</f>
        <v>6.13</v>
      </c>
      <c r="E12">
        <v>245.68</v>
      </c>
      <c r="F12">
        <f t="shared" si="5"/>
        <v>216.405</v>
      </c>
      <c r="G12" t="s">
        <v>104</v>
      </c>
      <c r="H12">
        <v>9.18</v>
      </c>
      <c r="I12">
        <f t="shared" si="0"/>
        <v>8.9007092198581628</v>
      </c>
      <c r="J12">
        <f t="shared" si="1"/>
        <v>4.0757978723404227</v>
      </c>
      <c r="K12">
        <f t="shared" si="2"/>
        <v>8.9007092198581628</v>
      </c>
      <c r="L12">
        <f t="shared" si="3"/>
        <v>2.1837955410549243</v>
      </c>
      <c r="M12" t="str">
        <f t="shared" si="4"/>
        <v>Win</v>
      </c>
      <c r="N12" t="s">
        <v>101</v>
      </c>
    </row>
    <row r="13" spans="1:14" x14ac:dyDescent="0.25">
      <c r="A13" s="2">
        <v>45974</v>
      </c>
      <c r="B13" t="s">
        <v>65</v>
      </c>
      <c r="C13">
        <v>239.81</v>
      </c>
      <c r="D13">
        <f>VLOOKUP(B13,'Stop Loss Calculator'!$A$3:$D$99,3,FALSE)</f>
        <v>13.41</v>
      </c>
      <c r="E13">
        <v>253.21</v>
      </c>
      <c r="F13">
        <f t="shared" si="5"/>
        <v>219.69499999999999</v>
      </c>
      <c r="G13" t="s">
        <v>105</v>
      </c>
      <c r="H13">
        <v>10.18</v>
      </c>
      <c r="I13">
        <f t="shared" si="0"/>
        <v>5.5877569742713007</v>
      </c>
      <c r="J13">
        <f t="shared" si="1"/>
        <v>8.3878904132438219</v>
      </c>
      <c r="K13">
        <f t="shared" si="2"/>
        <v>5.5877569742713007</v>
      </c>
      <c r="L13">
        <f t="shared" si="3"/>
        <v>0.66616952522992789</v>
      </c>
      <c r="M13" t="str">
        <f t="shared" si="4"/>
        <v>Win</v>
      </c>
      <c r="N13" t="s">
        <v>106</v>
      </c>
    </row>
    <row r="14" spans="1:14" x14ac:dyDescent="0.25">
      <c r="A14" s="2">
        <v>45974</v>
      </c>
      <c r="B14" t="s">
        <v>76</v>
      </c>
      <c r="C14">
        <v>1023.19</v>
      </c>
      <c r="D14">
        <f>VLOOKUP(B14,'Stop Loss Calculator'!$A$3:$D$99,3,FALSE)</f>
        <v>25.4</v>
      </c>
      <c r="E14">
        <v>1012.66</v>
      </c>
      <c r="F14">
        <f t="shared" si="5"/>
        <v>985.09</v>
      </c>
      <c r="G14" t="s">
        <v>107</v>
      </c>
      <c r="H14">
        <v>1033.19</v>
      </c>
      <c r="I14">
        <f t="shared" si="0"/>
        <v>-1.0291343738699641</v>
      </c>
      <c r="J14">
        <f t="shared" si="1"/>
        <v>3.7236485892160811</v>
      </c>
      <c r="K14">
        <f t="shared" si="2"/>
        <v>-1.0291343738699641</v>
      </c>
      <c r="L14">
        <f t="shared" si="3"/>
        <v>-0.2763779527559076</v>
      </c>
      <c r="M14" t="str">
        <f t="shared" si="4"/>
        <v>Loss</v>
      </c>
      <c r="N14" t="s">
        <v>109</v>
      </c>
    </row>
    <row r="15" spans="1:14" x14ac:dyDescent="0.25">
      <c r="A15" s="2">
        <v>45974</v>
      </c>
      <c r="B15" t="s">
        <v>16</v>
      </c>
      <c r="C15">
        <v>35.83</v>
      </c>
      <c r="D15">
        <f>VLOOKUP(B15,'Stop Loss Calculator'!$A$3:$D$99,3,FALSE)</f>
        <v>0.71</v>
      </c>
      <c r="E15">
        <v>34.770000000000003</v>
      </c>
      <c r="F15">
        <f t="shared" si="5"/>
        <v>34.765000000000001</v>
      </c>
      <c r="G15" t="s">
        <v>110</v>
      </c>
      <c r="I15">
        <f t="shared" si="0"/>
        <v>-2.9584147362545221</v>
      </c>
      <c r="J15">
        <f t="shared" si="1"/>
        <v>2.9723695227462956</v>
      </c>
      <c r="K15">
        <f t="shared" si="2"/>
        <v>-2.9584147362545221</v>
      </c>
      <c r="L15">
        <f t="shared" si="3"/>
        <v>-0.99530516431924654</v>
      </c>
      <c r="M15" t="str">
        <f t="shared" si="4"/>
        <v>Loss</v>
      </c>
      <c r="N15" t="s">
        <v>111</v>
      </c>
    </row>
    <row r="16" spans="1:14" x14ac:dyDescent="0.25">
      <c r="A16" s="2">
        <v>45975</v>
      </c>
      <c r="B16" t="s">
        <v>99</v>
      </c>
      <c r="C16">
        <v>8.32</v>
      </c>
      <c r="D16">
        <f>VLOOKUP(B16,'Stop Loss Calculator'!$A$3:$D$99,3,FALSE)</f>
        <v>1.01</v>
      </c>
      <c r="E16">
        <v>9.06</v>
      </c>
      <c r="F16">
        <f t="shared" si="5"/>
        <v>6.8049999999999997</v>
      </c>
      <c r="G16" t="s">
        <v>113</v>
      </c>
      <c r="I16">
        <f t="shared" si="0"/>
        <v>8.8942307692307701</v>
      </c>
      <c r="J16">
        <f t="shared" si="1"/>
        <v>18.209134615384624</v>
      </c>
      <c r="K16">
        <f t="shared" si="2"/>
        <v>8.8942307692307701</v>
      </c>
      <c r="L16">
        <f t="shared" si="3"/>
        <v>0.48844884488448825</v>
      </c>
      <c r="M16" t="str">
        <f t="shared" si="4"/>
        <v>Win</v>
      </c>
      <c r="N16" t="s">
        <v>114</v>
      </c>
    </row>
    <row r="17" spans="1:14" x14ac:dyDescent="0.25">
      <c r="A17" s="2">
        <v>45978</v>
      </c>
      <c r="B17" t="s">
        <v>80</v>
      </c>
      <c r="C17">
        <v>16.260000000000002</v>
      </c>
      <c r="D17">
        <f>VLOOKUP(B17,'Stop Loss Calculator'!$A$3:$D$99,3,FALSE)</f>
        <v>0.45</v>
      </c>
      <c r="E17">
        <v>15.39</v>
      </c>
      <c r="F17">
        <f t="shared" si="5"/>
        <v>15.585000000000001</v>
      </c>
      <c r="G17" t="s">
        <v>117</v>
      </c>
      <c r="I17">
        <f t="shared" si="0"/>
        <v>-5.3505535055350615</v>
      </c>
      <c r="J17">
        <f t="shared" si="1"/>
        <v>4.1512915129151331</v>
      </c>
      <c r="K17">
        <f t="shared" si="2"/>
        <v>-5.3505535055350615</v>
      </c>
      <c r="L17">
        <f t="shared" si="3"/>
        <v>-1.2888888888888892</v>
      </c>
      <c r="M17" t="str">
        <f t="shared" si="4"/>
        <v>Loss</v>
      </c>
      <c r="N17" t="s">
        <v>111</v>
      </c>
    </row>
    <row r="18" spans="1:14" x14ac:dyDescent="0.25">
      <c r="A18" s="2">
        <v>45978</v>
      </c>
      <c r="B18" t="s">
        <v>115</v>
      </c>
      <c r="C18">
        <v>4.13</v>
      </c>
      <c r="D18">
        <f>VLOOKUP(B18,'Stop Loss Calculator'!$A$3:$D$99,3,FALSE)</f>
        <v>0.24379999999999999</v>
      </c>
      <c r="E18">
        <v>3.76</v>
      </c>
      <c r="F18">
        <f t="shared" si="5"/>
        <v>3.7643</v>
      </c>
      <c r="G18" t="s">
        <v>118</v>
      </c>
      <c r="I18">
        <f t="shared" ref="I18:I21" si="6">(E18-C18)/C18*(100)</f>
        <v>-8.9588377723970982</v>
      </c>
      <c r="J18">
        <f t="shared" ref="J18:J20" si="7">(C18-F18)/C18*100</f>
        <v>8.8547215496368015</v>
      </c>
      <c r="K18">
        <f t="shared" ref="K18:K20" si="8">(E18-C18)/C18*100</f>
        <v>-8.9588377723970982</v>
      </c>
      <c r="L18">
        <f t="shared" ref="L18:L20" si="9">K18/J18</f>
        <v>-1.0117582718074931</v>
      </c>
      <c r="M18" t="str">
        <f t="shared" ref="M18:M20" si="10">IF(I18&gt;0,"Win","Loss")</f>
        <v>Loss</v>
      </c>
      <c r="N18" t="s">
        <v>111</v>
      </c>
    </row>
    <row r="19" spans="1:14" x14ac:dyDescent="0.25">
      <c r="A19" s="2">
        <v>45979</v>
      </c>
      <c r="B19" t="s">
        <v>75</v>
      </c>
      <c r="C19">
        <v>40.33</v>
      </c>
      <c r="D19">
        <f>VLOOKUP(B19,'Stop Loss Calculator'!$A$3:$D$99,3,FALSE)</f>
        <v>1.57</v>
      </c>
      <c r="E19">
        <v>37.86</v>
      </c>
      <c r="F19">
        <f t="shared" si="5"/>
        <v>37.975000000000001</v>
      </c>
      <c r="G19" t="s">
        <v>107</v>
      </c>
      <c r="I19">
        <f t="shared" si="6"/>
        <v>-6.1244730969501591</v>
      </c>
      <c r="J19">
        <f t="shared" si="7"/>
        <v>5.8393255640961987</v>
      </c>
      <c r="K19">
        <f t="shared" si="8"/>
        <v>-6.1244730969501591</v>
      </c>
      <c r="L19">
        <f t="shared" si="9"/>
        <v>-1.0488322717622092</v>
      </c>
      <c r="M19" t="str">
        <f t="shared" si="10"/>
        <v>Loss</v>
      </c>
      <c r="N19" t="s">
        <v>111</v>
      </c>
    </row>
    <row r="20" spans="1:14" x14ac:dyDescent="0.25">
      <c r="A20" s="2">
        <v>45979</v>
      </c>
      <c r="B20" t="s">
        <v>112</v>
      </c>
      <c r="C20">
        <v>77.12</v>
      </c>
      <c r="D20">
        <f>VLOOKUP(B20,'Stop Loss Calculator'!$A$3:$D$99,3,FALSE)</f>
        <v>0.82</v>
      </c>
      <c r="E20">
        <v>76.739999999999995</v>
      </c>
      <c r="F20">
        <f t="shared" si="5"/>
        <v>75.89</v>
      </c>
      <c r="G20" t="s">
        <v>105</v>
      </c>
      <c r="I20">
        <f t="shared" si="6"/>
        <v>-0.49273858921163072</v>
      </c>
      <c r="J20">
        <f t="shared" si="7"/>
        <v>1.5949170124481378</v>
      </c>
      <c r="K20">
        <f t="shared" si="8"/>
        <v>-0.49273858921163072</v>
      </c>
      <c r="L20">
        <f t="shared" si="9"/>
        <v>-0.30894308943090115</v>
      </c>
      <c r="M20" t="str">
        <f t="shared" si="10"/>
        <v>Loss</v>
      </c>
      <c r="N20" t="s">
        <v>119</v>
      </c>
    </row>
    <row r="21" spans="1:14" x14ac:dyDescent="0.25">
      <c r="A21" s="2">
        <v>45979</v>
      </c>
      <c r="B21" t="s">
        <v>121</v>
      </c>
      <c r="C21">
        <v>125.37</v>
      </c>
      <c r="D21">
        <f>VLOOKUP(B21,'Stop Loss Calculator'!$A$3:$D$99,3,FALSE)</f>
        <v>3.25</v>
      </c>
      <c r="E21">
        <v>122.21</v>
      </c>
      <c r="F21">
        <f t="shared" si="5"/>
        <v>120.495</v>
      </c>
      <c r="G21" t="s">
        <v>110</v>
      </c>
      <c r="I21">
        <f t="shared" si="6"/>
        <v>-2.5205392039562979</v>
      </c>
      <c r="J21">
        <f t="shared" ref="J21" si="11">(C21-F21)/C21*100</f>
        <v>3.8884900693945923</v>
      </c>
      <c r="K21">
        <f t="shared" ref="K21" si="12">(E21-C21)/C21*100</f>
        <v>-2.5205392039562979</v>
      </c>
      <c r="L21">
        <f t="shared" ref="L21" si="13">K21/J21</f>
        <v>-0.64820512820513032</v>
      </c>
      <c r="M21" t="str">
        <f t="shared" ref="M21" si="14">IF(I21&gt;0,"Win","Loss")</f>
        <v>Loss</v>
      </c>
      <c r="N21" t="s">
        <v>111</v>
      </c>
    </row>
    <row r="22" spans="1:14" x14ac:dyDescent="0.25">
      <c r="A22" s="2">
        <v>45980</v>
      </c>
      <c r="B22" t="s">
        <v>53</v>
      </c>
      <c r="C22">
        <v>9.2899999999999991</v>
      </c>
      <c r="D22">
        <f>VLOOKUP(B22,'Stop Loss Calculator'!$A$3:$D$99,3,FALSE)</f>
        <v>0.34610000000000002</v>
      </c>
      <c r="E22">
        <v>8.77</v>
      </c>
      <c r="F22">
        <f t="shared" si="5"/>
        <v>8.7708499999999994</v>
      </c>
      <c r="G22" t="s">
        <v>110</v>
      </c>
      <c r="I22">
        <f t="shared" ref="I22" si="15">(E22-C22)/C22*(100)</f>
        <v>-5.5974165769644735</v>
      </c>
      <c r="J22">
        <f t="shared" ref="J22" si="16">(C22-F22)/C22*100</f>
        <v>5.5882669537136689</v>
      </c>
      <c r="K22">
        <f t="shared" ref="K22" si="17">(E22-C22)/C22*100</f>
        <v>-5.5974165769644735</v>
      </c>
      <c r="L22">
        <f t="shared" ref="L22" si="18">K22/J22</f>
        <v>-1.0016372917268608</v>
      </c>
      <c r="M22" t="str">
        <f t="shared" ref="M22" si="19">IF(I22&gt;0,"Win","Loss")</f>
        <v>Loss</v>
      </c>
      <c r="N22" t="s">
        <v>111</v>
      </c>
    </row>
    <row r="23" spans="1:14" x14ac:dyDescent="0.25">
      <c r="A23" s="2">
        <v>45981</v>
      </c>
      <c r="B23" t="s">
        <v>52</v>
      </c>
      <c r="C23">
        <v>120.06</v>
      </c>
      <c r="D23">
        <f>VLOOKUP(B23,'Stop Loss Calculator'!$A$3:$D$99,3,FALSE)</f>
        <v>3.33</v>
      </c>
      <c r="E23">
        <v>127.82</v>
      </c>
      <c r="F23">
        <f t="shared" si="5"/>
        <v>115.065</v>
      </c>
      <c r="G23" t="s">
        <v>110</v>
      </c>
      <c r="I23">
        <f t="shared" ref="I23:I24" si="20">(E23-C23)/C23*(100)</f>
        <v>6.4634349491920622</v>
      </c>
      <c r="J23">
        <f t="shared" ref="J23:J24" si="21">(C23-F23)/C23*100</f>
        <v>4.1604197901049513</v>
      </c>
      <c r="K23">
        <f t="shared" ref="K23:K24" si="22">(E23-C23)/C23*100</f>
        <v>6.4634349491920622</v>
      </c>
      <c r="L23">
        <f t="shared" ref="L23:L24" si="23">K23/J23</f>
        <v>1.5535535535535501</v>
      </c>
      <c r="M23" t="str">
        <f t="shared" ref="M23:M24" si="24">IF(I23&gt;0,"Win","Loss")</f>
        <v>Win</v>
      </c>
      <c r="N23" t="s">
        <v>129</v>
      </c>
    </row>
    <row r="24" spans="1:14" x14ac:dyDescent="0.25">
      <c r="A24" s="2">
        <v>45981</v>
      </c>
      <c r="B24" t="s">
        <v>4</v>
      </c>
      <c r="C24">
        <v>26.85</v>
      </c>
      <c r="D24">
        <f>VLOOKUP(B24,'Stop Loss Calculator'!$A$3:$D$99,3,FALSE)</f>
        <v>1.1000000000000001</v>
      </c>
      <c r="E24">
        <v>24.65</v>
      </c>
      <c r="F24">
        <f t="shared" si="5"/>
        <v>25.200000000000003</v>
      </c>
      <c r="I24">
        <f t="shared" si="20"/>
        <v>-8.1936685288640696</v>
      </c>
      <c r="J24">
        <f t="shared" si="21"/>
        <v>6.1452513966480389</v>
      </c>
      <c r="K24">
        <f t="shared" si="22"/>
        <v>-8.1936685288640696</v>
      </c>
      <c r="L24">
        <f t="shared" si="23"/>
        <v>-1.3333333333333361</v>
      </c>
      <c r="M24" t="str">
        <f t="shared" si="24"/>
        <v>Loss</v>
      </c>
      <c r="N24" t="s">
        <v>133</v>
      </c>
    </row>
    <row r="25" spans="1:14" x14ac:dyDescent="0.25">
      <c r="A25" s="2">
        <v>45981</v>
      </c>
      <c r="B25" t="s">
        <v>78</v>
      </c>
      <c r="C25">
        <v>61.6</v>
      </c>
      <c r="D25">
        <f>VLOOKUP(B25,'Stop Loss Calculator'!$A$3:$D$99,3,FALSE)</f>
        <v>2.72</v>
      </c>
      <c r="E25">
        <v>56.16</v>
      </c>
      <c r="F25">
        <f t="shared" si="5"/>
        <v>57.52</v>
      </c>
      <c r="I25">
        <f t="shared" ref="I25:I36" si="25">(E25-C25)/C25*(100)</f>
        <v>-8.8311688311688386</v>
      </c>
      <c r="J25">
        <f t="shared" ref="J25:J36" si="26">(C25-F25)/C25*100</f>
        <v>6.62337662337662</v>
      </c>
      <c r="K25">
        <f t="shared" ref="K25:K36" si="27">(E25-C25)/C25*100</f>
        <v>-8.8311688311688386</v>
      </c>
      <c r="L25">
        <f t="shared" ref="L25:L36" si="28">K25/J25</f>
        <v>-1.333333333333335</v>
      </c>
      <c r="M25" t="str">
        <f t="shared" ref="M25:M36" si="29">IF(I25&gt;0,"Win","Loss")</f>
        <v>Loss</v>
      </c>
      <c r="N25" t="s">
        <v>133</v>
      </c>
    </row>
    <row r="26" spans="1:14" x14ac:dyDescent="0.25">
      <c r="A26" s="2">
        <v>45986</v>
      </c>
      <c r="B26" t="s">
        <v>137</v>
      </c>
      <c r="C26">
        <v>44.15</v>
      </c>
      <c r="D26">
        <f>VLOOKUP(B26,'Stop Loss Calculator'!$A$3:$D$99,3,FALSE)</f>
        <v>0.96</v>
      </c>
      <c r="E26">
        <v>47.42</v>
      </c>
      <c r="F26">
        <f t="shared" si="5"/>
        <v>42.71</v>
      </c>
      <c r="G26" t="s">
        <v>141</v>
      </c>
      <c r="I26">
        <f t="shared" si="25"/>
        <v>7.4065685164212987</v>
      </c>
      <c r="J26">
        <f t="shared" si="26"/>
        <v>3.2616081540203803</v>
      </c>
      <c r="K26">
        <f t="shared" si="27"/>
        <v>7.4065685164212987</v>
      </c>
      <c r="L26">
        <f t="shared" si="28"/>
        <v>2.2708333333333388</v>
      </c>
      <c r="M26" t="str">
        <f t="shared" si="29"/>
        <v>Win</v>
      </c>
      <c r="N26" t="s">
        <v>142</v>
      </c>
    </row>
    <row r="27" spans="1:14" x14ac:dyDescent="0.25">
      <c r="A27" s="2">
        <v>45987</v>
      </c>
      <c r="B27" t="s">
        <v>125</v>
      </c>
      <c r="C27">
        <v>46.33</v>
      </c>
      <c r="D27">
        <f>VLOOKUP(B27,'Stop Loss Calculator'!$A$3:$D$99,3,FALSE)</f>
        <v>2</v>
      </c>
      <c r="E27">
        <v>52.95</v>
      </c>
      <c r="F27">
        <f t="shared" si="5"/>
        <v>43.33</v>
      </c>
      <c r="G27" t="s">
        <v>117</v>
      </c>
      <c r="I27">
        <f t="shared" si="25"/>
        <v>14.288797755234201</v>
      </c>
      <c r="J27">
        <f t="shared" si="26"/>
        <v>6.4752859917979713</v>
      </c>
      <c r="K27">
        <f t="shared" si="27"/>
        <v>14.288797755234201</v>
      </c>
      <c r="L27">
        <f t="shared" si="28"/>
        <v>2.2066666666666683</v>
      </c>
      <c r="M27" t="str">
        <f t="shared" si="29"/>
        <v>Win</v>
      </c>
      <c r="N27" t="s">
        <v>146</v>
      </c>
    </row>
    <row r="28" spans="1:14" x14ac:dyDescent="0.25">
      <c r="A28" s="2">
        <v>45987</v>
      </c>
      <c r="B28" t="s">
        <v>125</v>
      </c>
      <c r="C28">
        <v>46.33</v>
      </c>
      <c r="D28">
        <f>VLOOKUP(B28,'Stop Loss Calculator'!$A$3:$D$99,3,FALSE)</f>
        <v>2</v>
      </c>
      <c r="E28">
        <v>53.84</v>
      </c>
      <c r="F28">
        <f t="shared" si="5"/>
        <v>43.33</v>
      </c>
      <c r="G28" t="s">
        <v>117</v>
      </c>
      <c r="I28">
        <f t="shared" si="25"/>
        <v>16.209799266134269</v>
      </c>
      <c r="J28">
        <f t="shared" si="26"/>
        <v>6.4752859917979713</v>
      </c>
      <c r="K28">
        <f t="shared" si="27"/>
        <v>16.209799266134269</v>
      </c>
      <c r="L28">
        <f t="shared" si="28"/>
        <v>2.5033333333333356</v>
      </c>
      <c r="M28" t="str">
        <f t="shared" si="29"/>
        <v>Win</v>
      </c>
      <c r="N28" t="s">
        <v>147</v>
      </c>
    </row>
    <row r="29" spans="1:14" x14ac:dyDescent="0.25">
      <c r="A29" s="2">
        <v>45992</v>
      </c>
      <c r="B29" t="s">
        <v>136</v>
      </c>
      <c r="C29">
        <v>153.49</v>
      </c>
      <c r="D29">
        <f>VLOOKUP(B29,'Stop Loss Calculator'!$A$3:$D$99,3,FALSE)</f>
        <v>2.0499999999999998</v>
      </c>
      <c r="E29">
        <v>155.84</v>
      </c>
      <c r="F29">
        <f t="shared" si="5"/>
        <v>150.41500000000002</v>
      </c>
      <c r="G29" t="s">
        <v>149</v>
      </c>
      <c r="I29">
        <f t="shared" si="25"/>
        <v>1.5310443677112477</v>
      </c>
      <c r="J29">
        <f t="shared" si="26"/>
        <v>2.0033878428562044</v>
      </c>
      <c r="K29">
        <f t="shared" si="27"/>
        <v>1.5310443677112477</v>
      </c>
      <c r="L29">
        <f t="shared" si="28"/>
        <v>0.76422764227642381</v>
      </c>
      <c r="M29" t="str">
        <f t="shared" si="29"/>
        <v>Win</v>
      </c>
      <c r="N29" t="s">
        <v>150</v>
      </c>
    </row>
    <row r="30" spans="1:14" x14ac:dyDescent="0.25">
      <c r="A30" s="2">
        <v>45993</v>
      </c>
      <c r="B30" t="s">
        <v>124</v>
      </c>
      <c r="C30">
        <v>146.08000000000001</v>
      </c>
      <c r="D30">
        <f>VLOOKUP(B30,'Stop Loss Calculator'!$A$3:$D$99,3,FALSE)</f>
        <v>2.94</v>
      </c>
      <c r="E30">
        <v>150.07</v>
      </c>
      <c r="F30">
        <f t="shared" si="5"/>
        <v>141.67000000000002</v>
      </c>
      <c r="G30" t="s">
        <v>152</v>
      </c>
      <c r="I30">
        <f t="shared" si="25"/>
        <v>2.7313800657174014</v>
      </c>
      <c r="J30">
        <f t="shared" si="26"/>
        <v>3.0188937568455616</v>
      </c>
      <c r="K30">
        <f t="shared" si="27"/>
        <v>2.7313800657174014</v>
      </c>
      <c r="L30">
        <f t="shared" si="28"/>
        <v>0.90476190476190099</v>
      </c>
      <c r="M30" t="str">
        <f t="shared" si="29"/>
        <v>Win</v>
      </c>
      <c r="N30" t="s">
        <v>153</v>
      </c>
    </row>
    <row r="31" spans="1:14" x14ac:dyDescent="0.25">
      <c r="A31" s="2">
        <v>45993</v>
      </c>
      <c r="B31" t="s">
        <v>122</v>
      </c>
      <c r="C31">
        <v>8.52</v>
      </c>
      <c r="D31">
        <f>VLOOKUP(B31,'Stop Loss Calculator'!$A$3:$D$99,3,FALSE)</f>
        <v>1.03</v>
      </c>
      <c r="E31">
        <v>7.47</v>
      </c>
      <c r="F31">
        <f t="shared" si="5"/>
        <v>6.9749999999999996</v>
      </c>
      <c r="G31" t="s">
        <v>105</v>
      </c>
      <c r="I31">
        <f t="shared" si="25"/>
        <v>-12.32394366197183</v>
      </c>
      <c r="J31">
        <f t="shared" si="26"/>
        <v>18.133802816901408</v>
      </c>
      <c r="K31">
        <f t="shared" si="27"/>
        <v>-12.32394366197183</v>
      </c>
      <c r="L31">
        <f t="shared" si="28"/>
        <v>-0.67961165048543681</v>
      </c>
      <c r="M31" t="str">
        <f t="shared" si="29"/>
        <v>Loss</v>
      </c>
      <c r="N31" t="s">
        <v>154</v>
      </c>
    </row>
    <row r="32" spans="1:14" x14ac:dyDescent="0.25">
      <c r="A32" s="2">
        <v>45993</v>
      </c>
      <c r="B32" t="s">
        <v>125</v>
      </c>
      <c r="C32">
        <v>46.33</v>
      </c>
      <c r="D32">
        <f>VLOOKUP(B32,'Stop Loss Calculator'!$A$3:$D$99,3,FALSE)</f>
        <v>2</v>
      </c>
      <c r="E32">
        <v>54.09</v>
      </c>
      <c r="F32">
        <f t="shared" si="5"/>
        <v>43.33</v>
      </c>
      <c r="G32" t="s">
        <v>155</v>
      </c>
      <c r="I32">
        <f t="shared" si="25"/>
        <v>16.749406432117432</v>
      </c>
      <c r="J32">
        <f t="shared" si="26"/>
        <v>6.4752859917979713</v>
      </c>
      <c r="K32">
        <f t="shared" si="27"/>
        <v>16.749406432117432</v>
      </c>
      <c r="L32">
        <f t="shared" si="28"/>
        <v>2.5866666666666687</v>
      </c>
      <c r="M32" t="str">
        <f t="shared" si="29"/>
        <v>Win</v>
      </c>
      <c r="N32" t="s">
        <v>156</v>
      </c>
    </row>
    <row r="33" spans="1:14" x14ac:dyDescent="0.25">
      <c r="A33" s="2">
        <v>45993</v>
      </c>
      <c r="B33" t="s">
        <v>19</v>
      </c>
      <c r="C33">
        <v>39.479999999999997</v>
      </c>
      <c r="D33">
        <f>VLOOKUP(B33,'Stop Loss Calculator'!$A$3:$D$99,3,FALSE)</f>
        <v>0.64</v>
      </c>
      <c r="E33">
        <v>38.75</v>
      </c>
      <c r="F33">
        <f t="shared" si="5"/>
        <v>38.519999999999996</v>
      </c>
      <c r="G33" t="s">
        <v>155</v>
      </c>
      <c r="I33">
        <f t="shared" si="25"/>
        <v>-1.8490374873353519</v>
      </c>
      <c r="J33">
        <f t="shared" si="26"/>
        <v>2.4316109422492427</v>
      </c>
      <c r="K33">
        <f t="shared" si="27"/>
        <v>-1.8490374873353519</v>
      </c>
      <c r="L33">
        <f t="shared" si="28"/>
        <v>-0.76041666666666263</v>
      </c>
      <c r="M33" t="str">
        <f t="shared" si="29"/>
        <v>Loss</v>
      </c>
      <c r="N33" t="s">
        <v>157</v>
      </c>
    </row>
    <row r="34" spans="1:14" x14ac:dyDescent="0.25">
      <c r="A34" s="2">
        <v>45993</v>
      </c>
      <c r="B34" t="s">
        <v>51</v>
      </c>
      <c r="C34">
        <v>16.100000000000001</v>
      </c>
      <c r="D34">
        <f>VLOOKUP(B34,'Stop Loss Calculator'!$A$3:$D$99,3,FALSE)</f>
        <v>0.57999999999999996</v>
      </c>
      <c r="E34">
        <v>16.39</v>
      </c>
      <c r="F34">
        <f t="shared" si="5"/>
        <v>15.230000000000002</v>
      </c>
      <c r="G34" t="s">
        <v>105</v>
      </c>
      <c r="I34">
        <f t="shared" si="25"/>
        <v>1.8012422360248395</v>
      </c>
      <c r="J34">
        <f t="shared" si="26"/>
        <v>5.4037267080745286</v>
      </c>
      <c r="K34">
        <f t="shared" si="27"/>
        <v>1.8012422360248395</v>
      </c>
      <c r="L34">
        <f t="shared" si="28"/>
        <v>0.3333333333333327</v>
      </c>
      <c r="M34" t="str">
        <f t="shared" si="29"/>
        <v>Win</v>
      </c>
      <c r="N34" t="s">
        <v>158</v>
      </c>
    </row>
    <row r="35" spans="1:14" x14ac:dyDescent="0.25">
      <c r="A35" s="2">
        <v>45993</v>
      </c>
      <c r="B35" t="s">
        <v>134</v>
      </c>
      <c r="C35">
        <v>126.22</v>
      </c>
      <c r="D35">
        <f>VLOOKUP(B35,'Stop Loss Calculator'!$A$3:$D$99,3,FALSE)</f>
        <v>2.76</v>
      </c>
      <c r="E35">
        <v>126.43</v>
      </c>
      <c r="F35">
        <f t="shared" si="5"/>
        <v>122.08</v>
      </c>
      <c r="G35" t="s">
        <v>107</v>
      </c>
      <c r="I35">
        <f t="shared" si="25"/>
        <v>0.16637616859452384</v>
      </c>
      <c r="J35">
        <f t="shared" si="26"/>
        <v>3.2799873237204888</v>
      </c>
      <c r="K35">
        <f t="shared" si="27"/>
        <v>0.16637616859452384</v>
      </c>
      <c r="L35">
        <f t="shared" si="28"/>
        <v>5.0724637681161339E-2</v>
      </c>
      <c r="M35" t="str">
        <f t="shared" si="29"/>
        <v>Win</v>
      </c>
      <c r="N35" t="s">
        <v>159</v>
      </c>
    </row>
    <row r="36" spans="1:14" x14ac:dyDescent="0.25">
      <c r="A36" s="2">
        <v>45993</v>
      </c>
      <c r="B36" t="s">
        <v>151</v>
      </c>
      <c r="C36">
        <v>40.590000000000003</v>
      </c>
      <c r="D36">
        <f>VLOOKUP(B36,'Stop Loss Calculator'!$A$3:$D$99,3,FALSE)</f>
        <v>1.81</v>
      </c>
      <c r="E36">
        <v>42.95</v>
      </c>
      <c r="F36">
        <f t="shared" si="5"/>
        <v>37.875</v>
      </c>
      <c r="G36" t="s">
        <v>118</v>
      </c>
      <c r="I36">
        <f t="shared" si="25"/>
        <v>5.8142399605814221</v>
      </c>
      <c r="J36">
        <f t="shared" si="26"/>
        <v>6.6888396156688916</v>
      </c>
      <c r="K36">
        <f t="shared" si="27"/>
        <v>5.8142399605814221</v>
      </c>
      <c r="L36">
        <f t="shared" si="28"/>
        <v>0.86924493554327675</v>
      </c>
      <c r="M36" t="str">
        <f t="shared" si="29"/>
        <v>Win</v>
      </c>
      <c r="N36" t="s">
        <v>160</v>
      </c>
    </row>
  </sheetData>
  <conditionalFormatting sqref="E23:E36">
    <cfRule type="expression" dxfId="0" priority="1">
      <formula>$F$2=$A23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Stop Loss Calculator</vt:lpstr>
      <vt:lpstr>Shares calculator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</dc:creator>
  <cp:lastModifiedBy>Alonso</cp:lastModifiedBy>
  <cp:lastPrinted>2025-11-18T17:18:00Z</cp:lastPrinted>
  <dcterms:created xsi:type="dcterms:W3CDTF">2025-10-30T17:34:36Z</dcterms:created>
  <dcterms:modified xsi:type="dcterms:W3CDTF">2026-01-30T20:07:50Z</dcterms:modified>
</cp:coreProperties>
</file>