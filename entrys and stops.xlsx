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lonso\Documents\GitHub\Trading\"/>
    </mc:Choice>
  </mc:AlternateContent>
  <xr:revisionPtr revIDLastSave="0" documentId="13_ncr:1_{D6BC7A48-7AB7-41DC-ADC9-14781119BE7D}" xr6:coauthVersionLast="47" xr6:coauthVersionMax="47" xr10:uidLastSave="{00000000-0000-0000-0000-000000000000}"/>
  <bookViews>
    <workbookView xWindow="-120" yWindow="-120" windowWidth="29040" windowHeight="15720" activeTab="2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14" i="3" l="1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19" i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D105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66" i="1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59" i="1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7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3" i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H7" i="1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D23" i="1"/>
  <c r="C7" i="2" s="1"/>
  <c r="B4" i="2"/>
  <c r="B5" i="2"/>
  <c r="B6" i="2"/>
  <c r="B3" i="2"/>
  <c r="D22" i="1"/>
  <c r="C6" i="2" s="1"/>
  <c r="D21" i="1"/>
  <c r="C5" i="2" s="1"/>
  <c r="D20" i="1"/>
  <c r="C3" i="2" s="1"/>
  <c r="D18" i="1"/>
  <c r="D17" i="1"/>
  <c r="D16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H10" i="1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<sst xmlns="http://schemas.openxmlformats.org/spreadsheetml/2006/main" count="490" uniqueCount="275">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</sst>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13"/>
  <sheetViews>
    <sheetView workbookViewId="0">
      <pane xSplit="5" ySplit="13" topLeftCell="F80" activePane="bottomRight" state="frozen"/>
      <selection pane="topRight" activeCell="F1" sqref="F1"/>
      <selection pane="bottomLeft" activeCell="A14" sqref="A14"/>
      <selection pane="bottomRight" activeCell="D73" sqref="D73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274</v>
      </c>
      <c r="G2" t="s">
        <v>26</v>
      </c>
      <c r="H2">
        <v>9400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27.83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26.884999999999998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4100</v>
      </c>
    </row>
    <row r="7" spans="1:9" x14ac:dyDescent="0.25">
      <c r="A7" t="s">
        <v>8</v>
      </c>
      <c r="B7">
        <v>20.38</v>
      </c>
      <c r="C7">
        <v>2.5</v>
      </c>
      <c r="D7">
        <f t="shared" si="0"/>
        <v>16.63</v>
      </c>
      <c r="G7" t="s">
        <v>48</v>
      </c>
      <c r="H7">
        <f>$H$2*(H3/100)</f>
        <v>47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0.94500000000000028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49.73544973544972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147.32303269852679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49.73544973544972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47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91.33</v>
      </c>
      <c r="C16">
        <v>5.3</v>
      </c>
      <c r="D16">
        <f t="shared" si="0"/>
        <v>83.38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79.58</v>
      </c>
      <c r="C19">
        <v>1.68</v>
      </c>
      <c r="D19">
        <f>B19-(0.5*C19)</f>
        <v>78.739999999999995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2.95</v>
      </c>
      <c r="C23">
        <v>0.23599999999999999</v>
      </c>
      <c r="D23">
        <f t="shared" si="0"/>
        <v>2.5960000000000001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3.17</v>
      </c>
      <c r="C27">
        <v>0.28710000000000002</v>
      </c>
      <c r="D27">
        <f t="shared" si="0"/>
        <v>2.73935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6.32</v>
      </c>
      <c r="C30">
        <v>0.21</v>
      </c>
      <c r="D30">
        <f t="shared" si="0"/>
        <v>6.0049999999999999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6.02</v>
      </c>
      <c r="C49">
        <v>0.58540000000000003</v>
      </c>
      <c r="D49">
        <f>B49-(1.5*C49)</f>
        <v>5.1418999999999997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106.85</v>
      </c>
      <c r="C59">
        <v>4.29</v>
      </c>
      <c r="D59">
        <f>B59-(1.5*C59)</f>
        <v>100.41499999999999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10.08</v>
      </c>
      <c r="C62">
        <v>1.28</v>
      </c>
      <c r="D62">
        <f>B62-(1*C62)</f>
        <v>8.8000000000000007</v>
      </c>
    </row>
    <row r="63" spans="1:4" x14ac:dyDescent="0.25">
      <c r="A63" t="s">
        <v>123</v>
      </c>
      <c r="B63">
        <v>9.09</v>
      </c>
      <c r="C63">
        <v>0.49840000000000001</v>
      </c>
      <c r="D63">
        <f>B63-(2*C63)</f>
        <v>8.0931999999999995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12.92</v>
      </c>
      <c r="C66">
        <v>1.04</v>
      </c>
      <c r="D66">
        <f>B66-(1*C66)</f>
        <v>11.879999999999999</v>
      </c>
    </row>
    <row r="67" spans="1:4" x14ac:dyDescent="0.25">
      <c r="A67" t="s">
        <v>127</v>
      </c>
      <c r="B67">
        <v>2.17</v>
      </c>
      <c r="C67">
        <v>0.1605</v>
      </c>
      <c r="D67">
        <f t="shared" ref="D67:D71" si="2"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30.83</v>
      </c>
      <c r="C69">
        <v>1.57</v>
      </c>
      <c r="D69">
        <f>B69-(1.5*C69)</f>
        <v>28.474999999999998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 t="shared" si="2"/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3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3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3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3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3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3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3"/>
        <v>58.625</v>
      </c>
    </row>
    <row r="92" spans="1:4" x14ac:dyDescent="0.25">
      <c r="A92" t="s">
        <v>194</v>
      </c>
      <c r="B92">
        <v>20.6</v>
      </c>
      <c r="C92">
        <v>0.71879999999999999</v>
      </c>
      <c r="D92">
        <f t="shared" si="3"/>
        <v>19.521800000000002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3"/>
        <v>10.8066</v>
      </c>
    </row>
    <row r="94" spans="1:4" x14ac:dyDescent="0.25">
      <c r="A94" t="s">
        <v>198</v>
      </c>
      <c r="B94">
        <v>11.98</v>
      </c>
      <c r="C94">
        <v>0.86099999999999999</v>
      </c>
      <c r="D94">
        <f t="shared" si="3"/>
        <v>10.688500000000001</v>
      </c>
    </row>
    <row r="95" spans="1:4" x14ac:dyDescent="0.25">
      <c r="A95" t="s">
        <v>199</v>
      </c>
      <c r="B95">
        <v>220.05</v>
      </c>
      <c r="C95">
        <v>5.05</v>
      </c>
      <c r="D95">
        <f t="shared" si="3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3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3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3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3"/>
        <v>45.964999999999996</v>
      </c>
    </row>
    <row r="100" spans="1:4" x14ac:dyDescent="0.25">
      <c r="A100" t="s">
        <v>212</v>
      </c>
      <c r="B100">
        <v>75.900000000000006</v>
      </c>
      <c r="C100">
        <v>1.33</v>
      </c>
      <c r="D100">
        <f t="shared" si="3"/>
        <v>73.905000000000001</v>
      </c>
    </row>
    <row r="101" spans="1:4" x14ac:dyDescent="0.25">
      <c r="A101" t="s">
        <v>217</v>
      </c>
      <c r="B101">
        <v>1.48</v>
      </c>
      <c r="C101">
        <v>8.4599999999999995E-2</v>
      </c>
      <c r="D101">
        <f t="shared" si="3"/>
        <v>1.3531</v>
      </c>
    </row>
    <row r="102" spans="1:4" x14ac:dyDescent="0.25">
      <c r="A102" t="s">
        <v>225</v>
      </c>
      <c r="B102">
        <v>59.2</v>
      </c>
      <c r="C102">
        <v>2.71</v>
      </c>
      <c r="D102">
        <f t="shared" si="3"/>
        <v>55.135000000000005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8.2799999999999994</v>
      </c>
      <c r="C105">
        <v>0.34</v>
      </c>
      <c r="D105">
        <f>B105-(1*C105)</f>
        <v>7.9399999999999995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>B110-(1.5*C110)</f>
        <v>27.619999999999997</v>
      </c>
    </row>
    <row r="111" spans="1:4" x14ac:dyDescent="0.25">
      <c r="A111" t="s">
        <v>263</v>
      </c>
      <c r="B111">
        <v>38.32</v>
      </c>
      <c r="C111">
        <v>4.0199999999999996</v>
      </c>
      <c r="D111">
        <f>B111-(1.5*C111)</f>
        <v>32.29</v>
      </c>
    </row>
    <row r="112" spans="1:4" x14ac:dyDescent="0.25">
      <c r="A112" t="s">
        <v>264</v>
      </c>
      <c r="B112">
        <v>33.93</v>
      </c>
      <c r="C112">
        <v>2.08</v>
      </c>
      <c r="D112">
        <f>B112-(1.5*C112)</f>
        <v>30.81</v>
      </c>
    </row>
    <row r="113" spans="1:4" x14ac:dyDescent="0.25">
      <c r="A113" t="s">
        <v>266</v>
      </c>
      <c r="B113">
        <v>181.5</v>
      </c>
      <c r="C113">
        <v>7.21</v>
      </c>
      <c r="D113">
        <f>B113-(1.5*C113)</f>
        <v>170.685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2.95</v>
      </c>
      <c r="C7">
        <f>VLOOKUP(A7,'Stop Loss Calculator'!$A$3:$D$99,4,FALSE)</f>
        <v>2.5960000000000001</v>
      </c>
      <c r="D7">
        <f t="shared" si="0"/>
        <v>141.24293785310732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 t="shared" ref="D13" si="1"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14"/>
  <sheetViews>
    <sheetView tabSelected="1" workbookViewId="0">
      <pane xSplit="13" ySplit="9" topLeftCell="N102" activePane="bottomRight" state="frozen"/>
      <selection pane="topRight" activeCell="N1" sqref="N1"/>
      <selection pane="bottomLeft" activeCell="A10" sqref="A10"/>
      <selection pane="bottomRight" activeCell="B110" sqref="B110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0.46226415094339623</v>
      </c>
      <c r="C1" t="s">
        <v>92</v>
      </c>
    </row>
    <row r="2" spans="1:14" x14ac:dyDescent="0.25">
      <c r="A2" t="s">
        <v>93</v>
      </c>
      <c r="B2">
        <f>AVERAGEIF(M:M,"Win",I:I)</f>
        <v>9.7235064318751352</v>
      </c>
    </row>
    <row r="3" spans="1:14" x14ac:dyDescent="0.25">
      <c r="A3" t="s">
        <v>94</v>
      </c>
      <c r="B3">
        <f>AVERAGEIF(M:M,"Loss",I:I)</f>
        <v>-4.340372317043248</v>
      </c>
    </row>
    <row r="4" spans="1:14" x14ac:dyDescent="0.25">
      <c r="A4" t="s">
        <v>95</v>
      </c>
      <c r="B4">
        <f>AVERAGE(L:L)</f>
        <v>0.3298109887618817</v>
      </c>
    </row>
    <row r="5" spans="1:14" x14ac:dyDescent="0.25">
      <c r="A5" t="s">
        <v>96</v>
      </c>
      <c r="B5">
        <f>(B1*B2+(1-B1)*B3)</f>
        <v>2.1608546517963823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1" si="6">(E18-C18)/C18*(100)</f>
        <v>-8.9588377723970982</v>
      </c>
      <c r="J18">
        <f t="shared" ref="J18:J20" si="7">(C18-F18)/C18*100</f>
        <v>8.8547215496368015</v>
      </c>
      <c r="K18">
        <f t="shared" ref="K18:K20" si="8">(E18-C18)/C18*100</f>
        <v>-8.9588377723970982</v>
      </c>
      <c r="L18">
        <f t="shared" ref="L18:L20" si="9">K18/J18</f>
        <v>-1.0117582718074931</v>
      </c>
      <c r="M18" t="str">
        <f t="shared" ref="M18:M20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ref="J21" si="11">(C21-F21)/C21*100</f>
        <v>3.8884900693945923</v>
      </c>
      <c r="K21">
        <f t="shared" ref="K21" si="12">(E21-C21)/C21*100</f>
        <v>-2.5205392039562979</v>
      </c>
      <c r="L21">
        <f t="shared" ref="L21" si="13">K21/J21</f>
        <v>-0.64820512820513032</v>
      </c>
      <c r="M21" t="str">
        <f t="shared" ref="M21" si="14">IF(I21&gt;0,"Win","Loss")</f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ref="I22" si="15">(E22-C22)/C22*(100)</f>
        <v>-5.5974165769644735</v>
      </c>
      <c r="J22">
        <f t="shared" ref="J22" si="16">(C22-F22)/C22*100</f>
        <v>5.5882669537136689</v>
      </c>
      <c r="K22">
        <f t="shared" ref="K22" si="17">(E22-C22)/C22*100</f>
        <v>-5.5974165769644735</v>
      </c>
      <c r="L22">
        <f t="shared" ref="L22" si="18">K22/J22</f>
        <v>-1.0016372917268608</v>
      </c>
      <c r="M22" t="str">
        <f t="shared" ref="M22" si="19">IF(I22&gt;0,"Win","Loss")</f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ref="I23:I24" si="20">(E23-C23)/C23*(100)</f>
        <v>6.4634349491920622</v>
      </c>
      <c r="J23">
        <f t="shared" ref="J23:J24" si="21">(C23-F23)/C23*100</f>
        <v>4.1604197901049513</v>
      </c>
      <c r="K23">
        <f t="shared" ref="K23:K24" si="22">(E23-C23)/C23*100</f>
        <v>6.4634349491920622</v>
      </c>
      <c r="L23">
        <f t="shared" ref="L23:L24" si="23">K23/J23</f>
        <v>1.5535535535535501</v>
      </c>
      <c r="M23" t="str">
        <f t="shared" ref="M23:M24" si="24">IF(I23&gt;0,"Win","Loss")</f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20"/>
        <v>-8.1936685288640696</v>
      </c>
      <c r="J24">
        <f t="shared" si="21"/>
        <v>6.1452513966480389</v>
      </c>
      <c r="K24">
        <f t="shared" si="22"/>
        <v>-8.1936685288640696</v>
      </c>
      <c r="L24">
        <f t="shared" si="23"/>
        <v>-1.3333333333333361</v>
      </c>
      <c r="M24" t="str">
        <f t="shared" si="24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25">(E25-C25)/C25*(100)</f>
        <v>-8.8311688311688386</v>
      </c>
      <c r="J25">
        <f t="shared" ref="J25:J59" si="26">(C25-F25)/C25*100</f>
        <v>6.62337662337662</v>
      </c>
      <c r="K25">
        <f t="shared" ref="K25:K59" si="27">(E25-C25)/C25*100</f>
        <v>-8.8311688311688386</v>
      </c>
      <c r="L25">
        <f t="shared" ref="L25:L59" si="28">K25/J25</f>
        <v>-1.333333333333335</v>
      </c>
      <c r="M25" t="str">
        <f t="shared" ref="M25:M59" si="29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25"/>
        <v>7.4065685164212987</v>
      </c>
      <c r="J26">
        <f t="shared" si="26"/>
        <v>3.2616081540203803</v>
      </c>
      <c r="K26">
        <f t="shared" si="27"/>
        <v>7.4065685164212987</v>
      </c>
      <c r="L26">
        <f t="shared" si="28"/>
        <v>2.2708333333333388</v>
      </c>
      <c r="M26" t="str">
        <f t="shared" si="29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25"/>
        <v>14.288797755234201</v>
      </c>
      <c r="J27">
        <f t="shared" si="26"/>
        <v>6.9933088711418137</v>
      </c>
      <c r="K27">
        <f t="shared" si="27"/>
        <v>14.288797755234201</v>
      </c>
      <c r="L27">
        <f t="shared" si="28"/>
        <v>2.0432098765432101</v>
      </c>
      <c r="M27" t="str">
        <f t="shared" si="29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25"/>
        <v>16.209799266134269</v>
      </c>
      <c r="J28">
        <f t="shared" si="26"/>
        <v>6.9933088711418137</v>
      </c>
      <c r="K28">
        <f t="shared" si="27"/>
        <v>16.209799266134269</v>
      </c>
      <c r="L28">
        <f t="shared" si="28"/>
        <v>2.3179012345679015</v>
      </c>
      <c r="M28" t="str">
        <f t="shared" si="29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25"/>
        <v>1.5310443677112477</v>
      </c>
      <c r="J29">
        <f t="shared" si="26"/>
        <v>2.0033878428562044</v>
      </c>
      <c r="K29">
        <f t="shared" si="27"/>
        <v>1.5310443677112477</v>
      </c>
      <c r="L29">
        <f t="shared" si="28"/>
        <v>0.76422764227642381</v>
      </c>
      <c r="M29" t="str">
        <f t="shared" si="29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25"/>
        <v>2.7313800657174014</v>
      </c>
      <c r="J30">
        <f t="shared" si="26"/>
        <v>3.0188937568455616</v>
      </c>
      <c r="K30">
        <f t="shared" si="27"/>
        <v>2.7313800657174014</v>
      </c>
      <c r="L30">
        <f t="shared" si="28"/>
        <v>0.90476190476190099</v>
      </c>
      <c r="M30" t="str">
        <f t="shared" si="29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1.28</v>
      </c>
      <c r="E31">
        <v>7.47</v>
      </c>
      <c r="F31">
        <f t="shared" si="5"/>
        <v>6.6</v>
      </c>
      <c r="G31" t="s">
        <v>105</v>
      </c>
      <c r="I31">
        <f t="shared" si="25"/>
        <v>-12.32394366197183</v>
      </c>
      <c r="J31">
        <f t="shared" si="26"/>
        <v>22.535211267605636</v>
      </c>
      <c r="K31">
        <f t="shared" si="27"/>
        <v>-12.32394366197183</v>
      </c>
      <c r="L31">
        <f t="shared" si="28"/>
        <v>-0.54687499999999989</v>
      </c>
      <c r="M31" t="str">
        <f t="shared" si="29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25"/>
        <v>16.749406432117432</v>
      </c>
      <c r="J32">
        <f t="shared" si="26"/>
        <v>6.9933088711418137</v>
      </c>
      <c r="K32">
        <f t="shared" si="27"/>
        <v>16.749406432117432</v>
      </c>
      <c r="L32">
        <f t="shared" si="28"/>
        <v>2.3950617283950622</v>
      </c>
      <c r="M32" t="str">
        <f t="shared" si="29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25"/>
        <v>-1.8490374873353519</v>
      </c>
      <c r="J33">
        <f t="shared" si="26"/>
        <v>2.3936170212765968</v>
      </c>
      <c r="K33">
        <f t="shared" si="27"/>
        <v>-1.8490374873353519</v>
      </c>
      <c r="L33">
        <f t="shared" si="28"/>
        <v>-0.77248677248676889</v>
      </c>
      <c r="M33" t="str">
        <f t="shared" si="29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25"/>
        <v>1.8012422360248395</v>
      </c>
      <c r="J34">
        <f t="shared" si="26"/>
        <v>5.4037267080745286</v>
      </c>
      <c r="K34">
        <f t="shared" si="27"/>
        <v>1.8012422360248395</v>
      </c>
      <c r="L34">
        <f t="shared" si="28"/>
        <v>0.3333333333333327</v>
      </c>
      <c r="M34" t="str">
        <f t="shared" si="29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25"/>
        <v>0.16637616859452384</v>
      </c>
      <c r="J35">
        <f t="shared" si="26"/>
        <v>3.2799873237204888</v>
      </c>
      <c r="K35">
        <f t="shared" si="27"/>
        <v>0.16637616859452384</v>
      </c>
      <c r="L35">
        <f t="shared" si="28"/>
        <v>5.0724637681161339E-2</v>
      </c>
      <c r="M35" t="str">
        <f t="shared" si="29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25"/>
        <v>5.8142399605814221</v>
      </c>
      <c r="J36">
        <f t="shared" si="26"/>
        <v>6.6888396156688916</v>
      </c>
      <c r="K36">
        <f t="shared" si="27"/>
        <v>5.8142399605814221</v>
      </c>
      <c r="L36">
        <f t="shared" si="28"/>
        <v>0.86924493554327675</v>
      </c>
      <c r="M36" t="str">
        <f t="shared" si="29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4.29</v>
      </c>
      <c r="E37">
        <v>91.73</v>
      </c>
      <c r="F37">
        <f t="shared" si="5"/>
        <v>92.995000000000005</v>
      </c>
      <c r="G37" t="s">
        <v>162</v>
      </c>
      <c r="I37">
        <f t="shared" si="25"/>
        <v>-7.7441416071608193</v>
      </c>
      <c r="J37">
        <f t="shared" si="26"/>
        <v>6.4718897716986845</v>
      </c>
      <c r="K37">
        <f t="shared" si="27"/>
        <v>-7.7441416071608193</v>
      </c>
      <c r="L37">
        <f t="shared" si="28"/>
        <v>-1.1965811965811965</v>
      </c>
      <c r="M37" t="str">
        <f t="shared" si="29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1.04</v>
      </c>
      <c r="E38">
        <v>14.06</v>
      </c>
      <c r="F38">
        <f t="shared" si="5"/>
        <v>10.45</v>
      </c>
      <c r="G38" t="s">
        <v>164</v>
      </c>
      <c r="I38">
        <f t="shared" si="25"/>
        <v>17.069109075770196</v>
      </c>
      <c r="J38">
        <f t="shared" si="26"/>
        <v>12.989175686927565</v>
      </c>
      <c r="K38">
        <f t="shared" si="27"/>
        <v>17.069109075770196</v>
      </c>
      <c r="L38">
        <f t="shared" si="28"/>
        <v>1.3141025641025641</v>
      </c>
      <c r="M38" t="str">
        <f t="shared" si="29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25"/>
        <v>1.7114695340501891</v>
      </c>
      <c r="J39">
        <f t="shared" si="26"/>
        <v>3.9516129032258034</v>
      </c>
      <c r="K39">
        <f t="shared" si="27"/>
        <v>1.7114695340501891</v>
      </c>
      <c r="L39">
        <f t="shared" si="28"/>
        <v>0.43310657596372165</v>
      </c>
      <c r="M39" t="str">
        <f t="shared" si="29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25"/>
        <v>-5.8056554166443055</v>
      </c>
      <c r="J40">
        <f t="shared" si="26"/>
        <v>4.3461930568224467</v>
      </c>
      <c r="K40">
        <f t="shared" si="27"/>
        <v>-5.8056554166443055</v>
      </c>
      <c r="L40">
        <f t="shared" si="28"/>
        <v>-1.3358024691358026</v>
      </c>
      <c r="M40" t="str">
        <f t="shared" si="29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25"/>
        <v>-5.6399132321041359</v>
      </c>
      <c r="J41">
        <f t="shared" si="26"/>
        <v>5.630694143167025</v>
      </c>
      <c r="K41">
        <f t="shared" si="27"/>
        <v>-5.6399132321041359</v>
      </c>
      <c r="L41">
        <f t="shared" si="28"/>
        <v>-1.0016372917268643</v>
      </c>
      <c r="M41" t="str">
        <f t="shared" si="29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25"/>
        <v>-5.2320291173794455</v>
      </c>
      <c r="J42">
        <f t="shared" si="26"/>
        <v>7.9845313921747003</v>
      </c>
      <c r="K42">
        <f t="shared" si="27"/>
        <v>-5.2320291173794455</v>
      </c>
      <c r="L42">
        <f t="shared" si="28"/>
        <v>-0.65527065527065675</v>
      </c>
      <c r="M42" t="str">
        <f t="shared" si="29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25"/>
        <v>-4.4685990338164157</v>
      </c>
      <c r="J43">
        <f t="shared" si="26"/>
        <v>4.0760869565217437</v>
      </c>
      <c r="K43">
        <f t="shared" si="27"/>
        <v>-4.4685990338164157</v>
      </c>
      <c r="L43">
        <f t="shared" si="28"/>
        <v>-1.0962962962962928</v>
      </c>
      <c r="M43" t="str">
        <f t="shared" si="29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25"/>
        <v>2.6695958990746229</v>
      </c>
      <c r="J44">
        <f t="shared" si="26"/>
        <v>2.2168963451168446</v>
      </c>
      <c r="K44">
        <f t="shared" si="27"/>
        <v>2.6695958990746229</v>
      </c>
      <c r="L44">
        <f t="shared" si="28"/>
        <v>1.2042042042041972</v>
      </c>
      <c r="M44" t="str">
        <f t="shared" si="29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25"/>
        <v>-3.0911130499813084</v>
      </c>
      <c r="J45">
        <f t="shared" si="26"/>
        <v>3.5148946778013128</v>
      </c>
      <c r="K45">
        <f t="shared" si="27"/>
        <v>-3.0911130499813084</v>
      </c>
      <c r="L45">
        <f t="shared" si="28"/>
        <v>-0.87943262411347856</v>
      </c>
      <c r="M45" t="str">
        <f t="shared" si="29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3.46</v>
      </c>
      <c r="E46">
        <v>177.02</v>
      </c>
      <c r="F46">
        <f t="shared" si="5"/>
        <v>168.8</v>
      </c>
      <c r="G46" t="s">
        <v>149</v>
      </c>
      <c r="I46">
        <f t="shared" si="25"/>
        <v>1.7414793953675505</v>
      </c>
      <c r="J46">
        <f t="shared" si="26"/>
        <v>2.9829300534513465</v>
      </c>
      <c r="K46">
        <f t="shared" si="27"/>
        <v>1.7414793953675505</v>
      </c>
      <c r="L46">
        <f t="shared" si="28"/>
        <v>0.58381502890173453</v>
      </c>
      <c r="M46" t="str">
        <f t="shared" si="29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1.04</v>
      </c>
      <c r="E47">
        <v>13.75</v>
      </c>
      <c r="F47">
        <f t="shared" si="5"/>
        <v>10.43</v>
      </c>
      <c r="G47" t="s">
        <v>155</v>
      </c>
      <c r="I47">
        <f t="shared" si="25"/>
        <v>14.678899082568805</v>
      </c>
      <c r="J47">
        <f t="shared" si="26"/>
        <v>13.010842368640537</v>
      </c>
      <c r="K47">
        <f t="shared" si="27"/>
        <v>14.678899082568805</v>
      </c>
      <c r="L47">
        <f t="shared" si="28"/>
        <v>1.1282051282051277</v>
      </c>
      <c r="M47" t="str">
        <f t="shared" si="29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25"/>
        <v>0</v>
      </c>
      <c r="J48">
        <f t="shared" si="26"/>
        <v>6.1094224924012144</v>
      </c>
      <c r="K48">
        <f t="shared" si="27"/>
        <v>0</v>
      </c>
      <c r="L48">
        <f t="shared" si="28"/>
        <v>0</v>
      </c>
      <c r="M48" t="str">
        <f t="shared" si="29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25"/>
        <v>-1.9973253957982811</v>
      </c>
      <c r="J49">
        <f t="shared" si="26"/>
        <v>3.9666105862559822</v>
      </c>
      <c r="K49">
        <f t="shared" si="27"/>
        <v>-1.9973253957982811</v>
      </c>
      <c r="L49">
        <f t="shared" si="28"/>
        <v>-0.50353452963567147</v>
      </c>
      <c r="M49" t="str">
        <f t="shared" si="29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25"/>
        <v>3.6271413532395504</v>
      </c>
      <c r="J50">
        <f t="shared" si="26"/>
        <v>2.8854435831180023</v>
      </c>
      <c r="K50">
        <f t="shared" si="27"/>
        <v>3.6271413532395504</v>
      </c>
      <c r="L50">
        <f t="shared" si="28"/>
        <v>1.2570480928689902</v>
      </c>
      <c r="M50" t="str">
        <f t="shared" si="29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25"/>
        <v>2.6300294406280735</v>
      </c>
      <c r="J51">
        <f t="shared" si="26"/>
        <v>7.2129538763493661</v>
      </c>
      <c r="K51">
        <f t="shared" si="27"/>
        <v>2.6300294406280735</v>
      </c>
      <c r="L51">
        <f t="shared" si="28"/>
        <v>0.36462585034013678</v>
      </c>
      <c r="M51" t="str">
        <f t="shared" si="29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25"/>
        <v>-3.6809815950920144</v>
      </c>
      <c r="J52">
        <f t="shared" si="26"/>
        <v>3.6234662576687131</v>
      </c>
      <c r="K52">
        <f t="shared" si="27"/>
        <v>-3.6809815950920144</v>
      </c>
      <c r="L52">
        <f t="shared" si="28"/>
        <v>-1.0158730158730127</v>
      </c>
      <c r="M52" t="str">
        <f t="shared" si="29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25"/>
        <v>3.2287822878228694</v>
      </c>
      <c r="J53">
        <f t="shared" si="26"/>
        <v>4.8892988929889292</v>
      </c>
      <c r="K53">
        <f t="shared" si="27"/>
        <v>3.2287822878228694</v>
      </c>
      <c r="L53">
        <f t="shared" si="28"/>
        <v>0.66037735849056434</v>
      </c>
      <c r="M53" t="str">
        <f t="shared" si="29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25"/>
        <v>-6.5419538343725963</v>
      </c>
      <c r="J54">
        <f t="shared" si="26"/>
        <v>4.1926485067279256</v>
      </c>
      <c r="K54">
        <f t="shared" si="27"/>
        <v>-6.5419538343725963</v>
      </c>
      <c r="L54">
        <f t="shared" si="28"/>
        <v>-1.5603392041748194</v>
      </c>
      <c r="M54" t="str">
        <f t="shared" si="29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25"/>
        <v>-6.1403508771929731</v>
      </c>
      <c r="J55">
        <f t="shared" si="26"/>
        <v>9.5029239766081837</v>
      </c>
      <c r="K55">
        <f t="shared" si="27"/>
        <v>-6.1403508771929731</v>
      </c>
      <c r="L55">
        <f t="shared" si="28"/>
        <v>-0.64615384615384541</v>
      </c>
      <c r="M55" t="str">
        <f t="shared" si="29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25"/>
        <v>-2.3931623931623878</v>
      </c>
      <c r="J56">
        <f t="shared" si="26"/>
        <v>7.5641025641025621</v>
      </c>
      <c r="K56">
        <f t="shared" si="27"/>
        <v>-2.3931623931623878</v>
      </c>
      <c r="L56">
        <f t="shared" si="28"/>
        <v>-0.31638418079095981</v>
      </c>
      <c r="M56" t="str">
        <f t="shared" si="29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25"/>
        <v>-1.5684015107867721</v>
      </c>
      <c r="J57">
        <f t="shared" si="26"/>
        <v>2.1317457269060958</v>
      </c>
      <c r="K57">
        <f t="shared" si="27"/>
        <v>-1.5684015107867721</v>
      </c>
      <c r="L57">
        <f t="shared" si="28"/>
        <v>-0.73573573573573803</v>
      </c>
      <c r="M57" t="str">
        <f t="shared" si="29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25"/>
        <v>9.6680841011103258</v>
      </c>
      <c r="J58">
        <f t="shared" si="26"/>
        <v>6.5556343019135337</v>
      </c>
      <c r="K58">
        <f t="shared" si="27"/>
        <v>9.6680841011103258</v>
      </c>
      <c r="L58">
        <f t="shared" si="28"/>
        <v>1.4747747747747757</v>
      </c>
      <c r="M58" t="str">
        <f t="shared" si="29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25"/>
        <v>-5.5927342256214114</v>
      </c>
      <c r="J59">
        <f t="shared" si="26"/>
        <v>4.708413001912044</v>
      </c>
      <c r="K59">
        <f t="shared" si="27"/>
        <v>-5.5927342256214114</v>
      </c>
      <c r="L59">
        <f t="shared" si="28"/>
        <v>-1.1878172588832485</v>
      </c>
      <c r="M59" t="str">
        <f t="shared" si="29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30">(E60-C60)/C60*(100)</f>
        <v>-3.359683794466402</v>
      </c>
      <c r="J60">
        <f t="shared" ref="J60:J74" si="31">(C60-F60)/C60*100</f>
        <v>8.0039525691699662</v>
      </c>
      <c r="K60">
        <f t="shared" ref="K60:K74" si="32">(E60-C60)/C60*100</f>
        <v>-3.359683794466402</v>
      </c>
      <c r="L60">
        <f t="shared" ref="L60:L74" si="33">K60/J60</f>
        <v>-0.41975308641975262</v>
      </c>
      <c r="M60" t="str">
        <f t="shared" ref="M60:M74" si="34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30"/>
        <v>-2.815723445776416</v>
      </c>
      <c r="J61">
        <f t="shared" si="31"/>
        <v>2.801784220797324</v>
      </c>
      <c r="K61">
        <f>(E61-C61)/C61*100</f>
        <v>-2.815723445776416</v>
      </c>
      <c r="L61">
        <f t="shared" si="33"/>
        <v>-1.0049751243781098</v>
      </c>
      <c r="M61" t="str">
        <f t="shared" si="34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30"/>
        <v>-2.6446354212811194</v>
      </c>
      <c r="J62">
        <f t="shared" si="31"/>
        <v>3.3556303712235267</v>
      </c>
      <c r="K62">
        <f t="shared" si="32"/>
        <v>-2.6446354212811194</v>
      </c>
      <c r="L62">
        <f t="shared" si="33"/>
        <v>-0.78811881188118915</v>
      </c>
      <c r="M62" t="str">
        <f t="shared" si="34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30"/>
        <v>-6.1265316329082227</v>
      </c>
      <c r="J63">
        <f t="shared" si="31"/>
        <v>3.2883220805201243</v>
      </c>
      <c r="K63">
        <f t="shared" si="32"/>
        <v>-6.1265316329082227</v>
      </c>
      <c r="L63">
        <f t="shared" si="33"/>
        <v>-1.8631178707224354</v>
      </c>
      <c r="M63" t="str">
        <f t="shared" si="34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30"/>
        <v>3.0479605558045706</v>
      </c>
      <c r="J64">
        <f t="shared" si="31"/>
        <v>4.2357687135813551</v>
      </c>
      <c r="K64">
        <f t="shared" si="32"/>
        <v>3.0479605558045706</v>
      </c>
      <c r="L64">
        <f t="shared" si="33"/>
        <v>0.71957671957671898</v>
      </c>
      <c r="M64" t="str">
        <f t="shared" si="34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30"/>
        <v>-4.9363796786477181</v>
      </c>
      <c r="J65">
        <f t="shared" si="31"/>
        <v>5.9905266090833127</v>
      </c>
      <c r="K65">
        <f t="shared" si="32"/>
        <v>-4.9363796786477181</v>
      </c>
      <c r="L65">
        <f t="shared" si="33"/>
        <v>-0.82403100775193738</v>
      </c>
      <c r="M65" t="str">
        <f t="shared" si="34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0.71879999999999999</v>
      </c>
      <c r="E66">
        <v>23.16</v>
      </c>
      <c r="F66">
        <f t="shared" si="5"/>
        <v>19.6218</v>
      </c>
      <c r="G66" t="s">
        <v>176</v>
      </c>
      <c r="I66">
        <f t="shared" si="30"/>
        <v>11.884057971014498</v>
      </c>
      <c r="J66">
        <f t="shared" si="31"/>
        <v>5.2086956521739083</v>
      </c>
      <c r="K66">
        <f t="shared" si="32"/>
        <v>11.884057971014498</v>
      </c>
      <c r="L66">
        <f t="shared" si="33"/>
        <v>2.2815804117974432</v>
      </c>
      <c r="M66" t="str">
        <f t="shared" si="34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30"/>
        <v>-6.6453050989133473</v>
      </c>
      <c r="J67">
        <f t="shared" si="31"/>
        <v>5.9905266090833127</v>
      </c>
      <c r="K67">
        <f t="shared" si="32"/>
        <v>-6.6453050989133473</v>
      </c>
      <c r="L67">
        <f t="shared" si="33"/>
        <v>-1.109302325581395</v>
      </c>
      <c r="M67" t="str">
        <f t="shared" si="34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0.71879999999999999</v>
      </c>
      <c r="E68">
        <v>18.559999999999999</v>
      </c>
      <c r="F68">
        <f t="shared" si="5"/>
        <v>19.6218</v>
      </c>
      <c r="G68" t="s">
        <v>107</v>
      </c>
      <c r="I68">
        <f t="shared" si="30"/>
        <v>-10.338164251207733</v>
      </c>
      <c r="J68">
        <f t="shared" si="31"/>
        <v>5.2086956521739083</v>
      </c>
      <c r="K68">
        <f t="shared" si="32"/>
        <v>-10.338164251207733</v>
      </c>
      <c r="L68">
        <f t="shared" si="33"/>
        <v>-1.9847894639213528</v>
      </c>
      <c r="M68" t="str">
        <f t="shared" si="34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30"/>
        <v>-4.6436285097192318</v>
      </c>
      <c r="J69">
        <f t="shared" si="31"/>
        <v>5.831533477321817</v>
      </c>
      <c r="K69">
        <f t="shared" si="32"/>
        <v>-4.6436285097192318</v>
      </c>
      <c r="L69">
        <f t="shared" si="33"/>
        <v>-0.7962962962962975</v>
      </c>
      <c r="M69" t="str">
        <f t="shared" si="34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30"/>
        <v>11.110497847444528</v>
      </c>
      <c r="J70">
        <f t="shared" si="31"/>
        <v>3.4192515730213007</v>
      </c>
      <c r="K70">
        <f t="shared" si="32"/>
        <v>11.110497847444528</v>
      </c>
      <c r="L70">
        <f t="shared" si="33"/>
        <v>3.24939467312349</v>
      </c>
      <c r="M70" t="str">
        <f t="shared" si="34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0.86099999999999999</v>
      </c>
      <c r="E71">
        <v>10.94</v>
      </c>
      <c r="F71">
        <f t="shared" si="5"/>
        <v>8.0085000000000015</v>
      </c>
      <c r="G71" t="s">
        <v>108</v>
      </c>
      <c r="I71">
        <f t="shared" si="30"/>
        <v>17.634408602150522</v>
      </c>
      <c r="J71">
        <f t="shared" si="31"/>
        <v>13.887096774193539</v>
      </c>
      <c r="K71">
        <f t="shared" si="32"/>
        <v>17.634408602150522</v>
      </c>
      <c r="L71">
        <f t="shared" si="33"/>
        <v>1.2698412698412695</v>
      </c>
      <c r="M71" t="str">
        <f t="shared" si="34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0.86099999999999999</v>
      </c>
      <c r="E72">
        <v>11.75</v>
      </c>
      <c r="F72">
        <f t="shared" si="5"/>
        <v>8.0085000000000015</v>
      </c>
      <c r="G72" t="s">
        <v>149</v>
      </c>
      <c r="I72">
        <f t="shared" si="30"/>
        <v>26.344086021505365</v>
      </c>
      <c r="J72">
        <f t="shared" si="31"/>
        <v>13.887096774193539</v>
      </c>
      <c r="K72">
        <f t="shared" si="32"/>
        <v>26.344086021505365</v>
      </c>
      <c r="L72">
        <f t="shared" si="33"/>
        <v>1.8970189701897024</v>
      </c>
      <c r="M72" t="str">
        <f t="shared" si="34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30"/>
        <v>10.283159463487335</v>
      </c>
      <c r="J73">
        <f t="shared" si="31"/>
        <v>3.3532041728763078</v>
      </c>
      <c r="K73">
        <f t="shared" si="32"/>
        <v>10.283159463487335</v>
      </c>
      <c r="L73">
        <f t="shared" si="33"/>
        <v>3.0666666666666642</v>
      </c>
      <c r="M73" t="str">
        <f t="shared" si="34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30"/>
        <v>11.475409836065586</v>
      </c>
      <c r="J74">
        <f t="shared" si="31"/>
        <v>3.3532041728763078</v>
      </c>
      <c r="K74">
        <f t="shared" si="32"/>
        <v>11.475409836065586</v>
      </c>
      <c r="L74">
        <f t="shared" si="33"/>
        <v>3.4222222222222221</v>
      </c>
      <c r="M74" t="str">
        <f t="shared" si="34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35">(E75-C75)/C75*(100)</f>
        <v>-3.9735099337748379</v>
      </c>
      <c r="J75">
        <f t="shared" ref="J75:J92" si="36">(C75-F75)/C75*100</f>
        <v>8.4039735099337758</v>
      </c>
      <c r="K75">
        <f t="shared" ref="K75:K92" si="37">(E75-C75)/C75*100</f>
        <v>-3.9735099337748379</v>
      </c>
      <c r="L75">
        <f t="shared" ref="L75:L92" si="38">K75/J75</f>
        <v>-0.47281323877068593</v>
      </c>
      <c r="M75" t="str">
        <f t="shared" ref="M75:M92" si="39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35"/>
        <v>2.5203465476502851</v>
      </c>
      <c r="J76">
        <f t="shared" si="36"/>
        <v>2.4809661328432662</v>
      </c>
      <c r="K76">
        <f t="shared" si="37"/>
        <v>2.5203465476502851</v>
      </c>
      <c r="L76">
        <f t="shared" si="38"/>
        <v>1.0158730158730089</v>
      </c>
      <c r="M76" t="str">
        <f t="shared" si="39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35"/>
        <v>30.075187969924805</v>
      </c>
      <c r="J77">
        <f t="shared" si="36"/>
        <v>11.560150375939852</v>
      </c>
      <c r="K77">
        <f t="shared" si="37"/>
        <v>30.075187969924805</v>
      </c>
      <c r="L77">
        <f t="shared" si="38"/>
        <v>2.6016260162601617</v>
      </c>
      <c r="M77" t="str">
        <f t="shared" si="39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1.57</v>
      </c>
      <c r="E78">
        <v>36.22</v>
      </c>
      <c r="F78">
        <f t="shared" si="5"/>
        <v>28.474999999999998</v>
      </c>
      <c r="G78" t="s">
        <v>108</v>
      </c>
      <c r="I78">
        <f t="shared" si="35"/>
        <v>17.482971132014274</v>
      </c>
      <c r="J78">
        <f t="shared" si="36"/>
        <v>7.6386636393123597</v>
      </c>
      <c r="K78">
        <f t="shared" si="37"/>
        <v>17.482971132014274</v>
      </c>
      <c r="L78">
        <f t="shared" si="38"/>
        <v>2.2887473460721868</v>
      </c>
      <c r="M78" t="str">
        <f t="shared" si="39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35"/>
        <v>7.1211463308727767</v>
      </c>
      <c r="J79">
        <f t="shared" si="36"/>
        <v>4.1033434650455938</v>
      </c>
      <c r="K79">
        <f t="shared" si="37"/>
        <v>7.1211463308727767</v>
      </c>
      <c r="L79">
        <f t="shared" si="38"/>
        <v>1.7354497354497356</v>
      </c>
      <c r="M79" t="str">
        <f t="shared" si="39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4.29</v>
      </c>
      <c r="E80">
        <v>104.54</v>
      </c>
      <c r="F80">
        <f t="shared" si="5"/>
        <v>100.41499999999999</v>
      </c>
      <c r="G80" t="s">
        <v>118</v>
      </c>
      <c r="I80">
        <f t="shared" si="35"/>
        <v>-2.1619092185306394</v>
      </c>
      <c r="J80">
        <f t="shared" si="36"/>
        <v>6.0224613944782428</v>
      </c>
      <c r="K80">
        <f t="shared" si="37"/>
        <v>-2.1619092185306394</v>
      </c>
      <c r="L80">
        <f t="shared" si="38"/>
        <v>-0.35897435897435703</v>
      </c>
      <c r="M80" t="str">
        <f t="shared" si="39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0.86099999999999999</v>
      </c>
      <c r="E81">
        <v>11.23</v>
      </c>
      <c r="F81">
        <f t="shared" si="5"/>
        <v>8.0085000000000015</v>
      </c>
      <c r="G81" t="s">
        <v>152</v>
      </c>
      <c r="I81">
        <f t="shared" si="35"/>
        <v>20.752688172043008</v>
      </c>
      <c r="J81">
        <f t="shared" si="36"/>
        <v>13.887096774193539</v>
      </c>
      <c r="K81">
        <f t="shared" si="37"/>
        <v>20.752688172043008</v>
      </c>
      <c r="L81">
        <f t="shared" si="38"/>
        <v>1.4943863724351538</v>
      </c>
      <c r="M81" t="str">
        <f t="shared" si="39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35"/>
        <v>22.147651006711413</v>
      </c>
      <c r="J82">
        <f t="shared" si="36"/>
        <v>8.5167785234899327</v>
      </c>
      <c r="K82">
        <f t="shared" si="37"/>
        <v>22.147651006711413</v>
      </c>
      <c r="L82">
        <f t="shared" si="38"/>
        <v>2.6004728132387713</v>
      </c>
      <c r="M82" t="str">
        <f t="shared" si="39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35"/>
        <v>0.46948356807511077</v>
      </c>
      <c r="J83">
        <f t="shared" si="36"/>
        <v>1.977619139494494</v>
      </c>
      <c r="K83">
        <f t="shared" si="37"/>
        <v>0.46948356807511077</v>
      </c>
      <c r="L83">
        <f t="shared" si="38"/>
        <v>0.23739837398373737</v>
      </c>
      <c r="M83" t="str">
        <f t="shared" si="39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1.57</v>
      </c>
      <c r="E84">
        <v>33.24</v>
      </c>
      <c r="F84">
        <f t="shared" si="5"/>
        <v>28.474999999999998</v>
      </c>
      <c r="G84" t="s">
        <v>188</v>
      </c>
      <c r="I84">
        <f t="shared" si="35"/>
        <v>7.8170613039247607</v>
      </c>
      <c r="J84">
        <f t="shared" si="36"/>
        <v>7.6386636393123597</v>
      </c>
      <c r="K84">
        <f t="shared" si="37"/>
        <v>7.8170613039247607</v>
      </c>
      <c r="L84">
        <f t="shared" si="38"/>
        <v>1.02335456475584</v>
      </c>
      <c r="M84" t="str">
        <f t="shared" si="39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35"/>
        <v>8.7248322147651081</v>
      </c>
      <c r="J85">
        <f t="shared" si="36"/>
        <v>8.5167785234899327</v>
      </c>
      <c r="K85">
        <f t="shared" si="37"/>
        <v>8.7248322147651081</v>
      </c>
      <c r="L85">
        <f t="shared" si="38"/>
        <v>1.0244286840031529</v>
      </c>
      <c r="M85" t="str">
        <f t="shared" si="39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35"/>
        <v>-4.0679387712308612</v>
      </c>
      <c r="J86">
        <f t="shared" si="36"/>
        <v>3.617110505347036</v>
      </c>
      <c r="K86">
        <f t="shared" si="37"/>
        <v>-4.0679387712308612</v>
      </c>
      <c r="L86">
        <f t="shared" si="38"/>
        <v>-1.1246376811594181</v>
      </c>
      <c r="M86" t="str">
        <f t="shared" si="39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35"/>
        <v>0.77175381053443215</v>
      </c>
      <c r="J87">
        <f t="shared" si="36"/>
        <v>1.977619139494494</v>
      </c>
      <c r="K87">
        <f t="shared" si="37"/>
        <v>0.77175381053443215</v>
      </c>
      <c r="L87">
        <f t="shared" si="38"/>
        <v>0.39024390243902213</v>
      </c>
      <c r="M87" t="str">
        <f t="shared" si="39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35"/>
        <v>20.268256333830116</v>
      </c>
      <c r="J88">
        <f t="shared" si="36"/>
        <v>3.3532041728763078</v>
      </c>
      <c r="K88">
        <f t="shared" si="37"/>
        <v>20.268256333830116</v>
      </c>
      <c r="L88">
        <f t="shared" si="38"/>
        <v>6.0444444444444416</v>
      </c>
      <c r="M88" t="str">
        <f t="shared" si="39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14" si="40">C89-(1.5*D89)</f>
        <v>314.98500000000001</v>
      </c>
      <c r="G89" t="s">
        <v>118</v>
      </c>
      <c r="I89">
        <f t="shared" si="35"/>
        <v>-2.1711824869908458</v>
      </c>
      <c r="J89">
        <f t="shared" si="36"/>
        <v>5.8002870985106707</v>
      </c>
      <c r="K89">
        <f t="shared" si="37"/>
        <v>-2.1711824869908458</v>
      </c>
      <c r="L89">
        <f t="shared" si="38"/>
        <v>-0.37432327919566888</v>
      </c>
      <c r="M89" t="str">
        <f t="shared" si="39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40"/>
        <v>80.809999999999988</v>
      </c>
      <c r="G90" t="s">
        <v>105</v>
      </c>
      <c r="I90">
        <f t="shared" si="35"/>
        <v>0.26796589524969411</v>
      </c>
      <c r="J90">
        <f t="shared" si="36"/>
        <v>1.5712545676004948</v>
      </c>
      <c r="K90">
        <f t="shared" si="37"/>
        <v>0.26796589524969411</v>
      </c>
      <c r="L90">
        <f t="shared" si="38"/>
        <v>0.17054263565891303</v>
      </c>
      <c r="M90" t="str">
        <f t="shared" si="39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40"/>
        <v>212.47500000000002</v>
      </c>
      <c r="G91" t="s">
        <v>113</v>
      </c>
      <c r="I91">
        <f t="shared" si="35"/>
        <v>-1.3815042035901024</v>
      </c>
      <c r="J91">
        <f t="shared" si="36"/>
        <v>3.4423994546693879</v>
      </c>
      <c r="K91">
        <f t="shared" si="37"/>
        <v>-1.3815042035901024</v>
      </c>
      <c r="L91">
        <f t="shared" si="38"/>
        <v>-0.40132013201320466</v>
      </c>
      <c r="M91" t="str">
        <f t="shared" si="39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40"/>
        <v>438.61</v>
      </c>
      <c r="G92" t="s">
        <v>118</v>
      </c>
      <c r="I92">
        <f t="shared" si="35"/>
        <v>-4.8650637349319412</v>
      </c>
      <c r="J92">
        <f t="shared" si="36"/>
        <v>5.0771528123444458</v>
      </c>
      <c r="K92">
        <f t="shared" si="37"/>
        <v>-4.8650637349319412</v>
      </c>
      <c r="L92">
        <f t="shared" si="38"/>
        <v>-0.9582267689684586</v>
      </c>
      <c r="M92" t="str">
        <f t="shared" si="39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40"/>
        <v>182.66500000000002</v>
      </c>
      <c r="G93" t="s">
        <v>118</v>
      </c>
      <c r="I93">
        <f t="shared" ref="I93:I114" si="41">(E93-C93)/C93*(100)</f>
        <v>-0.69353228602953898</v>
      </c>
      <c r="J93">
        <f t="shared" ref="J93:J114" si="42">(C93-F93)/C93*100</f>
        <v>4.0272158881941849</v>
      </c>
      <c r="K93">
        <f t="shared" ref="K93:K114" si="43">(E93-C93)/C93*100</f>
        <v>-0.69353228602953898</v>
      </c>
      <c r="L93">
        <f t="shared" ref="L93:L114" si="44">K93/J93</f>
        <v>-0.17221135029354506</v>
      </c>
      <c r="M93" t="str">
        <f t="shared" ref="M93:M114" si="45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40"/>
        <v>313.41500000000002</v>
      </c>
      <c r="G94" t="s">
        <v>118</v>
      </c>
      <c r="I94">
        <f t="shared" si="41"/>
        <v>-2.4097833598749983</v>
      </c>
      <c r="J94">
        <f t="shared" si="42"/>
        <v>5.8276494095730245</v>
      </c>
      <c r="K94">
        <f t="shared" si="43"/>
        <v>-2.4097833598749983</v>
      </c>
      <c r="L94">
        <f t="shared" si="44"/>
        <v>-0.41350863624645467</v>
      </c>
      <c r="M94" t="str">
        <f t="shared" si="45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2.71</v>
      </c>
      <c r="E95">
        <v>55.04</v>
      </c>
      <c r="F95">
        <f t="shared" si="40"/>
        <v>55.135000000000005</v>
      </c>
      <c r="G95" t="s">
        <v>176</v>
      </c>
      <c r="I95">
        <f t="shared" si="41"/>
        <v>-7.0270270270270334</v>
      </c>
      <c r="J95">
        <f t="shared" si="42"/>
        <v>6.8665540540540499</v>
      </c>
      <c r="K95">
        <f t="shared" si="43"/>
        <v>-7.0270270270270334</v>
      </c>
      <c r="L95">
        <f t="shared" si="44"/>
        <v>-1.0233702337023385</v>
      </c>
      <c r="M95" t="str">
        <f t="shared" si="45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40"/>
        <v>19.454999999999998</v>
      </c>
      <c r="G96" t="s">
        <v>244</v>
      </c>
      <c r="I96">
        <f t="shared" si="41"/>
        <v>16.24441132637854</v>
      </c>
      <c r="J96">
        <f t="shared" si="42"/>
        <v>3.3532041728763078</v>
      </c>
      <c r="K96">
        <f t="shared" si="43"/>
        <v>16.24441132637854</v>
      </c>
      <c r="L96">
        <f t="shared" si="44"/>
        <v>4.8444444444444388</v>
      </c>
      <c r="M96" t="str">
        <f t="shared" si="45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0.34</v>
      </c>
      <c r="E97">
        <v>8.73</v>
      </c>
      <c r="F97">
        <f t="shared" si="40"/>
        <v>7.46</v>
      </c>
      <c r="G97" t="s">
        <v>113</v>
      </c>
      <c r="I97">
        <f t="shared" si="41"/>
        <v>9.5357590966123045</v>
      </c>
      <c r="J97">
        <f t="shared" si="42"/>
        <v>6.3989962358845647</v>
      </c>
      <c r="K97">
        <f t="shared" si="43"/>
        <v>9.5357590966123045</v>
      </c>
      <c r="L97">
        <f t="shared" si="44"/>
        <v>1.4901960784313744</v>
      </c>
      <c r="M97" t="str">
        <f t="shared" si="45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40"/>
        <v>184.095</v>
      </c>
      <c r="G98" t="s">
        <v>176</v>
      </c>
      <c r="I98">
        <f t="shared" si="41"/>
        <v>-4.010221109720483</v>
      </c>
      <c r="J98">
        <f t="shared" si="42"/>
        <v>3.9971839799749649</v>
      </c>
      <c r="K98">
        <f t="shared" si="43"/>
        <v>-4.010221109720483</v>
      </c>
      <c r="L98">
        <f t="shared" si="44"/>
        <v>-1.0032615786040451</v>
      </c>
      <c r="M98" t="str">
        <f t="shared" si="45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40"/>
        <v>314.41500000000002</v>
      </c>
      <c r="G99" t="s">
        <v>113</v>
      </c>
      <c r="I99">
        <f t="shared" si="41"/>
        <v>-1.9412240496090645</v>
      </c>
      <c r="J99">
        <f t="shared" si="42"/>
        <v>5.8101914262604426</v>
      </c>
      <c r="K99">
        <f t="shared" si="43"/>
        <v>-1.9412240496090645</v>
      </c>
      <c r="L99">
        <f t="shared" si="44"/>
        <v>-0.33410672853828427</v>
      </c>
      <c r="M99" t="str">
        <f t="shared" si="45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40"/>
        <v>4.7050000000000001</v>
      </c>
      <c r="G100" t="s">
        <v>188</v>
      </c>
      <c r="I100">
        <f t="shared" si="41"/>
        <v>4.6992481203007515</v>
      </c>
      <c r="J100">
        <f t="shared" si="42"/>
        <v>11.560150375939852</v>
      </c>
      <c r="K100">
        <f t="shared" si="43"/>
        <v>4.6992481203007515</v>
      </c>
      <c r="L100">
        <f t="shared" si="44"/>
        <v>0.40650406504065029</v>
      </c>
      <c r="M100" t="str">
        <f t="shared" si="45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40"/>
        <v>52.82</v>
      </c>
      <c r="G101" t="s">
        <v>176</v>
      </c>
      <c r="I101">
        <f t="shared" si="41"/>
        <v>-1.9086692829111671</v>
      </c>
      <c r="J101">
        <f t="shared" si="42"/>
        <v>5.7795219407777418</v>
      </c>
      <c r="K101">
        <f t="shared" si="43"/>
        <v>-1.9086692829111671</v>
      </c>
      <c r="L101">
        <f t="shared" si="44"/>
        <v>-0.33024691358024677</v>
      </c>
      <c r="M101" t="str">
        <f t="shared" si="45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0.34</v>
      </c>
      <c r="E102">
        <v>8.2200000000000006</v>
      </c>
      <c r="F102">
        <f t="shared" si="40"/>
        <v>7.46</v>
      </c>
      <c r="G102" t="s">
        <v>107</v>
      </c>
      <c r="I102">
        <f t="shared" si="41"/>
        <v>3.1367628607277402</v>
      </c>
      <c r="J102">
        <f t="shared" si="42"/>
        <v>6.3989962358845647</v>
      </c>
      <c r="K102">
        <f t="shared" si="43"/>
        <v>3.1367628607277402</v>
      </c>
      <c r="L102">
        <f t="shared" si="44"/>
        <v>0.49019607843137447</v>
      </c>
      <c r="M102" t="str">
        <f t="shared" si="45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40"/>
        <v>314.7</v>
      </c>
      <c r="G103" t="s">
        <v>105</v>
      </c>
      <c r="I103">
        <f t="shared" si="41"/>
        <v>-4.5182663108493664</v>
      </c>
      <c r="J103">
        <f t="shared" si="42"/>
        <v>3.4692187356216078</v>
      </c>
      <c r="K103">
        <f t="shared" si="43"/>
        <v>-4.5182663108493664</v>
      </c>
      <c r="L103">
        <f t="shared" si="44"/>
        <v>-1.3023872679045105</v>
      </c>
      <c r="M103" t="str">
        <f t="shared" si="45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40"/>
        <v>54.96</v>
      </c>
      <c r="G104" t="s">
        <v>113</v>
      </c>
      <c r="I104">
        <f t="shared" si="41"/>
        <v>-2.5386889236654513</v>
      </c>
      <c r="J104">
        <f t="shared" si="42"/>
        <v>4.4340114762649927</v>
      </c>
      <c r="K104">
        <f t="shared" si="43"/>
        <v>-2.5386889236654513</v>
      </c>
      <c r="L104">
        <f t="shared" si="44"/>
        <v>-0.5725490196078441</v>
      </c>
      <c r="M104" t="str">
        <f t="shared" si="45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40"/>
        <v>525.49</v>
      </c>
      <c r="G105" t="s">
        <v>105</v>
      </c>
      <c r="I105">
        <f t="shared" si="41"/>
        <v>-0.74716354579834976</v>
      </c>
      <c r="J105">
        <f t="shared" si="42"/>
        <v>3.0550687205977209</v>
      </c>
      <c r="K105">
        <f t="shared" si="43"/>
        <v>-0.74716354579834976</v>
      </c>
      <c r="L105">
        <f t="shared" si="44"/>
        <v>-0.24456521739130241</v>
      </c>
      <c r="M105" t="str">
        <f t="shared" si="45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40"/>
        <v>27.61</v>
      </c>
      <c r="G106" t="s">
        <v>118</v>
      </c>
      <c r="I106">
        <f t="shared" si="41"/>
        <v>-3.8674033149171305</v>
      </c>
      <c r="J106">
        <f t="shared" si="42"/>
        <v>4.661602209944756</v>
      </c>
      <c r="K106">
        <f t="shared" si="43"/>
        <v>-3.8674033149171305</v>
      </c>
      <c r="L106">
        <f t="shared" si="44"/>
        <v>-0.82962962962962949</v>
      </c>
      <c r="M106" t="str">
        <f t="shared" si="45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40"/>
        <v>174.88500000000002</v>
      </c>
      <c r="G107" t="s">
        <v>261</v>
      </c>
      <c r="I107">
        <f t="shared" si="41"/>
        <v>6.875414181577197</v>
      </c>
      <c r="J107">
        <f t="shared" si="42"/>
        <v>3.4211398277004599</v>
      </c>
      <c r="K107">
        <f t="shared" si="43"/>
        <v>6.875414181577197</v>
      </c>
      <c r="L107">
        <f t="shared" si="44"/>
        <v>2.0096852300242136</v>
      </c>
      <c r="M107" t="str">
        <f t="shared" si="45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40"/>
        <v>55.72</v>
      </c>
      <c r="G108" t="s">
        <v>176</v>
      </c>
      <c r="I108">
        <f t="shared" si="41"/>
        <v>-5.5970149253731414</v>
      </c>
      <c r="J108">
        <f t="shared" si="42"/>
        <v>5.495251017639081</v>
      </c>
      <c r="K108">
        <f t="shared" si="43"/>
        <v>-5.5970149253731414</v>
      </c>
      <c r="L108">
        <f t="shared" si="44"/>
        <v>-1.018518518518519</v>
      </c>
      <c r="M108" t="str">
        <f t="shared" si="45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1.28</v>
      </c>
      <c r="E109">
        <v>9.39</v>
      </c>
      <c r="F109">
        <f t="shared" si="40"/>
        <v>8.16</v>
      </c>
      <c r="G109" t="s">
        <v>113</v>
      </c>
      <c r="I109">
        <f t="shared" si="41"/>
        <v>-6.8452380952380905</v>
      </c>
      <c r="J109">
        <f t="shared" si="42"/>
        <v>19.047619047619047</v>
      </c>
      <c r="K109">
        <f t="shared" si="43"/>
        <v>-6.8452380952380905</v>
      </c>
      <c r="L109">
        <f t="shared" si="44"/>
        <v>-0.35937499999999978</v>
      </c>
      <c r="M109" t="str">
        <f t="shared" si="45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40"/>
        <v>55.970000000000006</v>
      </c>
      <c r="G110" t="s">
        <v>176</v>
      </c>
      <c r="I110">
        <f t="shared" si="41"/>
        <v>9.07382091592617</v>
      </c>
      <c r="J110">
        <f t="shared" si="42"/>
        <v>4.3574846206425102</v>
      </c>
      <c r="K110">
        <f t="shared" si="43"/>
        <v>9.07382091592617</v>
      </c>
      <c r="L110">
        <f t="shared" si="44"/>
        <v>2.0823529411764712</v>
      </c>
      <c r="M110" t="str">
        <f t="shared" si="45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40"/>
        <v>10.38</v>
      </c>
      <c r="G111" t="s">
        <v>113</v>
      </c>
      <c r="I111">
        <f t="shared" si="41"/>
        <v>-3.0068728522336894</v>
      </c>
      <c r="J111">
        <f t="shared" si="42"/>
        <v>10.824742268041234</v>
      </c>
      <c r="K111">
        <f t="shared" si="43"/>
        <v>-3.0068728522336894</v>
      </c>
      <c r="L111">
        <f t="shared" si="44"/>
        <v>-0.27777777777777901</v>
      </c>
      <c r="M111" t="str">
        <f t="shared" si="45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40"/>
        <v>30.81</v>
      </c>
      <c r="G112" t="s">
        <v>176</v>
      </c>
      <c r="I112">
        <f t="shared" si="41"/>
        <v>-7.7512525788387823</v>
      </c>
      <c r="J112">
        <f t="shared" si="42"/>
        <v>9.1954022988505777</v>
      </c>
      <c r="K112">
        <f t="shared" si="43"/>
        <v>-7.7512525788387823</v>
      </c>
      <c r="L112">
        <f t="shared" si="44"/>
        <v>-0.84294871794871729</v>
      </c>
      <c r="M112" t="str">
        <f t="shared" si="45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40"/>
        <v>87.95</v>
      </c>
      <c r="G113" t="s">
        <v>271</v>
      </c>
      <c r="I113">
        <f t="shared" si="41"/>
        <v>-3.8511607724018351</v>
      </c>
      <c r="J113">
        <f t="shared" si="42"/>
        <v>4.5888479062703453</v>
      </c>
      <c r="K113">
        <f t="shared" si="43"/>
        <v>-3.8511607724018351</v>
      </c>
      <c r="L113">
        <f t="shared" si="44"/>
        <v>-0.83924349881796878</v>
      </c>
      <c r="M113" t="str">
        <f t="shared" si="45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40"/>
        <v>52.54</v>
      </c>
      <c r="G114" t="s">
        <v>271</v>
      </c>
      <c r="I114">
        <f t="shared" si="41"/>
        <v>-2.0898834843721148</v>
      </c>
      <c r="J114">
        <f t="shared" si="42"/>
        <v>2.8296652487516205</v>
      </c>
      <c r="K114">
        <f t="shared" si="43"/>
        <v>-2.0898834843721148</v>
      </c>
      <c r="L114">
        <f t="shared" si="44"/>
        <v>-0.73856209150326901</v>
      </c>
      <c r="M114" t="str">
        <f t="shared" si="45"/>
        <v>Loss</v>
      </c>
      <c r="N114" t="s">
        <v>273</v>
      </c>
    </row>
  </sheetData>
  <phoneticPr fontId="1" type="noConversion"/>
  <conditionalFormatting sqref="E23:E114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Alonso</cp:lastModifiedBy>
  <cp:lastPrinted>2025-11-18T17:18:00Z</cp:lastPrinted>
  <dcterms:created xsi:type="dcterms:W3CDTF">2025-10-30T17:34:36Z</dcterms:created>
  <dcterms:modified xsi:type="dcterms:W3CDTF">2026-02-13T17:49:47Z</dcterms:modified>
</cp:coreProperties>
</file>