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76083AC3-1A37-4312-AE7B-D9FB12148835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5" i="1" l="1"/>
  <c r="D77" i="1"/>
  <c r="D124" i="1"/>
  <c r="D123" i="1"/>
  <c r="D105" i="1" l="1"/>
  <c r="D19" i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<sst xmlns="http://schemas.openxmlformats.org/spreadsheetml/2006/main" count="559" uniqueCount="304">
  <si>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</si>
  <si>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</si>
  <si>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</si>
  <si>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</si>
  <si>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</si>
  <si>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</si>
  <si>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</si>
  <si>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</si>
  <si>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</si>
  <si>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</si>
  <si>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</si>
  <si>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</si>
  <si>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</si>
  <si>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</si>
  <si>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</si>
  <si>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</si>
  <si>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</si>
  <si>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</si>
  <si>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</si>
  <si>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</si>
  <si>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</si>
  <si>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</si>
  <si>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</si>
  <si>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</si>
  <si>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</si>
  <si>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</si>
  <si>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</si>
  <si>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</si>
  <si>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</si>
  <si>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</si>
  <si>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</si>
  <si>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</si>
  <si>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</si>
  <si>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</si>
  <si>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</si>
  <si>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</si>
  <si>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</si>
  <si>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</si>
  <si>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</si>
  <si>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</si>
  <si>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</si>
  <si>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</si>
  <si>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</si>
  <si>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</si>
  <si>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</si>
  <si>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</si>
  <si>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</si>
  <si>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</si>
  <si>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</si>
  <si>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</si>
  <si>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</si>
  <si>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</si>
  <si>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</si>
  <si>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</si>
  <si>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</si>
  <si>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</si>
  <si>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</si>
  <si>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</si>
  <si>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</si>
  <si>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</si>
  <si>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</si>
  <si>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</si>
  <si>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</si>
  <si>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</si>
  <si>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</si>
  <si>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</si>
  <si>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</si>
  <si>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</si>
  <si>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</si>
  <si>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</si>
  <si>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</si>
  <si>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</si>
  <si>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</si>
  <si>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</si>
  <si>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</si>
  <si>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</si>
  <si>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</si>
  <si>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</si>
  <si>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</si>
  <si>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</si>
  <si>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</si>
  <si>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</si>
  <si>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</si>
  <si>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</si>
  <si>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</si>
  <si>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</si>
  <si>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</si>
  <si>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</si>
  <si>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</si>
  <si>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</si>
  <si>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</si>
  <si>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</si>
  <si>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</si>
  <si>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</si>
  <si>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</si>
  <si>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</si>
  <si>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</si>
  <si>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</si>
  <si>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</si>
  <si>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</si>
  <si>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</si>
  <si>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</si>
  <si>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</si>
  <si>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</si>
  <si>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</si>
  <si>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</si>
  <si>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</si>
  <si>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</si>
  <si>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</si>
  <si>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</si>
  <si>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</si>
  <si>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</si>
  <si>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</si>
  <si>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</si>
  <si>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</si>
  <si>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</si>
  <si>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</si>
  <si>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</si>
  <si>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</si>
  <si>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</si>
  <si>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</si>
  <si>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</si>
  <si>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</si>
  <si>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</si>
  <si>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</si>
  <si>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</si>
  <si>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</si>
  <si>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</si>
  <si>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</si>
  <si>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</si>
  <si>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</si>
  <si>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</si>
  <si>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</si>
  <si>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</si>
  <si>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</si>
  <si>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</si>
  <si>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</si>
  <si>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</si>
  <si>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</si>
  <si>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</si>
  <si>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</si>
  <si>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</si>
  <si>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</si>
  <si>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</si>
  <si>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</si>
  <si>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</si>
  <si>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</si>
  <si>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</si>
  <si>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</si>
  <si>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</si>
  <si>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</si>
  <si>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</si>
  <si>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</si>
  <si>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</si>
  <si>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</si>
  <si>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</si>
  <si>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</si>
  <si>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</si>
  <si>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</si>
  <si>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</si>
  <si>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</si>
  <si>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</si>
  <si>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</si>
  <si>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</si>
  <si>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</si>
  <si>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</si>
  <si>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</si>
  <si>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</si>
  <si>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</si>
  <si>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</si>
  <si>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</si>
  <si>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</si>
  <si>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</si>
  <si>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</si>
  <si>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</si>
  <si>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</si>
  <si>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</si>
  <si>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</si>
  <si>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</si>
  <si>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</si>
  <si>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</si>
  <si>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</si>
  <si>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</si>
  <si>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</si>
  <si>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</si>
  <si>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</si>
  <si>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</si>
  <si>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</si>
  <si>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</si>
  <si>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</si>
  <si>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</si>
  <si>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</si>
  <si>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</si>
  <si>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</si>
  <si>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</si>
  <si>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</si>
  <si>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</si>
  <si>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</si>
  <si>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</si>
  <si>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</si>
  <si>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</si>
  <si>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</si>
  <si>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</si>
  <si>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</si>
  <si>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</si>
  <si>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</si>
  <si>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</si>
  <si>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</si>
  <si>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</si>
  <si>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</si>
  <si>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</si>
  <si>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</si>
  <si>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</si>
  <si>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</si>
  <si>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</si>
  <si>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</si>
  <si>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</si>
  <si>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</si>
  <si>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</si>
  <si>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</si>
  <si>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</si>
  <si>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</si>
  <si>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</si>
  <si>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</si>
  <si>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</si>
  <si>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</si>
  <si>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</si>
  <si>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</si>
  <si>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</si>
  <si>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</si>
  <si>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</si>
  <si>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</si>
  <si>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</si>
  <si>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</si>
  <si>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</si>
  <si>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</si>
  <si>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</si>
  <si>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</si>
  <si>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</si>
  <si>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</si>
  <si>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</si>
  <si>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</si>
  <si>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</si>
  <si>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</si>
  <si>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</si>
  <si>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</si>
  <si>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</si>
  <si>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</si>
  <si>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</si>
  <si>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</si>
  <si>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</si>
  <si>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</si>
  <si>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</si>
  <si>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</si>
  <si>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</si>
  <si>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</si>
  <si>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</si>
  <si>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</si>
  <si>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</si>
  <si>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</si>
  <si>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</si>
  <si>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</si>
  <si>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</si>
  <si>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</si>
  <si>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</si>
  <si>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</si>
  <si>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</si>
  <si>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</si>
  <si>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</si>
  <si>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</si>
  <si>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</si>
  <si>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</si>
  <si>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</si>
  <si>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</si>
  <si>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</si>
  <si>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</si>
  <si>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</si>
  <si>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</si>
  <si>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</si>
  <si>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</si>
  <si>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</si>
  <si>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</si>
  <si>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</si>
  <si>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</si>
  <si>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</si>
  <si>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</si>
  <si>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</si>
  <si>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</si>
  <si>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</si>
  <si>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</si>
  <si>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</si>
  <si>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</si>
  <si>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</si>
  <si>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</si>
  <si>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</si>
  <si>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</si>
  <si>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</si>
  <si>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</si>
  <si>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</si>
  <si>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</si>
  <si>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BDX</t>
  </si>
  <si>
    <t>XLE</t>
  </si>
  <si>
    <t>NUE</t>
  </si>
  <si>
    <t>pzg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</si>
</sst>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5"/>
  <sheetViews>
    <sheetView tabSelected="1" workbookViewId="0">
      <pane xSplit="5" ySplit="13" topLeftCell="F89" activePane="bottomRight" state="frozen"/>
      <selection pane="topRight" activeCell="F1" sqref="F1"/>
      <selection pane="bottomLeft" activeCell="A14" sqref="A14"/>
      <selection pane="bottomRight" activeCell="D101" sqref="D101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303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1.69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1.48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0.20999999999999996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95.238095238095255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2958.5798816568049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95.238095238095255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77.2</v>
      </c>
      <c r="C19">
        <v>1.9</v>
      </c>
      <c r="D19">
        <f>B19-(1.5*C19)</f>
        <v>74.350000000000009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138.41999999999999</v>
      </c>
      <c r="C25">
        <v>3.41</v>
      </c>
      <c r="D25">
        <f>B25-(1*C25)</f>
        <v>135.01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92.81</v>
      </c>
      <c r="C59">
        <v>4.78</v>
      </c>
      <c r="D59">
        <f>B59-(1*C59)</f>
        <v>88.03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13.07</v>
      </c>
      <c r="C66">
        <v>1.01</v>
      </c>
      <c r="D66">
        <f>B66-(1.5*C66)</f>
        <v>11.555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215.7</v>
      </c>
      <c r="C77">
        <v>4.47</v>
      </c>
      <c r="D77">
        <f>B77-(1.5*C77)</f>
        <v>208.99499999999998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1.69</v>
      </c>
      <c r="C101">
        <v>0.14000000000000001</v>
      </c>
      <c r="D101">
        <f t="shared" si="2"/>
        <v>1.48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5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165.12</v>
      </c>
      <c r="C113">
        <v>6.18</v>
      </c>
      <c r="D113">
        <f t="shared" si="3"/>
        <v>155.85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20.81</v>
      </c>
      <c r="C120">
        <v>1.81</v>
      </c>
      <c r="D120">
        <f t="shared" si="3"/>
        <v>18.094999999999999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  <row r="123" spans="1:4" x14ac:dyDescent="0.25">
      <c r="A123" t="s">
        <v>300</v>
      </c>
      <c r="B123">
        <v>156.80000000000001</v>
      </c>
      <c r="C123">
        <v>3.88</v>
      </c>
      <c r="D123">
        <f t="shared" si="3"/>
        <v>150.98000000000002</v>
      </c>
    </row>
    <row r="124" spans="1:4" x14ac:dyDescent="0.25">
      <c r="A124" t="s">
        <v>301</v>
      </c>
      <c r="B124">
        <v>58.85</v>
      </c>
      <c r="C124">
        <v>1.07</v>
      </c>
      <c r="D124">
        <f t="shared" si="3"/>
        <v>57.245000000000005</v>
      </c>
    </row>
    <row r="125" spans="1:4" x14ac:dyDescent="0.25">
      <c r="A125" t="s">
        <v>302</v>
      </c>
      <c r="B125">
        <v>166.95</v>
      </c>
      <c r="C125">
        <v>4.8</v>
      </c>
      <c r="D125">
        <f t="shared" si="3"/>
        <v>159.75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0.28937074989942763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3.41</v>
      </c>
      <c r="E23">
        <v>127.82</v>
      </c>
      <c r="F23">
        <f t="shared" si="5"/>
        <v>114.94500000000001</v>
      </c>
      <c r="G23" t="s">
        <v>110</v>
      </c>
      <c r="I23">
        <f t="shared" si="6"/>
        <v>6.4634349491920622</v>
      </c>
      <c r="J23">
        <f t="shared" si="7"/>
        <v>4.2603698150924494</v>
      </c>
      <c r="K23">
        <f t="shared" si="8"/>
        <v>6.4634349491920622</v>
      </c>
      <c r="L23">
        <f t="shared" si="9"/>
        <v>1.5171065493646134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1.01</v>
      </c>
      <c r="E38">
        <v>14.06</v>
      </c>
      <c r="F38">
        <f t="shared" si="5"/>
        <v>10.494999999999999</v>
      </c>
      <c r="G38" t="s">
        <v>164</v>
      </c>
      <c r="I38">
        <f t="shared" si="11"/>
        <v>17.069109075770196</v>
      </c>
      <c r="J38">
        <f t="shared" si="12"/>
        <v>12.614487926727733</v>
      </c>
      <c r="K38">
        <f t="shared" si="13"/>
        <v>17.069109075770196</v>
      </c>
      <c r="L38">
        <f t="shared" si="14"/>
        <v>1.3531353135313529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4.47</v>
      </c>
      <c r="E46">
        <v>177.02</v>
      </c>
      <c r="F46">
        <f t="shared" si="5"/>
        <v>167.285</v>
      </c>
      <c r="G46" t="s">
        <v>149</v>
      </c>
      <c r="I46">
        <f t="shared" si="11"/>
        <v>1.7414793953675505</v>
      </c>
      <c r="J46">
        <f t="shared" si="12"/>
        <v>3.8536697511351297</v>
      </c>
      <c r="K46">
        <f t="shared" si="13"/>
        <v>1.7414793953675505</v>
      </c>
      <c r="L46">
        <f t="shared" si="14"/>
        <v>0.45190156599552506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1.01</v>
      </c>
      <c r="E47">
        <v>13.75</v>
      </c>
      <c r="F47">
        <f t="shared" si="5"/>
        <v>10.475</v>
      </c>
      <c r="G47" t="s">
        <v>155</v>
      </c>
      <c r="I47">
        <f t="shared" si="11"/>
        <v>14.678899082568805</v>
      </c>
      <c r="J47">
        <f t="shared" si="12"/>
        <v>12.635529608006676</v>
      </c>
      <c r="K47">
        <f t="shared" si="13"/>
        <v>14.678899082568805</v>
      </c>
      <c r="L47">
        <f t="shared" si="14"/>
        <v>1.1617161716171611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0.14000000000000001</v>
      </c>
      <c r="E75">
        <v>1.45</v>
      </c>
      <c r="F75">
        <f t="shared" si="5"/>
        <v>1.3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13.90728476821192</v>
      </c>
      <c r="K75">
        <f t="shared" ref="K75:K92" si="23">(E75-C75)/C75*100</f>
        <v>-3.9735099337748379</v>
      </c>
      <c r="L75">
        <f t="shared" ref="L75:L92" si="24">K75/J75</f>
        <v>-0.28571428571428598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0.14000000000000001</v>
      </c>
      <c r="E82">
        <v>1.82</v>
      </c>
      <c r="F82">
        <f t="shared" si="5"/>
        <v>1.28</v>
      </c>
      <c r="G82" t="s">
        <v>176</v>
      </c>
      <c r="I82">
        <f t="shared" si="21"/>
        <v>22.147651006711413</v>
      </c>
      <c r="J82">
        <f t="shared" si="22"/>
        <v>14.09395973154362</v>
      </c>
      <c r="K82">
        <f t="shared" si="23"/>
        <v>22.147651006711413</v>
      </c>
      <c r="L82">
        <f t="shared" si="24"/>
        <v>1.5714285714285721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0.14000000000000001</v>
      </c>
      <c r="E85">
        <v>1.62</v>
      </c>
      <c r="F85">
        <f t="shared" si="5"/>
        <v>1.28</v>
      </c>
      <c r="G85" t="s">
        <v>105</v>
      </c>
      <c r="I85">
        <f t="shared" si="21"/>
        <v>8.7248322147651081</v>
      </c>
      <c r="J85">
        <f t="shared" si="22"/>
        <v>14.09395973154362</v>
      </c>
      <c r="K85">
        <f t="shared" si="23"/>
        <v>8.7248322147651081</v>
      </c>
      <c r="L85">
        <f t="shared" si="24"/>
        <v>0.61904761904761973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6.18</v>
      </c>
      <c r="E132">
        <v>166.62</v>
      </c>
      <c r="F132">
        <f t="shared" si="26"/>
        <v>167.73999999999998</v>
      </c>
      <c r="I132">
        <f t="shared" si="32"/>
        <v>-5.8697248743008794</v>
      </c>
      <c r="J132">
        <f t="shared" si="33"/>
        <v>5.236992260324282</v>
      </c>
      <c r="K132">
        <f t="shared" si="34"/>
        <v>-5.8697248743008794</v>
      </c>
      <c r="L132">
        <f t="shared" si="35"/>
        <v>-1.1208198489751859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2026-04-01T16:49:48Z</dcterms:modified>
</cp:coreProperties>
</file>