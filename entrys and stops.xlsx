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ocuments\Trading\"/>
    </mc:Choice>
  </mc:AlternateContent>
  <xr:revisionPtr revIDLastSave="0" documentId="13_ncr:1_{929B38AC-4185-44CB-9AE1-6D6DC0F454B2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4" i="1" l="1"/>
  <c r="I36" i="3"/>
  <c r="M36" i="3" s="1"/>
  <c r="K36" i="3"/>
  <c r="D36" i="3"/>
  <c r="F36" i="3" s="1"/>
  <c r="J36" i="3" s="1"/>
  <c r="L36" i="3" s="1"/>
  <c r="I35" i="3"/>
  <c r="M35" i="3" s="1"/>
  <c r="K35" i="3"/>
  <c r="D35" i="3"/>
  <c r="F35" i="3" s="1"/>
  <c r="J35" i="3" s="1"/>
  <c r="L35" i="3" s="1"/>
  <c r="I34" i="3"/>
  <c r="M34" i="3"/>
  <c r="K34" i="3"/>
  <c r="D34" i="3"/>
  <c r="F34" i="3" s="1"/>
  <c r="I33" i="3"/>
  <c r="M33" i="3" s="1"/>
  <c r="K33" i="3"/>
  <c r="D33" i="3"/>
  <c r="I32" i="3"/>
  <c r="M32" i="3"/>
  <c r="K32" i="3"/>
  <c r="D32" i="3"/>
  <c r="F32" i="3" s="1"/>
  <c r="J32" i="3" s="1"/>
  <c r="L32" i="3" s="1"/>
  <c r="I31" i="3"/>
  <c r="M31" i="3"/>
  <c r="K31" i="3"/>
  <c r="D31" i="3"/>
  <c r="F31" i="3" s="1"/>
  <c r="D30" i="3"/>
  <c r="F30" i="3" s="1"/>
  <c r="I30" i="3"/>
  <c r="M30" i="3"/>
  <c r="K30" i="3"/>
  <c r="D83" i="1"/>
  <c r="I29" i="3"/>
  <c r="M29" i="3" s="1"/>
  <c r="K29" i="3"/>
  <c r="D29" i="3"/>
  <c r="F29" i="3" s="1"/>
  <c r="J29" i="3" s="1"/>
  <c r="L29" i="3" s="1"/>
  <c r="D62" i="1"/>
  <c r="D70" i="1"/>
  <c r="D59" i="1"/>
  <c r="D26" i="1"/>
  <c r="D51" i="1"/>
  <c r="D24" i="1"/>
  <c r="D53" i="1"/>
  <c r="D82" i="1"/>
  <c r="I28" i="3"/>
  <c r="M28" i="3" s="1"/>
  <c r="K28" i="3"/>
  <c r="D28" i="3"/>
  <c r="F28" i="3" s="1"/>
  <c r="D60" i="1"/>
  <c r="D72" i="1"/>
  <c r="D74" i="1"/>
  <c r="D64" i="1"/>
  <c r="I27" i="3"/>
  <c r="M27" i="3" s="1"/>
  <c r="K27" i="3"/>
  <c r="D27" i="3"/>
  <c r="D81" i="1"/>
  <c r="D80" i="1"/>
  <c r="D79" i="1"/>
  <c r="D65" i="1"/>
  <c r="I26" i="3"/>
  <c r="M26" i="3"/>
  <c r="K26" i="3"/>
  <c r="D26" i="3"/>
  <c r="F26" i="3" s="1"/>
  <c r="D78" i="1"/>
  <c r="C8" i="2"/>
  <c r="D66" i="1"/>
  <c r="D77" i="1"/>
  <c r="D76" i="1"/>
  <c r="D68" i="1"/>
  <c r="D75" i="1"/>
  <c r="D73" i="1"/>
  <c r="D34" i="1"/>
  <c r="I25" i="3"/>
  <c r="K25" i="3"/>
  <c r="M25" i="3"/>
  <c r="D25" i="3"/>
  <c r="F25" i="3" s="1"/>
  <c r="I24" i="3"/>
  <c r="M24" i="3"/>
  <c r="K24" i="3"/>
  <c r="D24" i="3"/>
  <c r="F24" i="3" s="1"/>
  <c r="D46" i="1"/>
  <c r="D71" i="1"/>
  <c r="D69" i="1"/>
  <c r="I23" i="3"/>
  <c r="K23" i="3"/>
  <c r="M23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10" i="3"/>
  <c r="F10" i="3" s="1"/>
  <c r="D25" i="1"/>
  <c r="I13" i="3"/>
  <c r="M13" i="3" s="1"/>
  <c r="D63" i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37" i="1"/>
  <c r="D48" i="1"/>
  <c r="D54" i="1"/>
  <c r="D40" i="1"/>
  <c r="D52" i="1"/>
  <c r="D38" i="1"/>
  <c r="D49" i="1"/>
  <c r="D45" i="1"/>
  <c r="D44" i="1"/>
  <c r="D43" i="1"/>
  <c r="D39" i="1"/>
  <c r="D42" i="1"/>
  <c r="D41" i="1"/>
  <c r="D36" i="1"/>
  <c r="D35" i="1"/>
  <c r="D29" i="1"/>
  <c r="C11" i="2" s="1"/>
  <c r="D33" i="1"/>
  <c r="B13" i="2"/>
  <c r="H7" i="1"/>
  <c r="H4" i="1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D23" i="1"/>
  <c r="C7" i="2" s="1"/>
  <c r="B4" i="2"/>
  <c r="B5" i="2"/>
  <c r="B6" i="2"/>
  <c r="B3" i="2"/>
  <c r="D22" i="1"/>
  <c r="C6" i="2" s="1"/>
  <c r="D21" i="1"/>
  <c r="C5" i="2" s="1"/>
  <c r="D20" i="1"/>
  <c r="C3" i="2" s="1"/>
  <c r="D19" i="1"/>
  <c r="D18" i="1"/>
  <c r="D17" i="1"/>
  <c r="D16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F11" i="3" l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J26" i="3"/>
  <c r="L26" i="3" s="1"/>
  <c r="J25" i="3"/>
  <c r="L25" i="3" s="1"/>
  <c r="J31" i="3"/>
  <c r="L31" i="3" s="1"/>
  <c r="L23" i="3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1" i="3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H5" i="1"/>
  <c r="H8" i="1" s="1"/>
  <c r="H9" i="1" s="1"/>
  <c r="D13" i="2"/>
  <c r="H10" i="1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<sst xmlns="http://schemas.openxmlformats.org/spreadsheetml/2006/main" count="228" uniqueCount="163">
  <si>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</si>
  <si>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</si>
  <si>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</si>
  <si>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</si>
  <si>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</si>
  <si>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</si>
  <si>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</si>
  <si>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</si>
  <si>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</si>
  <si>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</si>
  <si>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</si>
  <si>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</si>
  <si>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</si>
  <si>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</si>
  <si>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</si>
  <si>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</si>
  <si>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</si>
  <si>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</si>
  <si>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</si>
  <si>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</si>
  <si>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</si>
  <si>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</si>
  <si>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</si>
  <si>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</si>
  <si>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</si>
  <si>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</si>
  <si>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</si>
  <si>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</si>
  <si>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</si>
  <si>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</si>
  <si>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</si>
  <si>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</si>
  <si>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</si>
  <si>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</si>
  <si>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</si>
  <si>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</si>
  <si>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</si>
  <si>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</si>
  <si>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</si>
  <si>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</si>
  <si>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</si>
  <si>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</si>
  <si>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</si>
  <si>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</si>
  <si>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</si>
  <si>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</si>
  <si>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</si>
  <si>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</si>
  <si>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</si>
  <si>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</si>
  <si>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</si>
  <si>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</si>
  <si>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</si>
  <si>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</si>
  <si>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</si>
  <si>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</si>
  <si>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</si>
  <si>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</si>
  <si>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</si>
  <si>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</si>
  <si>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</si>
  <si>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</si>
  <si>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</si>
  <si>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</si>
  <si>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</si>
  <si>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</si>
  <si>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</si>
  <si>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</si>
  <si>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</si>
  <si>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</si>
  <si>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</si>
  <si>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</si>
  <si>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</si>
  <si>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</si>
  <si>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</si>
  <si>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</si>
  <si>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</si>
  <si>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</si>
  <si>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</si>
  <si>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</si>
  <si>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</si>
  <si>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</si>
  <si>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</si>
  <si>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</si>
  <si>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</si>
  <si>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</si>
  <si>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</si>
  <si>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</si>
  <si>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</si>
  <si>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</si>
  <si>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</si>
  <si>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</si>
  <si>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</si>
  <si>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</si>
  <si>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</si>
  <si>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</si>
  <si>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</si>
  <si>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</si>
  <si>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</si>
  <si>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</si>
  <si>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</si>
  <si>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</si>
  <si>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</si>
  <si>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</si>
  <si>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</si>
  <si>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</si>
  <si>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</si>
  <si>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</si>
  <si>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</si>
  <si>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</si>
  <si>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</si>
  <si>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</si>
  <si>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</si>
  <si>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</si>
  <si>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</si>
  <si>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</si>
  <si>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</si>
  <si>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</si>
  <si>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</si>
  <si>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</si>
  <si>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</si>
  <si>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</si>
  <si>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</si>
  <si>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</si>
  <si>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</si>
  <si>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</si>
  <si>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</si>
  <si>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</si>
  <si>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</si>
  <si>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</si>
  <si>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</si>
  <si>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</si>
  <si>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</si>
  <si>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</si>
  <si>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</si>
  <si>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</si>
  <si>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</si>
  <si>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</si>
  <si>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</si>
  <si>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</si>
  <si>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</si>
  <si>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</si>
  <si>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</si>
  <si>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</si>
  <si>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</si>
  <si>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</si>
  <si>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</si>
  <si>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</si>
  <si>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</si>
  <si>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</si>
  <si>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</si>
  <si>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</si>
  <si>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</si>
  <si>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</si>
  <si>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</si>
  <si>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</si>
  <si>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</si>
  <si>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</si>
  <si>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</si>
  <si>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</si>
  <si>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</si>
  <si>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</si>
  <si>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amzn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</si>
</sst>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84"/>
  <sheetViews>
    <sheetView tabSelected="1" workbookViewId="0">
      <pane xSplit="5" ySplit="13" topLeftCell="F50" activePane="bottomRight" state="frozen"/>
      <selection pane="topRight" activeCell="F1" sqref="F1"/>
      <selection pane="bottomLeft" activeCell="A14" sqref="A14"/>
      <selection pane="bottomRight" activeCell="D9" sqref="D9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162</v>
      </c>
      <c r="G2" t="s">
        <v>26</v>
      </c>
      <c r="H2">
        <v>9400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VLOOKUP($F$2,$A$3:$D$99,2,FALSE)</f>
        <v>231.63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VLOOKUP($F$2,$A$3:$D$99,4,FALSE)</f>
        <v>222.435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3600</v>
      </c>
    </row>
    <row r="7" spans="1:9" x14ac:dyDescent="0.25">
      <c r="A7" t="s">
        <v>8</v>
      </c>
      <c r="B7">
        <v>20.38</v>
      </c>
      <c r="C7">
        <v>2.5</v>
      </c>
      <c r="D7">
        <f t="shared" si="0"/>
        <v>16.63</v>
      </c>
      <c r="G7" t="s">
        <v>48</v>
      </c>
      <c r="H7">
        <f>$H$2*(H3/100)</f>
        <v>47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9.1949999999999932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5.1114736269711836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15.542028234684627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5.1114736269711836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47</v>
      </c>
      <c r="I12" t="s">
        <v>40</v>
      </c>
    </row>
    <row r="13" spans="1:9" x14ac:dyDescent="0.25">
      <c r="A13" t="s">
        <v>14</v>
      </c>
      <c r="B13">
        <v>7.11</v>
      </c>
      <c r="C13">
        <v>0.35</v>
      </c>
      <c r="D13">
        <f t="shared" si="0"/>
        <v>6.5850000000000009</v>
      </c>
      <c r="G13" t="s">
        <v>41</v>
      </c>
      <c r="H13">
        <f>(H12/H2)*100</f>
        <v>0.5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91.33</v>
      </c>
      <c r="C16">
        <v>5.3</v>
      </c>
      <c r="D16">
        <f t="shared" si="0"/>
        <v>83.38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39.74</v>
      </c>
      <c r="C18">
        <v>0.64</v>
      </c>
      <c r="D18">
        <f t="shared" si="0"/>
        <v>38.78</v>
      </c>
    </row>
    <row r="19" spans="1:4" x14ac:dyDescent="0.25">
      <c r="A19" t="s">
        <v>20</v>
      </c>
      <c r="B19">
        <v>69.73</v>
      </c>
      <c r="C19">
        <v>1.68</v>
      </c>
      <c r="D19">
        <f t="shared" si="0"/>
        <v>67.210000000000008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2.95</v>
      </c>
      <c r="C23">
        <v>0.23599999999999999</v>
      </c>
      <c r="D23">
        <f t="shared" si="0"/>
        <v>2.5960000000000001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3.17</v>
      </c>
      <c r="C27">
        <v>0.28710000000000002</v>
      </c>
      <c r="D27">
        <f t="shared" si="0"/>
        <v>2.73935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6.32</v>
      </c>
      <c r="C30">
        <v>0.21</v>
      </c>
      <c r="D30">
        <f t="shared" si="0"/>
        <v>6.0049999999999999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4.54</v>
      </c>
      <c r="C32">
        <v>0.3</v>
      </c>
      <c r="D32">
        <f t="shared" si="0"/>
        <v>4.09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16.420000000000002</v>
      </c>
      <c r="C35">
        <v>0.98</v>
      </c>
      <c r="D35">
        <f>B35-(1*C35)</f>
        <v>15.440000000000001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239.81</v>
      </c>
      <c r="C37">
        <v>13.41</v>
      </c>
      <c r="D37">
        <f>B37-(1.5*C37)</f>
        <v>219.69499999999999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55.58</v>
      </c>
      <c r="C39">
        <v>1.73</v>
      </c>
      <c r="D39">
        <f>B39-(1*C39)</f>
        <v>53.85</v>
      </c>
    </row>
    <row r="40" spans="1:4" x14ac:dyDescent="0.25">
      <c r="A40" t="s">
        <v>68</v>
      </c>
      <c r="B40">
        <v>194.3</v>
      </c>
      <c r="C40">
        <v>7.59</v>
      </c>
      <c r="D40">
        <f>B40-(2*C40)</f>
        <v>179.12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6.02</v>
      </c>
      <c r="C49">
        <v>0.58540000000000003</v>
      </c>
      <c r="D49">
        <f>B49-(1.5*C49)</f>
        <v>5.1418999999999997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39.479999999999997</v>
      </c>
      <c r="C51">
        <v>0.62</v>
      </c>
      <c r="D51">
        <f>B51-(1.2*C51)</f>
        <v>38.735999999999997</v>
      </c>
    </row>
    <row r="52" spans="1:4" x14ac:dyDescent="0.25">
      <c r="A52" t="s">
        <v>79</v>
      </c>
      <c r="B52">
        <v>169.86</v>
      </c>
      <c r="C52">
        <v>8.98</v>
      </c>
      <c r="D52">
        <f>B52-(1.5*C52)</f>
        <v>156.39000000000001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77.52</v>
      </c>
      <c r="C56">
        <v>0.82</v>
      </c>
      <c r="D56">
        <f t="shared" ref="D56:D61" si="1">B56-(1.5*C56)</f>
        <v>76.289999999999992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99.09</v>
      </c>
      <c r="C59">
        <v>4.87</v>
      </c>
      <c r="D59">
        <f>B59-(1.5*C59)</f>
        <v>91.784999999999997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125.37</v>
      </c>
      <c r="C61">
        <v>3.25</v>
      </c>
      <c r="D61">
        <f t="shared" si="1"/>
        <v>120.495</v>
      </c>
    </row>
    <row r="62" spans="1:4" x14ac:dyDescent="0.25">
      <c r="A62" t="s">
        <v>122</v>
      </c>
      <c r="B62">
        <v>8.52</v>
      </c>
      <c r="C62">
        <v>1.03</v>
      </c>
      <c r="D62">
        <f>B62-(1*C62)</f>
        <v>7.4899999999999993</v>
      </c>
    </row>
    <row r="63" spans="1:4" x14ac:dyDescent="0.25">
      <c r="A63" t="s">
        <v>123</v>
      </c>
      <c r="B63">
        <v>9.09</v>
      </c>
      <c r="C63">
        <v>0.49840000000000001</v>
      </c>
      <c r="D63">
        <f>B63-(2*C63)</f>
        <v>8.0931999999999995</v>
      </c>
    </row>
    <row r="64" spans="1:4" x14ac:dyDescent="0.25">
      <c r="A64" t="s">
        <v>124</v>
      </c>
      <c r="B64">
        <v>154.36000000000001</v>
      </c>
      <c r="C64">
        <v>2.94</v>
      </c>
      <c r="D64">
        <f>B64-(1*C64)</f>
        <v>151.42000000000002</v>
      </c>
    </row>
    <row r="65" spans="1:4" x14ac:dyDescent="0.25">
      <c r="A65" t="s">
        <v>125</v>
      </c>
      <c r="B65">
        <v>53.9</v>
      </c>
      <c r="C65">
        <v>2</v>
      </c>
      <c r="D65">
        <f>B65-(1*C65)</f>
        <v>51.9</v>
      </c>
    </row>
    <row r="66" spans="1:4" x14ac:dyDescent="0.25">
      <c r="A66" t="s">
        <v>126</v>
      </c>
      <c r="B66">
        <v>11.98</v>
      </c>
      <c r="C66">
        <v>1.06</v>
      </c>
      <c r="D66">
        <f>B66-(1.2*C66)</f>
        <v>10.708</v>
      </c>
    </row>
    <row r="67" spans="1:4" x14ac:dyDescent="0.25">
      <c r="A67" t="s">
        <v>127</v>
      </c>
      <c r="B67">
        <v>2.17</v>
      </c>
      <c r="C67">
        <v>0.1605</v>
      </c>
      <c r="D67">
        <f t="shared" ref="D67:D73" si="2"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25.69</v>
      </c>
      <c r="C69">
        <v>1.24</v>
      </c>
      <c r="D69">
        <f t="shared" si="2"/>
        <v>23.21</v>
      </c>
    </row>
    <row r="70" spans="1:4" x14ac:dyDescent="0.25">
      <c r="A70" t="s">
        <v>131</v>
      </c>
      <c r="B70">
        <v>23.23</v>
      </c>
      <c r="C70">
        <v>1.17</v>
      </c>
      <c r="D70">
        <f>B70-(1*C70)</f>
        <v>22.060000000000002</v>
      </c>
    </row>
    <row r="71" spans="1:4" x14ac:dyDescent="0.25">
      <c r="A71" t="s">
        <v>132</v>
      </c>
      <c r="B71">
        <v>6.25</v>
      </c>
      <c r="C71">
        <v>0.6633</v>
      </c>
      <c r="D71">
        <f t="shared" si="2"/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25.03</v>
      </c>
      <c r="C73">
        <v>0.64</v>
      </c>
      <c r="D73">
        <f t="shared" si="2"/>
        <v>23.75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4.16</v>
      </c>
      <c r="C79">
        <v>0.30859999999999999</v>
      </c>
      <c r="D79">
        <f>B79-(1.5*C79)</f>
        <v>3.6971000000000003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32.51</v>
      </c>
      <c r="C81">
        <v>1.1299999999999999</v>
      </c>
      <c r="D81">
        <f>B81-(1.5*C81)</f>
        <v>30.814999999999998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104.36</v>
      </c>
      <c r="C84">
        <v>2.34</v>
      </c>
      <c r="D84">
        <f>B84-(1.5*C84)</f>
        <v>100.85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2.95</v>
      </c>
      <c r="C7">
        <f>VLOOKUP(A7,'Stop Loss Calculator'!$A$3:$D$99,4,FALSE)</f>
        <v>2.5960000000000001</v>
      </c>
      <c r="D7">
        <f t="shared" si="0"/>
        <v>141.24293785310732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4.54</v>
      </c>
      <c r="C13">
        <f>VLOOKUP(A13,'Stop Loss Calculator'!$A$3:$D$99,4,FALSE)</f>
        <v>4.09</v>
      </c>
      <c r="D13">
        <f t="shared" ref="D13" si="1">50/(B13-C13)</f>
        <v>111.11111111111107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36"/>
  <sheetViews>
    <sheetView workbookViewId="0">
      <pane xSplit="2" ySplit="4" topLeftCell="C17" activePane="bottomRight" state="frozen"/>
      <selection pane="topRight" activeCell="C1" sqref="C1"/>
      <selection pane="bottomLeft" activeCell="A5" sqref="A5"/>
      <selection pane="bottomRight" activeCell="A36" sqref="A36"/>
    </sheetView>
  </sheetViews>
  <sheetFormatPr baseColWidth="10" defaultRowHeight="15" x14ac:dyDescent="0.25"/>
  <cols>
    <col min="1" max="1" width="22.28515625" bestFit="1" customWidth="1"/>
    <col min="3" max="3" width="27.85546875" bestFit="1" customWidth="1"/>
    <col min="4" max="4" width="27.85546875" customWidth="1"/>
    <col min="8" max="8" width="16.140625" customWidth="1"/>
    <col min="14" max="14" width="86" bestFit="1" customWidth="1"/>
  </cols>
  <sheetData>
    <row r="1" spans="1:14" x14ac:dyDescent="0.25">
      <c r="A1" t="s">
        <v>91</v>
      </c>
      <c r="B1">
        <f>COUNTIF(M:M,"Win")/COUNTA(M:M)</f>
        <v>0.5</v>
      </c>
      <c r="C1" t="s">
        <v>92</v>
      </c>
    </row>
    <row r="2" spans="1:14" x14ac:dyDescent="0.25">
      <c r="A2" t="s">
        <v>93</v>
      </c>
      <c r="B2">
        <f>AVERAGEIF(M:M,"Win",I:I)</f>
        <v>7.6328359280818336</v>
      </c>
    </row>
    <row r="3" spans="1:14" x14ac:dyDescent="0.25">
      <c r="A3" t="s">
        <v>94</v>
      </c>
      <c r="B3">
        <f>AVERAGEIF(M:M,"Loss",I:I)</f>
        <v>-5.4059804874115303</v>
      </c>
    </row>
    <row r="4" spans="1:14" x14ac:dyDescent="0.25">
      <c r="A4" t="s">
        <v>95</v>
      </c>
      <c r="B4">
        <f>AVERAGE(L:L)</f>
        <v>0.31136268428506697</v>
      </c>
    </row>
    <row r="5" spans="1:14" x14ac:dyDescent="0.25">
      <c r="A5" t="s">
        <v>96</v>
      </c>
      <c r="B5">
        <f>(B1*B2+(1-B1)*B3)</f>
        <v>1.1134277203351517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7.11</v>
      </c>
      <c r="D11">
        <f>VLOOKUP(B11,'Stop Loss Calculator'!$A$3:$D$99,3,FALSE)</f>
        <v>0.35</v>
      </c>
      <c r="E11">
        <v>6.68</v>
      </c>
      <c r="F11">
        <f t="shared" ref="F11:F36" si="5">C11-(1.5*D11)</f>
        <v>6.5850000000000009</v>
      </c>
      <c r="G11" t="s">
        <v>105</v>
      </c>
      <c r="H11">
        <v>8.18</v>
      </c>
      <c r="I11">
        <f t="shared" si="0"/>
        <v>-6.0478199718706129</v>
      </c>
      <c r="J11">
        <f t="shared" si="1"/>
        <v>7.3839662447257304</v>
      </c>
      <c r="K11">
        <f t="shared" si="2"/>
        <v>-6.0478199718706129</v>
      </c>
      <c r="L11">
        <f t="shared" si="3"/>
        <v>-0.81904761904762102</v>
      </c>
      <c r="M11" t="str">
        <f t="shared" si="4"/>
        <v>Loss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Calculator'!$A$3:$D$99,3,FALSE)</f>
        <v>13.41</v>
      </c>
      <c r="E13">
        <v>253.21</v>
      </c>
      <c r="F13">
        <f t="shared" si="5"/>
        <v>219.69499999999999</v>
      </c>
      <c r="G13" t="s">
        <v>105</v>
      </c>
      <c r="H13">
        <v>10.18</v>
      </c>
      <c r="I13">
        <f t="shared" si="0"/>
        <v>5.5877569742713007</v>
      </c>
      <c r="J13">
        <f t="shared" si="1"/>
        <v>8.3878904132438219</v>
      </c>
      <c r="K13">
        <f t="shared" si="2"/>
        <v>5.5877569742713007</v>
      </c>
      <c r="L13">
        <f t="shared" si="3"/>
        <v>0.66616952522992789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1" si="6">(E18-C18)/C18*(100)</f>
        <v>-8.9588377723970982</v>
      </c>
      <c r="J18">
        <f t="shared" ref="J18:J20" si="7">(C18-F18)/C18*100</f>
        <v>8.8547215496368015</v>
      </c>
      <c r="K18">
        <f t="shared" ref="K18:K20" si="8">(E18-C18)/C18*100</f>
        <v>-8.9588377723970982</v>
      </c>
      <c r="L18">
        <f t="shared" ref="L18:L20" si="9">K18/J18</f>
        <v>-1.0117582718074931</v>
      </c>
      <c r="M18" t="str">
        <f t="shared" ref="M18:M20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Calculator'!$A$3:$D$99,3,FALSE)</f>
        <v>0.82</v>
      </c>
      <c r="E20">
        <v>76.739999999999995</v>
      </c>
      <c r="F20">
        <f t="shared" si="5"/>
        <v>75.89</v>
      </c>
      <c r="G20" t="s">
        <v>105</v>
      </c>
      <c r="I20">
        <f t="shared" si="6"/>
        <v>-0.49273858921163072</v>
      </c>
      <c r="J20">
        <f t="shared" si="7"/>
        <v>1.5949170124481378</v>
      </c>
      <c r="K20">
        <f t="shared" si="8"/>
        <v>-0.49273858921163072</v>
      </c>
      <c r="L20">
        <f t="shared" si="9"/>
        <v>-0.30894308943090115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ref="J21" si="11">(C21-F21)/C21*100</f>
        <v>3.8884900693945923</v>
      </c>
      <c r="K21">
        <f t="shared" ref="K21" si="12">(E21-C21)/C21*100</f>
        <v>-2.5205392039562979</v>
      </c>
      <c r="L21">
        <f t="shared" ref="L21" si="13">K21/J21</f>
        <v>-0.64820512820513032</v>
      </c>
      <c r="M21" t="str">
        <f t="shared" ref="M21" si="14">IF(I21&gt;0,"Win","Loss")</f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ref="I22" si="15">(E22-C22)/C22*(100)</f>
        <v>-5.5974165769644735</v>
      </c>
      <c r="J22">
        <f t="shared" ref="J22" si="16">(C22-F22)/C22*100</f>
        <v>5.5882669537136689</v>
      </c>
      <c r="K22">
        <f t="shared" ref="K22" si="17">(E22-C22)/C22*100</f>
        <v>-5.5974165769644735</v>
      </c>
      <c r="L22">
        <f t="shared" ref="L22" si="18">K22/J22</f>
        <v>-1.0016372917268608</v>
      </c>
      <c r="M22" t="str">
        <f t="shared" ref="M22" si="19">IF(I22&gt;0,"Win","Loss")</f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Calculator'!$A$3:$D$99,3,FALSE)</f>
        <v>3.33</v>
      </c>
      <c r="E23">
        <v>127.82</v>
      </c>
      <c r="F23">
        <f t="shared" si="5"/>
        <v>115.065</v>
      </c>
      <c r="G23" t="s">
        <v>110</v>
      </c>
      <c r="I23">
        <f t="shared" ref="I23:I24" si="20">(E23-C23)/C23*(100)</f>
        <v>6.4634349491920622</v>
      </c>
      <c r="J23">
        <f t="shared" ref="J23:J24" si="21">(C23-F23)/C23*100</f>
        <v>4.1604197901049513</v>
      </c>
      <c r="K23">
        <f t="shared" ref="K23:K24" si="22">(E23-C23)/C23*100</f>
        <v>6.4634349491920622</v>
      </c>
      <c r="L23">
        <f t="shared" ref="L23:L24" si="23">K23/J23</f>
        <v>1.5535535535535501</v>
      </c>
      <c r="M23" t="str">
        <f t="shared" ref="M23:M24" si="24">IF(I23&gt;0,"Win","Loss")</f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Calculator'!$A$3:$D$99,3,FALSE)</f>
        <v>1.1000000000000001</v>
      </c>
      <c r="E24">
        <v>24.65</v>
      </c>
      <c r="F24">
        <f t="shared" si="5"/>
        <v>25.200000000000003</v>
      </c>
      <c r="I24">
        <f t="shared" si="20"/>
        <v>-8.1936685288640696</v>
      </c>
      <c r="J24">
        <f t="shared" si="21"/>
        <v>6.1452513966480389</v>
      </c>
      <c r="K24">
        <f t="shared" si="22"/>
        <v>-8.1936685288640696</v>
      </c>
      <c r="L24">
        <f t="shared" si="23"/>
        <v>-1.3333333333333361</v>
      </c>
      <c r="M24" t="str">
        <f t="shared" si="24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Calculator'!$A$3:$D$99,3,FALSE)</f>
        <v>2.72</v>
      </c>
      <c r="E25">
        <v>56.16</v>
      </c>
      <c r="F25">
        <f t="shared" si="5"/>
        <v>57.52</v>
      </c>
      <c r="I25">
        <f t="shared" ref="I25:I36" si="25">(E25-C25)/C25*(100)</f>
        <v>-8.8311688311688386</v>
      </c>
      <c r="J25">
        <f t="shared" ref="J25:J36" si="26">(C25-F25)/C25*100</f>
        <v>6.62337662337662</v>
      </c>
      <c r="K25">
        <f t="shared" ref="K25:K36" si="27">(E25-C25)/C25*100</f>
        <v>-8.8311688311688386</v>
      </c>
      <c r="L25">
        <f t="shared" ref="L25:L36" si="28">K25/J25</f>
        <v>-1.333333333333335</v>
      </c>
      <c r="M25" t="str">
        <f t="shared" ref="M25:M36" si="29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Calculator'!$A$3:$D$99,3,FALSE)</f>
        <v>0.96</v>
      </c>
      <c r="E26">
        <v>47.42</v>
      </c>
      <c r="F26">
        <f t="shared" si="5"/>
        <v>42.71</v>
      </c>
      <c r="G26" t="s">
        <v>141</v>
      </c>
      <c r="I26">
        <f t="shared" si="25"/>
        <v>7.4065685164212987</v>
      </c>
      <c r="J26">
        <f t="shared" si="26"/>
        <v>3.2616081540203803</v>
      </c>
      <c r="K26">
        <f t="shared" si="27"/>
        <v>7.4065685164212987</v>
      </c>
      <c r="L26">
        <f t="shared" si="28"/>
        <v>2.2708333333333388</v>
      </c>
      <c r="M26" t="str">
        <f t="shared" si="29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Calculator'!$A$3:$D$99,3,FALSE)</f>
        <v>2</v>
      </c>
      <c r="E27">
        <v>52.95</v>
      </c>
      <c r="F27">
        <f t="shared" si="5"/>
        <v>43.33</v>
      </c>
      <c r="G27" t="s">
        <v>117</v>
      </c>
      <c r="I27">
        <f t="shared" si="25"/>
        <v>14.288797755234201</v>
      </c>
      <c r="J27">
        <f t="shared" si="26"/>
        <v>6.4752859917979713</v>
      </c>
      <c r="K27">
        <f t="shared" si="27"/>
        <v>14.288797755234201</v>
      </c>
      <c r="L27">
        <f t="shared" si="28"/>
        <v>2.2066666666666683</v>
      </c>
      <c r="M27" t="str">
        <f t="shared" si="29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Calculator'!$A$3:$D$99,3,FALSE)</f>
        <v>2</v>
      </c>
      <c r="E28">
        <v>53.84</v>
      </c>
      <c r="F28">
        <f t="shared" si="5"/>
        <v>43.33</v>
      </c>
      <c r="G28" t="s">
        <v>117</v>
      </c>
      <c r="I28">
        <f t="shared" si="25"/>
        <v>16.209799266134269</v>
      </c>
      <c r="J28">
        <f t="shared" si="26"/>
        <v>6.4752859917979713</v>
      </c>
      <c r="K28">
        <f t="shared" si="27"/>
        <v>16.209799266134269</v>
      </c>
      <c r="L28">
        <f t="shared" si="28"/>
        <v>2.5033333333333356</v>
      </c>
      <c r="M28" t="str">
        <f t="shared" si="29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25"/>
        <v>1.5310443677112477</v>
      </c>
      <c r="J29">
        <f t="shared" si="26"/>
        <v>2.0033878428562044</v>
      </c>
      <c r="K29">
        <f t="shared" si="27"/>
        <v>1.5310443677112477</v>
      </c>
      <c r="L29">
        <f t="shared" si="28"/>
        <v>0.76422764227642381</v>
      </c>
      <c r="M29" t="str">
        <f t="shared" si="29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25"/>
        <v>2.7313800657174014</v>
      </c>
      <c r="J30">
        <f t="shared" si="26"/>
        <v>3.0188937568455616</v>
      </c>
      <c r="K30">
        <f t="shared" si="27"/>
        <v>2.7313800657174014</v>
      </c>
      <c r="L30">
        <f t="shared" si="28"/>
        <v>0.90476190476190099</v>
      </c>
      <c r="M30" t="str">
        <f t="shared" si="29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Calculator'!$A$3:$D$99,3,FALSE)</f>
        <v>1.03</v>
      </c>
      <c r="E31">
        <v>7.47</v>
      </c>
      <c r="F31">
        <f t="shared" si="5"/>
        <v>6.9749999999999996</v>
      </c>
      <c r="G31" t="s">
        <v>105</v>
      </c>
      <c r="I31">
        <f t="shared" si="25"/>
        <v>-12.32394366197183</v>
      </c>
      <c r="J31">
        <f t="shared" si="26"/>
        <v>18.133802816901408</v>
      </c>
      <c r="K31">
        <f t="shared" si="27"/>
        <v>-12.32394366197183</v>
      </c>
      <c r="L31">
        <f t="shared" si="28"/>
        <v>-0.67961165048543681</v>
      </c>
      <c r="M31" t="str">
        <f t="shared" si="29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Calculator'!$A$3:$D$99,3,FALSE)</f>
        <v>2</v>
      </c>
      <c r="E32">
        <v>54.09</v>
      </c>
      <c r="F32">
        <f t="shared" si="5"/>
        <v>43.33</v>
      </c>
      <c r="G32" t="s">
        <v>155</v>
      </c>
      <c r="I32">
        <f t="shared" si="25"/>
        <v>16.749406432117432</v>
      </c>
      <c r="J32">
        <f t="shared" si="26"/>
        <v>6.4752859917979713</v>
      </c>
      <c r="K32">
        <f t="shared" si="27"/>
        <v>16.749406432117432</v>
      </c>
      <c r="L32">
        <f t="shared" si="28"/>
        <v>2.5866666666666687</v>
      </c>
      <c r="M32" t="str">
        <f t="shared" si="29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Calculator'!$A$3:$D$99,3,FALSE)</f>
        <v>0.64</v>
      </c>
      <c r="E33">
        <v>38.75</v>
      </c>
      <c r="F33">
        <f t="shared" si="5"/>
        <v>38.519999999999996</v>
      </c>
      <c r="G33" t="s">
        <v>155</v>
      </c>
      <c r="I33">
        <f t="shared" si="25"/>
        <v>-1.8490374873353519</v>
      </c>
      <c r="J33">
        <f t="shared" si="26"/>
        <v>2.4316109422492427</v>
      </c>
      <c r="K33">
        <f t="shared" si="27"/>
        <v>-1.8490374873353519</v>
      </c>
      <c r="L33">
        <f t="shared" si="28"/>
        <v>-0.76041666666666263</v>
      </c>
      <c r="M33" t="str">
        <f t="shared" si="29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25"/>
        <v>1.8012422360248395</v>
      </c>
      <c r="J34">
        <f t="shared" si="26"/>
        <v>5.4037267080745286</v>
      </c>
      <c r="K34">
        <f t="shared" si="27"/>
        <v>1.8012422360248395</v>
      </c>
      <c r="L34">
        <f t="shared" si="28"/>
        <v>0.3333333333333327</v>
      </c>
      <c r="M34" t="str">
        <f t="shared" si="29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Calculator'!$A$3:$D$99,3,FALSE)</f>
        <v>2.76</v>
      </c>
      <c r="E35">
        <v>126.43</v>
      </c>
      <c r="F35">
        <f t="shared" si="5"/>
        <v>122.08</v>
      </c>
      <c r="G35" t="s">
        <v>107</v>
      </c>
      <c r="I35">
        <f t="shared" si="25"/>
        <v>0.16637616859452384</v>
      </c>
      <c r="J35">
        <f t="shared" si="26"/>
        <v>3.2799873237204888</v>
      </c>
      <c r="K35">
        <f t="shared" si="27"/>
        <v>0.16637616859452384</v>
      </c>
      <c r="L35">
        <f t="shared" si="28"/>
        <v>5.0724637681161339E-2</v>
      </c>
      <c r="M35" t="str">
        <f t="shared" si="29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Calculator'!$A$3:$D$99,3,FALSE)</f>
        <v>1.81</v>
      </c>
      <c r="E36">
        <v>42.95</v>
      </c>
      <c r="F36">
        <f t="shared" si="5"/>
        <v>37.875</v>
      </c>
      <c r="G36" t="s">
        <v>118</v>
      </c>
      <c r="I36">
        <f t="shared" si="25"/>
        <v>5.8142399605814221</v>
      </c>
      <c r="J36">
        <f t="shared" si="26"/>
        <v>6.6888396156688916</v>
      </c>
      <c r="K36">
        <f t="shared" si="27"/>
        <v>5.8142399605814221</v>
      </c>
      <c r="L36">
        <f t="shared" si="28"/>
        <v>0.86924493554327675</v>
      </c>
      <c r="M36" t="str">
        <f t="shared" si="29"/>
        <v>Win</v>
      </c>
      <c r="N36" t="s">
        <v>160</v>
      </c>
    </row>
  </sheetData>
  <conditionalFormatting sqref="E23:E36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2025-12-03T15:24:18Z</dcterms:modified>
</cp:coreProperties>
</file>