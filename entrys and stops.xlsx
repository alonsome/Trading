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uriel\Documents\github\Trading\"/>
    </mc:Choice>
  </mc:AlternateContent>
  <xr:revisionPtr revIDLastSave="0" documentId="13_ncr:1_{C4531476-D89D-46DA-995B-0952D03698B5}" xr6:coauthVersionLast="47" xr6:coauthVersionMax="47" xr10:uidLastSave="{00000000-0000-0000-0000-000000000000}"/>
  <bookViews>
    <workbookView xWindow="-120" yWindow="-120" windowWidth="29040" windowHeight="15720" activeTab="2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4" i="3" l="1"/>
  <c r="L134" i="3" s="1"/>
  <c r="M134" i="3"/>
  <c r="I134" i="3"/>
  <c r="L132" i="3"/>
  <c r="L133" i="3"/>
  <c r="J132" i="3"/>
  <c r="J133" i="3"/>
  <c r="J134" i="3"/>
  <c r="F132" i="3"/>
  <c r="F133" i="3"/>
  <c r="F134" i="3"/>
  <c r="D132" i="3"/>
  <c r="D133" i="3"/>
  <c r="D134" i="3"/>
  <c r="I133" i="3"/>
  <c r="M133" i="3" s="1"/>
  <c r="K133" i="3"/>
  <c r="I132" i="3"/>
  <c r="M132" i="3" s="1"/>
  <c r="K132" i="3"/>
  <c r="I131" i="3" l="1"/>
  <c r="M131" i="3" s="1"/>
  <c r="K131" i="3"/>
  <c r="D131" i="3"/>
  <c r="F131" i="3" s="1"/>
  <c r="J131" i="3" s="1"/>
  <c r="L131" i="3" s="1"/>
  <c r="D16" i="1"/>
  <c r="D105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19" i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7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<sst xmlns="http://schemas.openxmlformats.org/spreadsheetml/2006/main" count="555" uniqueCount="300">
  <si>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</si>
  <si>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</si>
  <si>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</si>
  <si>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</si>
  <si>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</si>
  <si>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</si>
  <si>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</si>
  <si>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</si>
  <si>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</si>
  <si>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</si>
  <si>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</si>
  <si>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</si>
  <si>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</si>
  <si>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</si>
  <si>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</si>
  <si>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</si>
  <si>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</si>
  <si>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</si>
  <si>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</si>
  <si>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</si>
  <si>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</si>
  <si>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</si>
  <si>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</si>
  <si>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</si>
  <si>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</si>
  <si>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</si>
  <si>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</si>
  <si>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</si>
  <si>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</si>
  <si>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</si>
  <si>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</si>
  <si>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</si>
  <si>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</si>
  <si>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</si>
  <si>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</si>
  <si>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</si>
  <si>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</si>
  <si>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</si>
  <si>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</si>
  <si>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</si>
  <si>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</si>
  <si>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</si>
  <si>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</si>
  <si>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</si>
  <si>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</si>
  <si>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</si>
  <si>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</si>
  <si>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</si>
  <si>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</si>
  <si>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</si>
  <si>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</si>
  <si>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</si>
  <si>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</si>
  <si>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</si>
  <si>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</si>
  <si>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</si>
  <si>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</si>
  <si>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</si>
  <si>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</si>
  <si>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</si>
  <si>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</si>
  <si>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</si>
  <si>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</si>
  <si>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</si>
  <si>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</si>
  <si>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</si>
  <si>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</si>
  <si>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</si>
  <si>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</si>
  <si>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</si>
  <si>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</si>
  <si>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</si>
  <si>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</si>
  <si>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</si>
  <si>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</si>
  <si>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</si>
  <si>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</si>
  <si>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</si>
  <si>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</si>
  <si>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</si>
  <si>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</si>
  <si>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</si>
  <si>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</si>
  <si>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</si>
  <si>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</si>
  <si>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</si>
  <si>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</si>
  <si>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</si>
  <si>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</si>
  <si>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</si>
  <si>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</si>
  <si>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</si>
  <si>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</si>
  <si>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</si>
  <si>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</si>
  <si>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</si>
  <si>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</si>
  <si>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</si>
  <si>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</si>
  <si>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</si>
  <si>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</si>
  <si>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</si>
  <si>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</si>
  <si>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</si>
  <si>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</si>
  <si>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</si>
  <si>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</si>
  <si>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</si>
  <si>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</si>
  <si>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</si>
  <si>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</si>
  <si>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</si>
  <si>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</si>
  <si>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</si>
  <si>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</si>
  <si>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</si>
  <si>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</si>
  <si>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</si>
  <si>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</si>
  <si>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</si>
  <si>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</si>
  <si>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</si>
  <si>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</si>
  <si>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</si>
  <si>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</si>
  <si>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</si>
  <si>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</si>
  <si>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</si>
  <si>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</si>
  <si>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</si>
  <si>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</si>
  <si>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</si>
  <si>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</si>
  <si>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</si>
  <si>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</si>
  <si>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</si>
  <si>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</si>
  <si>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</si>
  <si>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</si>
  <si>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</si>
  <si>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</si>
  <si>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</si>
  <si>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</si>
  <si>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</si>
  <si>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</si>
  <si>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</si>
  <si>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</si>
  <si>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</si>
  <si>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</si>
  <si>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</si>
  <si>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</si>
  <si>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</si>
  <si>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</si>
  <si>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</si>
  <si>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</si>
  <si>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</si>
  <si>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</si>
  <si>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</si>
  <si>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</si>
  <si>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</si>
  <si>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</si>
  <si>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</si>
  <si>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</si>
  <si>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</si>
  <si>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</si>
  <si>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</si>
  <si>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</si>
  <si>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</si>
  <si>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</si>
  <si>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</si>
  <si>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</si>
  <si>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</si>
  <si>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</si>
  <si>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</si>
  <si>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</si>
  <si>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</si>
  <si>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</si>
  <si>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</si>
  <si>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</si>
  <si>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</si>
  <si>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</si>
  <si>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</si>
  <si>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</si>
  <si>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</si>
  <si>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</si>
  <si>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</si>
  <si>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</si>
  <si>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</si>
  <si>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</si>
  <si>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</si>
  <si>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</si>
  <si>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</si>
  <si>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</si>
  <si>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</si>
  <si>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</si>
  <si>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</si>
  <si>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</si>
  <si>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</si>
  <si>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</si>
  <si>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</si>
  <si>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</si>
  <si>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</si>
  <si>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</si>
  <si>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</si>
  <si>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</si>
  <si>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</si>
  <si>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</si>
  <si>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</si>
  <si>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</si>
  <si>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</si>
  <si>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</si>
  <si>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</si>
  <si>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</si>
  <si>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</si>
  <si>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</si>
  <si>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</si>
  <si>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</si>
  <si>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</si>
  <si>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</si>
  <si>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</si>
  <si>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</si>
  <si>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</si>
  <si>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</si>
  <si>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</si>
  <si>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</si>
  <si>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</si>
  <si>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</si>
  <si>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</si>
  <si>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</si>
  <si>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</si>
  <si>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</si>
  <si>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</si>
  <si>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</si>
  <si>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</si>
  <si>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</si>
  <si>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</si>
  <si>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</si>
  <si>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</si>
  <si>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</si>
  <si>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</si>
  <si>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</si>
  <si>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</si>
  <si>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</si>
  <si>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</si>
  <si>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</si>
  <si>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</si>
  <si>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</si>
  <si>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</si>
  <si>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</si>
  <si>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</si>
  <si>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</si>
  <si>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</si>
  <si>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</si>
  <si>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</si>
  <si>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</si>
  <si>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</si>
  <si>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</si>
  <si>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</si>
  <si>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</si>
  <si>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</si>
  <si>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</si>
  <si>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</si>
  <si>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</si>
  <si>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</si>
  <si>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</si>
  <si>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</si>
  <si>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</si>
  <si>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</si>
  <si>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</si>
  <si>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</si>
  <si>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</si>
  <si>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</si>
  <si>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</si>
  <si>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</si>
  <si>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</si>
  <si>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</si>
  <si>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</si>
  <si>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</si>
  <si>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</si>
  <si>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</si>
  <si>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</si>
  <si>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</si>
  <si>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</si>
  <si>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</si>
  <si>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</si>
  <si>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</si>
  <si>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</si>
  <si>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</si>
  <si>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</si>
  <si>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</si>
  <si>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</si>
  <si>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</si>
  <si>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</si>
  <si>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</si>
  <si>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</si>
  <si>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</si>
  <si>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</si>
  <si>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</si>
  <si>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</si>
  <si>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uuuu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</si>
</sst>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1"/>
  <sheetViews>
    <sheetView workbookViewId="0">
      <pane xSplit="5" ySplit="13" topLeftCell="F86" activePane="bottomRight" state="frozen"/>
      <selection pane="topRight" activeCell="F1" sqref="F1"/>
      <selection pane="bottomLeft" activeCell="A14" sqref="A14"/>
      <selection pane="bottomRight" activeCell="F3" sqref="F3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299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22.46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19.355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3.1050000000000004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6.4412238325281796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222.61798753339269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6.4412238325281796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79.58</v>
      </c>
      <c r="C19">
        <v>1.68</v>
      </c>
      <c r="D19">
        <f>B19-(0.5*C19)</f>
        <v>78.739999999999995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92.5</v>
      </c>
      <c r="C59">
        <v>4.78</v>
      </c>
      <c r="D59">
        <f>B59-(1*C59)</f>
        <v>87.72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15.63</v>
      </c>
      <c r="C66">
        <v>1.28</v>
      </c>
      <c r="D66">
        <f>B66-(1.5*C66)</f>
        <v>13.71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2"/>
        <v>1.3531</v>
      </c>
    </row>
    <row r="102" spans="1:4" x14ac:dyDescent="0.25">
      <c r="A102" t="s">
        <v>225</v>
      </c>
      <c r="B102">
        <v>59.2</v>
      </c>
      <c r="C102">
        <v>2.71</v>
      </c>
      <c r="D102">
        <f t="shared" si="2"/>
        <v>55.135000000000005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8.08</v>
      </c>
      <c r="C105">
        <v>0.22</v>
      </c>
      <c r="D105">
        <f>B105-(1.5*C105)</f>
        <v>7.75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1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177.01</v>
      </c>
      <c r="C113">
        <v>6.77</v>
      </c>
      <c r="D113">
        <f t="shared" si="3"/>
        <v>166.85499999999999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20.69</v>
      </c>
      <c r="C120">
        <v>1.81</v>
      </c>
      <c r="D120">
        <f t="shared" si="3"/>
        <v>17.975000000000001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tabSelected="1"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0.2962666251121448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si="6"/>
        <v>6.4634349491920622</v>
      </c>
      <c r="J23">
        <f t="shared" si="7"/>
        <v>4.1604197901049513</v>
      </c>
      <c r="K23">
        <f t="shared" si="8"/>
        <v>6.4634349491920622</v>
      </c>
      <c r="L23">
        <f t="shared" si="9"/>
        <v>1.5535535535535501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1.28</v>
      </c>
      <c r="E38">
        <v>14.06</v>
      </c>
      <c r="F38">
        <f t="shared" si="5"/>
        <v>10.09</v>
      </c>
      <c r="G38" t="s">
        <v>164</v>
      </c>
      <c r="I38">
        <f t="shared" si="11"/>
        <v>17.069109075770196</v>
      </c>
      <c r="J38">
        <f t="shared" si="12"/>
        <v>15.986677768526228</v>
      </c>
      <c r="K38">
        <f t="shared" si="13"/>
        <v>17.069109075770196</v>
      </c>
      <c r="L38">
        <f t="shared" si="14"/>
        <v>1.0677083333333337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11"/>
        <v>1.7414793953675505</v>
      </c>
      <c r="J46">
        <f t="shared" si="12"/>
        <v>2.9829300534513465</v>
      </c>
      <c r="K46">
        <f t="shared" si="13"/>
        <v>1.7414793953675505</v>
      </c>
      <c r="L46">
        <f t="shared" si="14"/>
        <v>0.58381502890173453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1.28</v>
      </c>
      <c r="E47">
        <v>13.75</v>
      </c>
      <c r="F47">
        <f t="shared" si="5"/>
        <v>10.07</v>
      </c>
      <c r="G47" t="s">
        <v>155</v>
      </c>
      <c r="I47">
        <f t="shared" si="11"/>
        <v>14.678899082568805</v>
      </c>
      <c r="J47">
        <f t="shared" si="12"/>
        <v>16.013344453711426</v>
      </c>
      <c r="K47">
        <f t="shared" si="13"/>
        <v>14.678899082568805</v>
      </c>
      <c r="L47">
        <f t="shared" si="14"/>
        <v>0.91666666666666652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8.4039735099337758</v>
      </c>
      <c r="K75">
        <f t="shared" ref="K75:K92" si="23">(E75-C75)/C75*100</f>
        <v>-3.9735099337748379</v>
      </c>
      <c r="L75">
        <f t="shared" ref="L75:L92" si="24">K75/J75</f>
        <v>-0.47281323877068593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21"/>
        <v>22.147651006711413</v>
      </c>
      <c r="J82">
        <f t="shared" si="22"/>
        <v>8.5167785234899327</v>
      </c>
      <c r="K82">
        <f t="shared" si="23"/>
        <v>22.147651006711413</v>
      </c>
      <c r="L82">
        <f t="shared" si="24"/>
        <v>2.6004728132387713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21"/>
        <v>8.7248322147651081</v>
      </c>
      <c r="J85">
        <f t="shared" si="22"/>
        <v>8.5167785234899327</v>
      </c>
      <c r="K85">
        <f t="shared" si="23"/>
        <v>8.7248322147651081</v>
      </c>
      <c r="L85">
        <f t="shared" si="24"/>
        <v>1.0244286840031529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2.71</v>
      </c>
      <c r="E95">
        <v>55.04</v>
      </c>
      <c r="F95">
        <f t="shared" si="26"/>
        <v>55.135000000000005</v>
      </c>
      <c r="G95" t="s">
        <v>176</v>
      </c>
      <c r="I95">
        <f t="shared" si="27"/>
        <v>-7.0270270270270334</v>
      </c>
      <c r="J95">
        <f t="shared" si="28"/>
        <v>6.8665540540540499</v>
      </c>
      <c r="K95">
        <f t="shared" si="29"/>
        <v>-7.0270270270270334</v>
      </c>
      <c r="L95">
        <f t="shared" si="30"/>
        <v>-1.0233702337023385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0.22</v>
      </c>
      <c r="E97">
        <v>8.73</v>
      </c>
      <c r="F97">
        <f t="shared" si="26"/>
        <v>7.64</v>
      </c>
      <c r="G97" t="s">
        <v>113</v>
      </c>
      <c r="I97">
        <f t="shared" si="27"/>
        <v>9.5357590966123045</v>
      </c>
      <c r="J97">
        <f t="shared" si="28"/>
        <v>4.1405269761606034</v>
      </c>
      <c r="K97">
        <f t="shared" si="29"/>
        <v>9.5357590966123045</v>
      </c>
      <c r="L97">
        <f t="shared" si="30"/>
        <v>2.3030303030303045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0.22</v>
      </c>
      <c r="E102">
        <v>8.2200000000000006</v>
      </c>
      <c r="F102">
        <f t="shared" si="26"/>
        <v>7.64</v>
      </c>
      <c r="G102" t="s">
        <v>107</v>
      </c>
      <c r="I102">
        <f t="shared" si="27"/>
        <v>3.1367628607277402</v>
      </c>
      <c r="J102">
        <f t="shared" si="28"/>
        <v>4.1405269761606034</v>
      </c>
      <c r="K102">
        <f t="shared" si="29"/>
        <v>3.1367628607277402</v>
      </c>
      <c r="L102">
        <f t="shared" si="30"/>
        <v>0.75757575757576012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1.68</v>
      </c>
      <c r="E127">
        <v>82.37</v>
      </c>
      <c r="F127">
        <f t="shared" si="26"/>
        <v>73.150000000000006</v>
      </c>
      <c r="G127" t="s">
        <v>294</v>
      </c>
      <c r="I127">
        <f t="shared" si="32"/>
        <v>8.8542354962336489</v>
      </c>
      <c r="J127">
        <f t="shared" si="33"/>
        <v>3.3302497687326493</v>
      </c>
      <c r="K127">
        <f t="shared" si="34"/>
        <v>8.8542354962336489</v>
      </c>
      <c r="L127">
        <f t="shared" si="35"/>
        <v>2.6587301587301639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0.22</v>
      </c>
      <c r="E128">
        <v>7.86</v>
      </c>
      <c r="F128">
        <f t="shared" si="26"/>
        <v>7.9599999999999991</v>
      </c>
      <c r="G128" t="s">
        <v>152</v>
      </c>
      <c r="I128">
        <f t="shared" si="32"/>
        <v>-5.1869722557297813</v>
      </c>
      <c r="J128">
        <f t="shared" si="33"/>
        <v>3.980699638118216</v>
      </c>
      <c r="K128">
        <f t="shared" si="34"/>
        <v>-5.1869722557297813</v>
      </c>
      <c r="L128">
        <f t="shared" si="35"/>
        <v>-1.3030303030302992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6.77</v>
      </c>
      <c r="E132">
        <v>166.62</v>
      </c>
      <c r="F132">
        <f t="shared" si="26"/>
        <v>166.85499999999999</v>
      </c>
      <c r="I132">
        <f t="shared" si="32"/>
        <v>-5.8697248743008794</v>
      </c>
      <c r="J132">
        <f t="shared" si="33"/>
        <v>5.7369640133325808</v>
      </c>
      <c r="K132">
        <f t="shared" si="34"/>
        <v>-5.8697248743008794</v>
      </c>
      <c r="L132">
        <f t="shared" si="35"/>
        <v>-1.023141309699654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Karina Méndez Serrano</cp:lastModifiedBy>
  <cp:lastPrinted>2025-11-18T17:18:00Z</cp:lastPrinted>
  <dcterms:created xsi:type="dcterms:W3CDTF">2025-10-30T17:34:36Z</dcterms:created>
  <dcterms:modified xsi:type="dcterms:W3CDTF">2026-03-07T00:41:49Z</dcterms:modified>
</cp:coreProperties>
</file>