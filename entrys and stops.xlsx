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uriel\Documents\github\Trading\"/>
    </mc:Choice>
  </mc:AlternateContent>
  <xr:revisionPtr revIDLastSave="0" documentId="13_ncr:1_{5125F09B-4BA0-44B9-9020-30AD2C8DCF9F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2" i="1" l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05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19" i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<sst xmlns="http://schemas.openxmlformats.org/spreadsheetml/2006/main" count="556" uniqueCount="300">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</sst>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2"/>
  <sheetViews>
    <sheetView tabSelected="1" workbookViewId="0">
      <pane xSplit="5" ySplit="13" topLeftCell="F110" activePane="bottomRight" state="frozen"/>
      <selection pane="topRight" activeCell="F1" sqref="F1"/>
      <selection pane="bottomLeft" activeCell="A14" sqref="A14"/>
      <selection pane="bottomRight" activeCell="B123" sqref="B123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299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24.88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22.314999999999998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2.5650000000000013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7.797270955165688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200.96463022508038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7.797270955165688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79.58</v>
      </c>
      <c r="C19">
        <v>1.68</v>
      </c>
      <c r="D19">
        <f>B19-(0.5*C19)</f>
        <v>78.739999999999995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92.5</v>
      </c>
      <c r="C59">
        <v>4.78</v>
      </c>
      <c r="D59">
        <f>B59-(1*C59)</f>
        <v>87.72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2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177.01</v>
      </c>
      <c r="C113">
        <v>6.77</v>
      </c>
      <c r="D113">
        <f t="shared" si="3"/>
        <v>166.85499999999999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20.69</v>
      </c>
      <c r="C120">
        <v>1.81</v>
      </c>
      <c r="D120">
        <f t="shared" si="3"/>
        <v>17.975000000000001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0.29969668462486115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11"/>
        <v>1.7414793953675505</v>
      </c>
      <c r="J46">
        <f t="shared" si="12"/>
        <v>2.9829300534513465</v>
      </c>
      <c r="K46">
        <f t="shared" si="13"/>
        <v>1.7414793953675505</v>
      </c>
      <c r="L46">
        <f t="shared" si="14"/>
        <v>0.58381502890173453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1.68</v>
      </c>
      <c r="E127">
        <v>82.37</v>
      </c>
      <c r="F127">
        <f t="shared" si="26"/>
        <v>73.150000000000006</v>
      </c>
      <c r="G127" t="s">
        <v>294</v>
      </c>
      <c r="I127">
        <f t="shared" si="32"/>
        <v>8.8542354962336489</v>
      </c>
      <c r="J127">
        <f t="shared" si="33"/>
        <v>3.3302497687326493</v>
      </c>
      <c r="K127">
        <f t="shared" si="34"/>
        <v>8.8542354962336489</v>
      </c>
      <c r="L127">
        <f t="shared" si="35"/>
        <v>2.6587301587301639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6.77</v>
      </c>
      <c r="E132">
        <v>166.62</v>
      </c>
      <c r="F132">
        <f t="shared" si="26"/>
        <v>166.85499999999999</v>
      </c>
      <c r="I132">
        <f t="shared" si="32"/>
        <v>-5.8697248743008794</v>
      </c>
      <c r="J132">
        <f t="shared" si="33"/>
        <v>5.7369640133325808</v>
      </c>
      <c r="K132">
        <f t="shared" si="34"/>
        <v>-5.8697248743008794</v>
      </c>
      <c r="L132">
        <f t="shared" si="35"/>
        <v>-1.023141309699654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Karina Méndez Serrano</cp:lastModifiedBy>
  <cp:lastPrinted>2025-11-18T17:18:00Z</cp:lastPrinted>
  <dcterms:created xsi:type="dcterms:W3CDTF">2025-10-30T17:34:36Z</dcterms:created>
  <dcterms:modified xsi:type="dcterms:W3CDTF">2026-03-09T19:33:18Z</dcterms:modified>
</cp:coreProperties>
</file>