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lonso\Documents\GitHub\Trading\"/>
    </mc:Choice>
  </mc:AlternateContent>
  <xr:revisionPtr revIDLastSave="0" documentId="8_{EFFBCF4B-4C17-4A22-B1BF-6C96B2E792E4}" xr6:coauthVersionLast="47" xr6:coauthVersionMax="47" xr10:uidLastSave="{00000000-0000-0000-0000-000000000000}"/>
  <bookViews>
    <workbookView xWindow="-120" yWindow="-120" windowWidth="29040" windowHeight="15720" xr2:uid="{045517DB-0C92-4CAE-B507-36AB229E2600}"/>
  </bookViews>
  <sheets>
    <sheet name="Trades" sheetId="1" r:id="rId1"/>
    <sheet name="Executions" sheetId="2" r:id="rId2"/>
    <sheet name="Setups" sheetId="4" r:id="rId3"/>
    <sheet name="Mistakes" sheetId="3" r:id="rId4"/>
    <sheet name="Daily Journal" sheetId="5" r:id="rId5"/>
    <sheet name="Dashboard" sheetId="6"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 i="2" l="1"/>
  <c r="I9" i="2" s="1"/>
  <c r="A9" i="2"/>
  <c r="K15" i="1"/>
  <c r="I15" i="1"/>
  <c r="A15" i="1"/>
  <c r="H8" i="2"/>
  <c r="I8" i="2" s="1"/>
  <c r="D3" i="2"/>
  <c r="D4" i="2"/>
  <c r="D5" i="2"/>
  <c r="D6" i="2"/>
  <c r="D7" i="2"/>
  <c r="D8" i="2"/>
  <c r="D2" i="2"/>
  <c r="A8" i="2"/>
  <c r="M15" i="1" l="1"/>
  <c r="M4" i="1"/>
  <c r="K3" i="1"/>
  <c r="K4" i="1"/>
  <c r="K5" i="1"/>
  <c r="K7" i="1"/>
  <c r="K8" i="1"/>
  <c r="K9" i="1"/>
  <c r="K10" i="1"/>
  <c r="K11" i="1"/>
  <c r="K12" i="1"/>
  <c r="K13" i="1"/>
  <c r="K14" i="1"/>
  <c r="K2" i="1"/>
  <c r="I14" i="1"/>
  <c r="A14" i="1"/>
  <c r="M14" i="1" s="1"/>
  <c r="I13" i="1"/>
  <c r="A13" i="1"/>
  <c r="M13" i="1" s="1"/>
  <c r="A7" i="2" l="1"/>
  <c r="I12" i="1"/>
  <c r="A12" i="1"/>
  <c r="A3" i="2"/>
  <c r="A4" i="2"/>
  <c r="A5" i="2"/>
  <c r="A6" i="2"/>
  <c r="I11" i="1"/>
  <c r="A11" i="1"/>
  <c r="M11" i="1" s="1"/>
  <c r="M10" i="1"/>
  <c r="I10" i="1"/>
  <c r="A10" i="1"/>
  <c r="I9" i="1"/>
  <c r="A9" i="1"/>
  <c r="D5" i="5"/>
  <c r="D4" i="5"/>
  <c r="I8" i="1"/>
  <c r="A8" i="1"/>
  <c r="M8" i="1" s="1"/>
  <c r="I7" i="1"/>
  <c r="A7" i="1"/>
  <c r="M7" i="1" s="1"/>
  <c r="D3" i="5"/>
  <c r="D2" i="5"/>
  <c r="I6" i="1"/>
  <c r="K6" i="1" s="1"/>
  <c r="A6" i="1"/>
  <c r="M6" i="1" s="1"/>
  <c r="I5" i="1" l="1"/>
  <c r="A5" i="1"/>
  <c r="I4" i="1"/>
  <c r="A4" i="1"/>
  <c r="I3" i="1"/>
  <c r="A3" i="1"/>
  <c r="A2" i="1"/>
  <c r="B10" i="4"/>
  <c r="I2" i="1"/>
  <c r="H3" i="4"/>
  <c r="H4" i="4"/>
  <c r="H6" i="4"/>
  <c r="H7" i="4"/>
  <c r="H8" i="4"/>
  <c r="H11" i="4"/>
  <c r="F3" i="4"/>
  <c r="F4" i="4"/>
  <c r="F6" i="4"/>
  <c r="F7" i="4"/>
  <c r="F8" i="4"/>
  <c r="F11" i="4"/>
  <c r="D3" i="4"/>
  <c r="D4" i="4"/>
  <c r="D6" i="4"/>
  <c r="D7" i="4"/>
  <c r="D8" i="4"/>
  <c r="D11" i="4"/>
  <c r="C3" i="4"/>
  <c r="E3" i="4" s="1"/>
  <c r="C4" i="4"/>
  <c r="E4" i="4" s="1"/>
  <c r="C6" i="4"/>
  <c r="E6" i="4" s="1"/>
  <c r="C7" i="4"/>
  <c r="E7" i="4" s="1"/>
  <c r="C8" i="4"/>
  <c r="E8" i="4" s="1"/>
  <c r="C11" i="4"/>
  <c r="B9" i="4"/>
  <c r="B3" i="4"/>
  <c r="B4" i="4"/>
  <c r="B5" i="4"/>
  <c r="B6" i="4"/>
  <c r="B7" i="4"/>
  <c r="B8" i="4"/>
  <c r="B11" i="4"/>
  <c r="H4" i="2" l="1"/>
  <c r="M3" i="1" s="1"/>
  <c r="H5" i="2"/>
  <c r="H2" i="2"/>
  <c r="M2" i="1" s="1"/>
  <c r="H7" i="2"/>
  <c r="H6" i="2"/>
  <c r="I6" i="2" s="1"/>
  <c r="H3" i="2"/>
  <c r="I3" i="2" s="1"/>
  <c r="I4" i="4"/>
  <c r="I6" i="4"/>
  <c r="E11" i="4"/>
  <c r="I8" i="4"/>
  <c r="I7" i="4"/>
  <c r="I3" i="4"/>
  <c r="I11" i="4"/>
  <c r="G8" i="4"/>
  <c r="G11" i="4"/>
  <c r="G7" i="4"/>
  <c r="G6" i="4"/>
  <c r="G4" i="4"/>
  <c r="G3" i="4"/>
  <c r="M5" i="1" l="1"/>
  <c r="I4" i="2"/>
  <c r="I7" i="2"/>
  <c r="M12" i="1"/>
  <c r="H2" i="4" s="1"/>
  <c r="I5" i="2"/>
  <c r="M9" i="1"/>
  <c r="H5" i="4"/>
  <c r="D5" i="4"/>
  <c r="F5" i="4"/>
  <c r="C5" i="4"/>
  <c r="E5" i="4" s="1"/>
  <c r="C2" i="4"/>
  <c r="D2" i="4" l="1"/>
  <c r="F2" i="4"/>
  <c r="F9" i="4"/>
  <c r="D9" i="4"/>
  <c r="H9" i="4"/>
  <c r="C9" i="4"/>
  <c r="E9" i="4" s="1"/>
  <c r="I5" i="4"/>
  <c r="G5" i="4"/>
  <c r="I9" i="4" l="1"/>
  <c r="G9" i="4"/>
  <c r="B2" i="4"/>
  <c r="A2" i="2"/>
  <c r="G2" i="4" l="1"/>
  <c r="E2" i="4"/>
  <c r="I2" i="4"/>
  <c r="B2" i="6" l="1"/>
  <c r="I2" i="2"/>
  <c r="F10" i="4" l="1"/>
  <c r="I10" i="4" s="1"/>
  <c r="B12" i="6"/>
  <c r="B6" i="6"/>
  <c r="B11" i="6"/>
  <c r="B10" i="6"/>
  <c r="B9" i="6"/>
  <c r="B5" i="6"/>
  <c r="B4" i="6"/>
  <c r="B3" i="6"/>
  <c r="C10" i="4"/>
  <c r="E10" i="4" s="1"/>
  <c r="D10" i="4"/>
  <c r="H10" i="4"/>
  <c r="G10" i="4" l="1"/>
</calcChain>
</file>

<file path=xl/sharedStrings.xml><?xml version="1.0" encoding="utf-8"?>
<sst xmlns="http://schemas.openxmlformats.org/spreadsheetml/2006/main" count="173" uniqueCount="110">
  <si>
    <t>Trade_ID</t>
  </si>
  <si>
    <t>Date</t>
  </si>
  <si>
    <t>Ticker</t>
  </si>
  <si>
    <t>Setup</t>
  </si>
  <si>
    <t>Initial Stop</t>
  </si>
  <si>
    <t>Total R</t>
  </si>
  <si>
    <t>Notes</t>
  </si>
  <si>
    <t>Exec_ID</t>
  </si>
  <si>
    <t>P&amp;L</t>
  </si>
  <si>
    <t>R Contribution</t>
  </si>
  <si>
    <t>Mistake_Type</t>
  </si>
  <si>
    <t>Preventable</t>
  </si>
  <si>
    <t>Win Rate</t>
  </si>
  <si>
    <t>Profit Factor</t>
  </si>
  <si>
    <t>Ending Equity</t>
  </si>
  <si>
    <t>Sleep Quality</t>
  </si>
  <si>
    <t>Focus Level</t>
  </si>
  <si>
    <t>Total Trades:</t>
  </si>
  <si>
    <t>Win Rate:</t>
  </si>
  <si>
    <t>Core Stats</t>
  </si>
  <si>
    <t>Avg R:</t>
  </si>
  <si>
    <t xml:space="preserve">Total R: </t>
  </si>
  <si>
    <t>Risk Metrics</t>
  </si>
  <si>
    <t>Max Win:</t>
  </si>
  <si>
    <t>Max Loss:</t>
  </si>
  <si>
    <t>Avg Win:</t>
  </si>
  <si>
    <t>Avg Loss:</t>
  </si>
  <si>
    <t>Reversal</t>
  </si>
  <si>
    <t>Long</t>
  </si>
  <si>
    <t>Breakout</t>
  </si>
  <si>
    <t>Open</t>
  </si>
  <si>
    <t>Action</t>
  </si>
  <si>
    <t>Status</t>
  </si>
  <si>
    <t>Shares Closed</t>
  </si>
  <si>
    <t>Date Opened</t>
  </si>
  <si>
    <t>Direction</t>
  </si>
  <si>
    <t>Entry Price</t>
  </si>
  <si>
    <t>Position Size (shares)</t>
  </si>
  <si>
    <t>Planned R Target</t>
  </si>
  <si>
    <t>Total Realized R</t>
  </si>
  <si>
    <t>Risk(R)</t>
  </si>
  <si>
    <t>Execution Price</t>
  </si>
  <si>
    <t>Setup Name</t>
  </si>
  <si>
    <t>Total Trades</t>
  </si>
  <si>
    <t>Expectancy</t>
  </si>
  <si>
    <t>Cost in R</t>
  </si>
  <si>
    <t>Starting Balance</t>
  </si>
  <si>
    <t>Daily R</t>
  </si>
  <si>
    <t>Emotions</t>
  </si>
  <si>
    <t>Disciplince Score</t>
  </si>
  <si>
    <t>Market Contition</t>
  </si>
  <si>
    <t>Lessons</t>
  </si>
  <si>
    <t>Pullback</t>
  </si>
  <si>
    <t>Range Break</t>
  </si>
  <si>
    <t>Earning Play</t>
  </si>
  <si>
    <t xml:space="preserve"> A+ Setup</t>
  </si>
  <si>
    <t>Buy the Dip</t>
  </si>
  <si>
    <t>Other</t>
  </si>
  <si>
    <t>Wins</t>
  </si>
  <si>
    <t>Losses</t>
  </si>
  <si>
    <t>Avg R per Trade</t>
  </si>
  <si>
    <t>Trend Continuation</t>
  </si>
  <si>
    <t>ONDS</t>
  </si>
  <si>
    <t>CT Reversal</t>
  </si>
  <si>
    <t>Sell</t>
  </si>
  <si>
    <t>Technical</t>
  </si>
  <si>
    <t>No</t>
  </si>
  <si>
    <t>MACD never got confirmation after a try for continuation</t>
  </si>
  <si>
    <t>Most indexes are green, VIX open above 20, but it dropped to 19, still high</t>
  </si>
  <si>
    <t>I sceened for entries all they long, but there is few A+ options, the market shows a lot of volatility</t>
  </si>
  <si>
    <t>Good</t>
  </si>
  <si>
    <t>High</t>
  </si>
  <si>
    <t>4/5</t>
  </si>
  <si>
    <t>T-001</t>
  </si>
  <si>
    <t>DNN</t>
  </si>
  <si>
    <t>Closed</t>
  </si>
  <si>
    <t>TMDX</t>
  </si>
  <si>
    <t>NG</t>
  </si>
  <si>
    <t>T-004</t>
  </si>
  <si>
    <t>ATEC</t>
  </si>
  <si>
    <t>T-002</t>
  </si>
  <si>
    <t>Yes</t>
  </si>
  <si>
    <t>It was closed with earnings, but the entry was timed because I didn't consider earnings release</t>
  </si>
  <si>
    <t>Calm, reduce portfolio, but difficulty to find entries</t>
  </si>
  <si>
    <t>The indexes are gren again, VIX is around 18 levels</t>
  </si>
  <si>
    <t>It is important to consider earnings release before opening positions, today it was a couple of risky entry that luckily worked out</t>
  </si>
  <si>
    <t>Medium</t>
  </si>
  <si>
    <t>The stocks picked are holding the volatility, butit didn't grow</t>
  </si>
  <si>
    <t>The market started green, but the earnings released by NVDA added more uncertainty about the AI and it has increased the volatility, VIX has gone over 20 again and the market is falling in general</t>
  </si>
  <si>
    <t>ROKU</t>
  </si>
  <si>
    <t>OKLO</t>
  </si>
  <si>
    <t>Several entries with .25 risk per trade, they seem to be in good momentum since I am trying to enter after bouncing</t>
  </si>
  <si>
    <t>5/5</t>
  </si>
  <si>
    <t>Patience for entries are everything</t>
  </si>
  <si>
    <t>Most of the market opened with a gap down, and it is mostly falling, VIX is over 20 again but this time there is no a clear trigger, most likely is related with AI concerns that have been increasing the volatility in recent</t>
  </si>
  <si>
    <t>Low</t>
  </si>
  <si>
    <t>Despite the market falling, most of the stocks selected are showing strength I bought them from a relative slow aiming to a counter trend reversal or reversal, for the moment most of the stocks are working which leaves me at easy. Is pretty likely that the portfolio will drop during the day. At the end I manage to do a marginal increase of 15 bucks</t>
  </si>
  <si>
    <t>Look for entries in the structure, not the price, it is what is working.</t>
  </si>
  <si>
    <t>MNST</t>
  </si>
  <si>
    <t>T-008</t>
  </si>
  <si>
    <t>UUUU</t>
  </si>
  <si>
    <t>NRT</t>
  </si>
  <si>
    <t>T-011</t>
  </si>
  <si>
    <t>TJX</t>
  </si>
  <si>
    <t>APPS</t>
  </si>
  <si>
    <t>KTOS</t>
  </si>
  <si>
    <t>Planned Profit Target</t>
  </si>
  <si>
    <t>T-005</t>
  </si>
  <si>
    <t>LULU</t>
  </si>
  <si>
    <t>T-014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</si>
</sst>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wrapText="1"/>
    </xf>
    <xf numFmtId="49" fontId="0" fillId="0" borderId="0" xfId="0" applyNumberFormat="1"/>
    <xf numFmtId="16" fontId="0" fillId="0" borderId="0" xfId="0" applyNumberFormat="1"/>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ADA4-A6CF-4E94-AECD-A49BC2D74812}">
  <dimension ref="A1:M15"/>
  <sheetViews>
    <sheetView tabSelected="1" workbookViewId="0">
      <selection activeCell="G4" sqref="G4"/>
    </sheetView>
  </sheetViews>
  <sheetFormatPr baseColWidth="10" defaultRowHeight="15" x14ac:dyDescent="0.25"/>
  <cols>
    <col min="2" max="2" width="12.28515625" bestFit="1" customWidth="1"/>
    <col min="5" max="5" width="18" bestFit="1" customWidth="1"/>
    <col min="8" max="8" width="20.140625" bestFit="1" customWidth="1"/>
    <col min="9" max="11" width="17.140625" customWidth="1"/>
    <col min="12" max="12" width="19.85546875" bestFit="1" customWidth="1"/>
    <col min="13" max="13" width="14.85546875" bestFit="1" customWidth="1"/>
  </cols>
  <sheetData>
    <row r="1" spans="1:13" x14ac:dyDescent="0.25">
      <c r="A1" t="s">
        <v>0</v>
      </c>
      <c r="B1" t="s">
        <v>34</v>
      </c>
      <c r="C1" t="s">
        <v>2</v>
      </c>
      <c r="D1" t="s">
        <v>35</v>
      </c>
      <c r="E1" t="s">
        <v>3</v>
      </c>
      <c r="F1" t="s">
        <v>36</v>
      </c>
      <c r="G1" t="s">
        <v>4</v>
      </c>
      <c r="H1" t="s">
        <v>37</v>
      </c>
      <c r="I1" t="s">
        <v>40</v>
      </c>
      <c r="J1" t="s">
        <v>38</v>
      </c>
      <c r="K1" t="s">
        <v>106</v>
      </c>
      <c r="L1" t="s">
        <v>32</v>
      </c>
      <c r="M1" t="s">
        <v>39</v>
      </c>
    </row>
    <row r="2" spans="1:13" x14ac:dyDescent="0.25">
      <c r="A2" t="str">
        <f t="shared" ref="A2:A15" si="0">"T-"&amp; TEXT(ROW()-1,"000")</f>
        <v>T-001</v>
      </c>
      <c r="B2" s="1">
        <v>46072</v>
      </c>
      <c r="C2" t="s">
        <v>62</v>
      </c>
      <c r="D2" t="s">
        <v>28</v>
      </c>
      <c r="E2" t="s">
        <v>63</v>
      </c>
      <c r="F2">
        <v>11.11</v>
      </c>
      <c r="G2">
        <v>9.81</v>
      </c>
      <c r="H2">
        <v>18</v>
      </c>
      <c r="I2">
        <f t="shared" ref="I2:I15" si="1">IF(D2="Long",(F2-G2)*H2,(G2-F2)*0)</f>
        <v>23.399999999999981</v>
      </c>
      <c r="J2">
        <v>2</v>
      </c>
      <c r="K2">
        <f>I2*J2</f>
        <v>46.799999999999962</v>
      </c>
      <c r="L2" t="s">
        <v>75</v>
      </c>
      <c r="M2">
        <f>SUMIF(Executions!B:B,A2,Executions!H:H)</f>
        <v>-23.399999999999981</v>
      </c>
    </row>
    <row r="3" spans="1:13" x14ac:dyDescent="0.25">
      <c r="A3" t="str">
        <f t="shared" si="0"/>
        <v>T-002</v>
      </c>
      <c r="B3" s="1">
        <v>46077</v>
      </c>
      <c r="C3" t="s">
        <v>74</v>
      </c>
      <c r="D3" t="s">
        <v>28</v>
      </c>
      <c r="E3" t="s">
        <v>61</v>
      </c>
      <c r="F3">
        <v>4.18</v>
      </c>
      <c r="G3">
        <v>3.82</v>
      </c>
      <c r="H3">
        <v>61</v>
      </c>
      <c r="I3">
        <f t="shared" si="1"/>
        <v>21.959999999999994</v>
      </c>
      <c r="J3">
        <v>2</v>
      </c>
      <c r="K3">
        <f t="shared" ref="K3:K15" si="2">I3*J3</f>
        <v>43.919999999999987</v>
      </c>
      <c r="L3" t="s">
        <v>75</v>
      </c>
      <c r="M3">
        <f>SUMIF(Executions!B:B,A3,Executions!H:H)</f>
        <v>6.7100000000000195</v>
      </c>
    </row>
    <row r="4" spans="1:13" x14ac:dyDescent="0.25">
      <c r="A4" t="str">
        <f t="shared" si="0"/>
        <v>T-003</v>
      </c>
      <c r="B4" s="1">
        <v>46077</v>
      </c>
      <c r="C4" t="s">
        <v>76</v>
      </c>
      <c r="D4" t="s">
        <v>28</v>
      </c>
      <c r="E4" t="s">
        <v>29</v>
      </c>
      <c r="F4">
        <v>136.94</v>
      </c>
      <c r="G4">
        <v>127.28</v>
      </c>
      <c r="H4">
        <v>3</v>
      </c>
      <c r="I4">
        <f t="shared" si="1"/>
        <v>28.97999999999999</v>
      </c>
      <c r="J4">
        <v>2</v>
      </c>
      <c r="K4">
        <f t="shared" si="2"/>
        <v>57.95999999999998</v>
      </c>
      <c r="L4" t="s">
        <v>30</v>
      </c>
      <c r="M4">
        <f>SUMIF(Executions!B:B,A4,Executions!H:H)</f>
        <v>0</v>
      </c>
    </row>
    <row r="5" spans="1:13" x14ac:dyDescent="0.25">
      <c r="A5" t="str">
        <f t="shared" si="0"/>
        <v>T-004</v>
      </c>
      <c r="B5" s="1">
        <v>46070</v>
      </c>
      <c r="C5" t="s">
        <v>77</v>
      </c>
      <c r="D5" t="s">
        <v>28</v>
      </c>
      <c r="E5" t="s">
        <v>29</v>
      </c>
      <c r="F5">
        <v>10.37</v>
      </c>
      <c r="G5">
        <v>9.4499999999999993</v>
      </c>
      <c r="H5">
        <v>36</v>
      </c>
      <c r="I5">
        <f t="shared" si="1"/>
        <v>33.119999999999997</v>
      </c>
      <c r="J5">
        <v>1.5</v>
      </c>
      <c r="K5">
        <f t="shared" si="2"/>
        <v>49.679999999999993</v>
      </c>
      <c r="L5" t="s">
        <v>30</v>
      </c>
      <c r="M5">
        <f>SUMIF(Executions!B:B,A5,Executions!H:H)</f>
        <v>59.310000000000031</v>
      </c>
    </row>
    <row r="6" spans="1:13" x14ac:dyDescent="0.25">
      <c r="A6" t="str">
        <f t="shared" si="0"/>
        <v>T-005</v>
      </c>
      <c r="B6" s="1">
        <v>46078</v>
      </c>
      <c r="C6" t="s">
        <v>79</v>
      </c>
      <c r="D6" t="s">
        <v>28</v>
      </c>
      <c r="E6" t="s">
        <v>63</v>
      </c>
      <c r="F6">
        <v>13.39</v>
      </c>
      <c r="G6">
        <v>12.39</v>
      </c>
      <c r="H6">
        <v>19</v>
      </c>
      <c r="I6">
        <f t="shared" si="1"/>
        <v>19</v>
      </c>
      <c r="J6">
        <v>2</v>
      </c>
      <c r="K6">
        <f t="shared" si="2"/>
        <v>38</v>
      </c>
      <c r="L6" t="s">
        <v>75</v>
      </c>
      <c r="M6">
        <f>SUMIF(Executions!B:B,A6,Executions!H:H)</f>
        <v>-10.601999999999997</v>
      </c>
    </row>
    <row r="7" spans="1:13" x14ac:dyDescent="0.25">
      <c r="A7" t="str">
        <f t="shared" si="0"/>
        <v>T-006</v>
      </c>
      <c r="B7" s="1">
        <v>46079</v>
      </c>
      <c r="C7" t="s">
        <v>89</v>
      </c>
      <c r="D7" t="s">
        <v>28</v>
      </c>
      <c r="E7" t="s">
        <v>27</v>
      </c>
      <c r="F7">
        <v>92.49</v>
      </c>
      <c r="G7">
        <v>87.03</v>
      </c>
      <c r="H7">
        <v>3</v>
      </c>
      <c r="I7">
        <f t="shared" si="1"/>
        <v>16.379999999999981</v>
      </c>
      <c r="J7">
        <v>2</v>
      </c>
      <c r="K7">
        <f t="shared" si="2"/>
        <v>32.759999999999962</v>
      </c>
      <c r="L7" t="s">
        <v>30</v>
      </c>
      <c r="M7">
        <f>SUMIF(Executions!B:B,A7,Executions!H:H)</f>
        <v>0</v>
      </c>
    </row>
    <row r="8" spans="1:13" x14ac:dyDescent="0.25">
      <c r="A8" t="str">
        <f t="shared" si="0"/>
        <v>T-007</v>
      </c>
      <c r="B8" s="1">
        <v>46079</v>
      </c>
      <c r="C8" t="s">
        <v>90</v>
      </c>
      <c r="D8" t="s">
        <v>28</v>
      </c>
      <c r="E8" t="s">
        <v>63</v>
      </c>
      <c r="F8">
        <v>67.819999999999993</v>
      </c>
      <c r="G8">
        <v>58.5</v>
      </c>
      <c r="H8">
        <v>3</v>
      </c>
      <c r="I8">
        <f t="shared" si="1"/>
        <v>27.95999999999998</v>
      </c>
      <c r="J8">
        <v>2</v>
      </c>
      <c r="K8">
        <f t="shared" si="2"/>
        <v>55.919999999999959</v>
      </c>
      <c r="L8" t="s">
        <v>30</v>
      </c>
      <c r="M8">
        <f>SUMIF(Executions!B:B,A8,Executions!H:H)</f>
        <v>0</v>
      </c>
    </row>
    <row r="9" spans="1:13" x14ac:dyDescent="0.25">
      <c r="A9" t="str">
        <f t="shared" si="0"/>
        <v>T-008</v>
      </c>
      <c r="B9" s="1">
        <v>46048</v>
      </c>
      <c r="C9" t="s">
        <v>98</v>
      </c>
      <c r="D9" t="s">
        <v>28</v>
      </c>
      <c r="E9" t="s">
        <v>61</v>
      </c>
      <c r="F9">
        <v>75.67</v>
      </c>
      <c r="G9">
        <v>73.150000000000006</v>
      </c>
      <c r="H9">
        <v>12</v>
      </c>
      <c r="I9">
        <f t="shared" si="1"/>
        <v>30.239999999999952</v>
      </c>
      <c r="J9">
        <v>2</v>
      </c>
      <c r="K9">
        <f t="shared" si="2"/>
        <v>60.479999999999905</v>
      </c>
      <c r="L9" t="s">
        <v>75</v>
      </c>
      <c r="M9">
        <f>SUMIF(Executions!B:B,A9,Executions!H:H)</f>
        <v>80.400000000000034</v>
      </c>
    </row>
    <row r="10" spans="1:13" x14ac:dyDescent="0.25">
      <c r="A10" t="str">
        <f t="shared" si="0"/>
        <v>T-009</v>
      </c>
      <c r="B10" s="1">
        <v>46083</v>
      </c>
      <c r="C10" t="s">
        <v>100</v>
      </c>
      <c r="D10" t="s">
        <v>28</v>
      </c>
      <c r="E10" t="s">
        <v>61</v>
      </c>
      <c r="F10">
        <v>22.46</v>
      </c>
      <c r="G10">
        <v>19.350000000000001</v>
      </c>
      <c r="H10">
        <v>7</v>
      </c>
      <c r="I10">
        <f t="shared" si="1"/>
        <v>21.769999999999996</v>
      </c>
      <c r="J10">
        <v>2</v>
      </c>
      <c r="K10">
        <f t="shared" si="2"/>
        <v>43.539999999999992</v>
      </c>
      <c r="L10" t="s">
        <v>30</v>
      </c>
      <c r="M10">
        <f>SUMIF(Executions!B:B,A10,Executions!H:H)</f>
        <v>0</v>
      </c>
    </row>
    <row r="11" spans="1:13" x14ac:dyDescent="0.25">
      <c r="A11" t="str">
        <f t="shared" si="0"/>
        <v>T-010</v>
      </c>
      <c r="B11" s="1">
        <v>46083</v>
      </c>
      <c r="C11" t="s">
        <v>101</v>
      </c>
      <c r="D11" t="s">
        <v>28</v>
      </c>
      <c r="E11" t="s">
        <v>61</v>
      </c>
      <c r="F11">
        <v>8.99</v>
      </c>
      <c r="G11">
        <v>8.16</v>
      </c>
      <c r="H11">
        <v>27</v>
      </c>
      <c r="I11">
        <f t="shared" si="1"/>
        <v>22.410000000000004</v>
      </c>
      <c r="J11">
        <v>2</v>
      </c>
      <c r="K11">
        <f t="shared" si="2"/>
        <v>44.820000000000007</v>
      </c>
      <c r="L11" t="s">
        <v>75</v>
      </c>
      <c r="M11">
        <f>SUMIF(Executions!B:B,A11,Executions!H:H)</f>
        <v>0</v>
      </c>
    </row>
    <row r="12" spans="1:13" x14ac:dyDescent="0.25">
      <c r="A12" t="str">
        <f t="shared" si="0"/>
        <v>T-011</v>
      </c>
      <c r="B12" s="1">
        <v>46084</v>
      </c>
      <c r="C12" s="1" t="s">
        <v>103</v>
      </c>
      <c r="D12" t="s">
        <v>28</v>
      </c>
      <c r="E12" t="s">
        <v>29</v>
      </c>
      <c r="F12">
        <v>152.16999999999999</v>
      </c>
      <c r="G12">
        <v>150.47999999999999</v>
      </c>
      <c r="H12">
        <v>6</v>
      </c>
      <c r="I12">
        <f t="shared" si="1"/>
        <v>10.139999999999986</v>
      </c>
      <c r="J12">
        <v>2</v>
      </c>
      <c r="K12">
        <f t="shared" si="2"/>
        <v>20.279999999999973</v>
      </c>
      <c r="L12" t="s">
        <v>75</v>
      </c>
      <c r="M12">
        <f>SUMIF(Executions!B:B,A12,Executions!H:H)</f>
        <v>24.42000000000013</v>
      </c>
    </row>
    <row r="13" spans="1:13" x14ac:dyDescent="0.25">
      <c r="A13" t="str">
        <f t="shared" si="0"/>
        <v>T-012</v>
      </c>
      <c r="B13" s="1">
        <v>46085</v>
      </c>
      <c r="C13" t="s">
        <v>104</v>
      </c>
      <c r="D13" t="s">
        <v>28</v>
      </c>
      <c r="E13" t="s">
        <v>63</v>
      </c>
      <c r="F13">
        <v>4.2699999999999996</v>
      </c>
      <c r="G13">
        <v>3.75</v>
      </c>
      <c r="H13">
        <v>42</v>
      </c>
      <c r="I13">
        <f t="shared" si="1"/>
        <v>21.839999999999982</v>
      </c>
      <c r="J13">
        <v>2</v>
      </c>
      <c r="K13">
        <f t="shared" si="2"/>
        <v>43.679999999999964</v>
      </c>
      <c r="L13" t="s">
        <v>30</v>
      </c>
      <c r="M13">
        <f>SUMIF(Executions!B:B,A13,Executions!H:H)</f>
        <v>0</v>
      </c>
    </row>
    <row r="14" spans="1:13" x14ac:dyDescent="0.25">
      <c r="A14" t="str">
        <f t="shared" si="0"/>
        <v>T-013</v>
      </c>
      <c r="B14" s="1">
        <v>46085</v>
      </c>
      <c r="C14" t="s">
        <v>105</v>
      </c>
      <c r="D14" t="s">
        <v>28</v>
      </c>
      <c r="E14" t="s">
        <v>61</v>
      </c>
      <c r="F14">
        <v>88.58</v>
      </c>
      <c r="G14">
        <v>80.95</v>
      </c>
      <c r="H14">
        <v>3</v>
      </c>
      <c r="I14">
        <f t="shared" si="1"/>
        <v>22.889999999999986</v>
      </c>
      <c r="J14">
        <v>2</v>
      </c>
      <c r="K14">
        <f t="shared" si="2"/>
        <v>45.779999999999973</v>
      </c>
      <c r="L14" t="s">
        <v>30</v>
      </c>
      <c r="M14">
        <f>SUMIF(Executions!B:B,A14,Executions!H:H)</f>
        <v>0</v>
      </c>
    </row>
    <row r="15" spans="1:13" x14ac:dyDescent="0.25">
      <c r="A15" t="str">
        <f t="shared" si="0"/>
        <v>T-014</v>
      </c>
      <c r="B15" s="1">
        <v>46079</v>
      </c>
      <c r="C15" t="s">
        <v>108</v>
      </c>
      <c r="D15" t="s">
        <v>28</v>
      </c>
      <c r="E15" t="s">
        <v>63</v>
      </c>
      <c r="F15">
        <v>177.48</v>
      </c>
      <c r="G15">
        <v>166.83</v>
      </c>
      <c r="H15">
        <v>2</v>
      </c>
      <c r="I15">
        <f t="shared" si="1"/>
        <v>21.299999999999955</v>
      </c>
      <c r="J15">
        <v>2</v>
      </c>
      <c r="K15">
        <f t="shared" si="2"/>
        <v>42.599999999999909</v>
      </c>
      <c r="L15" t="s">
        <v>75</v>
      </c>
      <c r="M15">
        <f>SUMIF(Executions!B:B,A15,Executions!H:H)</f>
        <v>-21.71999999999997</v>
      </c>
    </row>
  </sheetData>
  <conditionalFormatting sqref="M2:M15">
    <cfRule type="cellIs" dxfId="1" priority="1" operator="lessThan">
      <formula>K2</formula>
    </cfRule>
    <cfRule type="cellIs" dxfId="0" priority="2" operator="greaterThan">
      <formula>K2</formula>
    </cfRule>
  </conditionalFormatting>
  <dataValidations count="3">
    <dataValidation type="list" allowBlank="1" showInputMessage="1" showErrorMessage="1" sqref="D2:D1048576" xr:uid="{7CC3C28F-4F55-4478-BFCD-3E2D4B39BBC5}">
      <formula1>"Long,Short"</formula1>
    </dataValidation>
    <dataValidation type="list" allowBlank="1" showInputMessage="1" showErrorMessage="1" sqref="E1 E16:E1048576" xr:uid="{184E1B61-3233-4303-B854-3059829C2393}">
      <formula1>"Breakout,Pullback,Range Break,Reversal,Earning Play, A+ Setup,Buy the Dip, Other"</formula1>
    </dataValidation>
    <dataValidation type="list" allowBlank="1" showInputMessage="1" showErrorMessage="1" sqref="L2:L1048576" xr:uid="{F4069621-A7E8-45FE-9BEB-689DCD314A70}">
      <formula1>"Open,Closed"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958648C-BDD0-4279-9367-17373A7E8527}">
          <x14:formula1>
            <xm:f>Setups!$A$2:$A$11</xm:f>
          </x14:formula1>
          <xm:sqref>E2:E15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6475-86FC-4B41-8DB1-3EDC95E09B14}">
  <dimension ref="A1:I9"/>
  <sheetViews>
    <sheetView workbookViewId="0">
      <selection activeCell="F25" sqref="F25"/>
    </sheetView>
  </sheetViews>
  <sheetFormatPr baseColWidth="10" defaultRowHeight="15" x14ac:dyDescent="0.25"/>
  <cols>
    <col min="5" max="5" width="10.28515625" bestFit="1" customWidth="1"/>
    <col min="7" max="7" width="13.42578125" bestFit="1" customWidth="1"/>
    <col min="9" max="9" width="13.5703125" bestFit="1" customWidth="1"/>
  </cols>
  <sheetData>
    <row r="1" spans="1:9" x14ac:dyDescent="0.25">
      <c r="A1" t="s">
        <v>7</v>
      </c>
      <c r="B1" t="s">
        <v>0</v>
      </c>
      <c r="C1" t="s">
        <v>1</v>
      </c>
      <c r="D1" t="s">
        <v>2</v>
      </c>
      <c r="E1" t="s">
        <v>31</v>
      </c>
      <c r="F1" t="s">
        <v>41</v>
      </c>
      <c r="G1" t="s">
        <v>33</v>
      </c>
      <c r="H1" t="s">
        <v>8</v>
      </c>
      <c r="I1" t="s">
        <v>9</v>
      </c>
    </row>
    <row r="2" spans="1:9" x14ac:dyDescent="0.25">
      <c r="A2">
        <f>ROW()-1</f>
        <v>1</v>
      </c>
      <c r="B2" t="s">
        <v>73</v>
      </c>
      <c r="C2" s="1">
        <v>46077</v>
      </c>
      <c r="D2" t="str">
        <f>VLOOKUP(B2,Trades!A$1:M100000,3,FALSE)</f>
        <v>ONDS</v>
      </c>
      <c r="E2" t="s">
        <v>64</v>
      </c>
      <c r="F2">
        <v>9.81</v>
      </c>
      <c r="G2">
        <v>18</v>
      </c>
      <c r="H2">
        <f>IF(VLOOKUP(B2,Trades!A:M,4,FALSE)="Long",(F2-VLOOKUP(B2,Trades!A:M,6,FALSE))*G2,(VLOOKUP(B2,Trades!A:M,6,FALSE)-F2)*G2)</f>
        <v>-23.399999999999981</v>
      </c>
      <c r="I2">
        <f>H2/Trades!I2</f>
        <v>-1</v>
      </c>
    </row>
    <row r="3" spans="1:9" x14ac:dyDescent="0.25">
      <c r="A3">
        <f t="shared" ref="A3:A9" si="0">ROW()-1</f>
        <v>2</v>
      </c>
      <c r="B3" t="s">
        <v>78</v>
      </c>
      <c r="C3" s="1">
        <v>46077</v>
      </c>
      <c r="D3" t="str">
        <f>VLOOKUP(B3,Trades!A$1:M100001,3,FALSE)</f>
        <v>NG</v>
      </c>
      <c r="E3" t="s">
        <v>64</v>
      </c>
      <c r="F3">
        <v>11.765000000000001</v>
      </c>
      <c r="G3">
        <v>18</v>
      </c>
      <c r="H3">
        <f>IF(VLOOKUP(B3,Trades!A:M,4,FALSE)="Long",(F3-VLOOKUP(B3,Trades!A:M,6,FALSE))*G3,(VLOOKUP(B3,Trades!A:M,6,FALSE)-F3)*G3)</f>
        <v>25.110000000000024</v>
      </c>
      <c r="I3">
        <f>H3/Trades!I3</f>
        <v>1.143442622950821</v>
      </c>
    </row>
    <row r="4" spans="1:9" x14ac:dyDescent="0.25">
      <c r="A4">
        <f t="shared" si="0"/>
        <v>3</v>
      </c>
      <c r="B4" t="s">
        <v>80</v>
      </c>
      <c r="C4" s="1">
        <v>46078</v>
      </c>
      <c r="D4" t="str">
        <f>VLOOKUP(B4,Trades!A$1:M100002,3,FALSE)</f>
        <v>DNN</v>
      </c>
      <c r="E4" t="s">
        <v>64</v>
      </c>
      <c r="F4">
        <v>4.29</v>
      </c>
      <c r="G4">
        <v>61</v>
      </c>
      <c r="H4">
        <f>IF(VLOOKUP(B4,Trades!A:M,4,FALSE)="Long",(F4-VLOOKUP(B4,Trades!A:M,6,FALSE))*G4,(VLOOKUP(B4,Trades!A:M,6,FALSE)-F4)*G4)</f>
        <v>6.7100000000000195</v>
      </c>
      <c r="I4">
        <f>H4/Trades!I4</f>
        <v>0.23153899240855838</v>
      </c>
    </row>
    <row r="5" spans="1:9" x14ac:dyDescent="0.25">
      <c r="A5">
        <f t="shared" si="0"/>
        <v>4</v>
      </c>
      <c r="B5" t="s">
        <v>99</v>
      </c>
      <c r="C5" s="1">
        <v>46083</v>
      </c>
      <c r="D5" t="str">
        <f>VLOOKUP(B5,Trades!A$1:M100003,3,FALSE)</f>
        <v>MNST</v>
      </c>
      <c r="E5" t="s">
        <v>64</v>
      </c>
      <c r="F5">
        <v>82.37</v>
      </c>
      <c r="G5">
        <v>12</v>
      </c>
      <c r="H5">
        <f>IF(VLOOKUP(B5,Trades!A:M,4,FALSE)="Long",(F5-VLOOKUP(B5,Trades!A:M,6,FALSE))*G5,(VLOOKUP(B5,Trades!A:M,6,FALSE)-F5)*G5)</f>
        <v>80.400000000000034</v>
      </c>
      <c r="I5">
        <f>H5/Trades!I5</f>
        <v>2.427536231884059</v>
      </c>
    </row>
    <row r="6" spans="1:9" x14ac:dyDescent="0.25">
      <c r="A6">
        <f t="shared" si="0"/>
        <v>5</v>
      </c>
      <c r="B6" t="s">
        <v>78</v>
      </c>
      <c r="C6" s="1">
        <v>46084</v>
      </c>
      <c r="D6" t="str">
        <f>VLOOKUP(B6,Trades!A$1:M100004,3,FALSE)</f>
        <v>NG</v>
      </c>
      <c r="E6" t="s">
        <v>64</v>
      </c>
      <c r="F6">
        <v>12.27</v>
      </c>
      <c r="G6">
        <v>18</v>
      </c>
      <c r="H6">
        <f>IF(VLOOKUP(B6,Trades!A:M,4,FALSE)="Long",(F6-VLOOKUP(B6,Trades!A:M,6,FALSE))*G6,(VLOOKUP(B6,Trades!A:M,6,FALSE)-F6)*G6)</f>
        <v>34.200000000000003</v>
      </c>
      <c r="I6">
        <f>H6/Trades!I6</f>
        <v>1.8</v>
      </c>
    </row>
    <row r="7" spans="1:9" x14ac:dyDescent="0.25">
      <c r="A7">
        <f t="shared" si="0"/>
        <v>6</v>
      </c>
      <c r="B7" t="s">
        <v>102</v>
      </c>
      <c r="C7" s="1">
        <v>46084</v>
      </c>
      <c r="D7" t="str">
        <f>VLOOKUP(B7,Trades!A$1:M100005,3,FALSE)</f>
        <v>TJX</v>
      </c>
      <c r="E7" t="s">
        <v>64</v>
      </c>
      <c r="F7">
        <v>156.24</v>
      </c>
      <c r="G7">
        <v>6</v>
      </c>
      <c r="H7">
        <f>IF(VLOOKUP(B7,Trades!A:M,4,FALSE)="Long",(F7-VLOOKUP(B7,Trades!A:M,6,FALSE))*G7,(VLOOKUP(B7,Trades!A:M,6,FALSE)-F7)*G7)</f>
        <v>24.42000000000013</v>
      </c>
      <c r="I7">
        <f>H7/Trades!I7</f>
        <v>1.4908424908425004</v>
      </c>
    </row>
    <row r="8" spans="1:9" x14ac:dyDescent="0.25">
      <c r="A8">
        <f t="shared" si="0"/>
        <v>7</v>
      </c>
      <c r="B8" t="s">
        <v>107</v>
      </c>
      <c r="C8" s="1">
        <v>46085</v>
      </c>
      <c r="D8" t="str">
        <f>VLOOKUP(B8,Trades!A$1:M100006,3,FALSE)</f>
        <v>ATEC</v>
      </c>
      <c r="E8" t="s">
        <v>64</v>
      </c>
      <c r="F8">
        <v>12.832000000000001</v>
      </c>
      <c r="G8">
        <v>19</v>
      </c>
      <c r="H8">
        <f>IF(VLOOKUP(B8,Trades!A:M,4,FALSE)="Long",(F8-VLOOKUP(B8,Trades!A:M,6,FALSE))*G8,(VLOOKUP(B8,Trades!A:M,6,FALSE)-F8)*G8)</f>
        <v>-10.601999999999997</v>
      </c>
      <c r="I8">
        <f>H8/Trades!I8</f>
        <v>-0.37918454935622331</v>
      </c>
    </row>
    <row r="9" spans="1:9" x14ac:dyDescent="0.25">
      <c r="A9">
        <f t="shared" si="0"/>
        <v>8</v>
      </c>
      <c r="B9" t="s">
        <v>109</v>
      </c>
      <c r="C9" s="1">
        <v>46087</v>
      </c>
      <c r="D9" t="s">
        <v>108</v>
      </c>
      <c r="E9" t="s">
        <v>64</v>
      </c>
      <c r="F9">
        <v>166.62</v>
      </c>
      <c r="G9">
        <v>2</v>
      </c>
      <c r="H9">
        <f>IF(VLOOKUP(B9,Trades!A:M,4,FALSE)="Long",(F9-VLOOKUP(B9,Trades!A:M,6,FALSE))*G9,(VLOOKUP(B9,Trades!A:M,6,FALSE)-F9)*G9)</f>
        <v>-21.71999999999997</v>
      </c>
      <c r="I9">
        <f>H9/Trades!I9</f>
        <v>-0.71825396825396837</v>
      </c>
    </row>
  </sheetData>
  <dataValidations count="2">
    <dataValidation type="list" allowBlank="1" showInputMessage="1" showErrorMessage="1" sqref="E10:E1048576" xr:uid="{05958E25-911C-4ED3-A0F6-7B25054B7856}">
      <formula1>$E$2:$E100009</formula1>
    </dataValidation>
    <dataValidation type="list" allowBlank="1" showInputMessage="1" showErrorMessage="1" sqref="E2:E9" xr:uid="{9C25687B-DEF5-4411-BA9A-40CB4D950704}">
      <formula1>"Sell,Cover"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4C81-5CF1-4DFA-99E6-729F5B0DC763}">
  <dimension ref="A1:J11"/>
  <sheetViews>
    <sheetView workbookViewId="0">
      <selection activeCell="B36" sqref="B36"/>
    </sheetView>
  </sheetViews>
  <sheetFormatPr baseColWidth="10" defaultRowHeight="15" x14ac:dyDescent="0.25"/>
  <cols>
    <col min="1" max="1" width="18" bestFit="1" customWidth="1"/>
    <col min="5" max="6" width="13.5703125" customWidth="1"/>
    <col min="7" max="7" width="14.28515625" bestFit="1" customWidth="1"/>
    <col min="8" max="8" width="11.7109375" bestFit="1" customWidth="1"/>
  </cols>
  <sheetData>
    <row r="1" spans="1:10" x14ac:dyDescent="0.25">
      <c r="A1" t="s">
        <v>42</v>
      </c>
      <c r="B1" t="s">
        <v>43</v>
      </c>
      <c r="C1" t="s">
        <v>58</v>
      </c>
      <c r="D1" t="s">
        <v>59</v>
      </c>
      <c r="E1" t="s">
        <v>12</v>
      </c>
      <c r="F1" t="s">
        <v>5</v>
      </c>
      <c r="G1" t="s">
        <v>60</v>
      </c>
      <c r="H1" t="s">
        <v>13</v>
      </c>
      <c r="I1" t="s">
        <v>44</v>
      </c>
      <c r="J1" t="s">
        <v>32</v>
      </c>
    </row>
    <row r="2" spans="1:10" x14ac:dyDescent="0.25">
      <c r="A2" t="s">
        <v>29</v>
      </c>
      <c r="B2">
        <f>COUNTIF(Trades!E:E,A2)</f>
        <v>3</v>
      </c>
      <c r="C2">
        <f>COUNTIFS(Trades!E:E, A2,Trades!M:M, "&gt;0")</f>
        <v>2</v>
      </c>
      <c r="D2">
        <f>COUNTIFS(Trades!E:E, A2, Trades!M:M, "&lt;0")</f>
        <v>0</v>
      </c>
      <c r="E2">
        <f>IFERROR(C2/B2,0)</f>
        <v>0.66666666666666663</v>
      </c>
      <c r="F2">
        <f>SUMIF(Trades!E:E,A2,Trades!M:M)</f>
        <v>83.73000000000016</v>
      </c>
      <c r="G2">
        <f>IFERROR(F2/B2,0)</f>
        <v>27.910000000000053</v>
      </c>
      <c r="H2">
        <f>IFERROR( SUMIFS(Trades!M:M, Trades!E:E, A2, Trades!M:M, "&gt;0")/ABS(SUMIFS(Trades!M:M,Trades!E:E, A2,Trades!M:M,"&lt;0")),0)</f>
        <v>0</v>
      </c>
      <c r="I2">
        <f>IFERROR(F2/B2,0)</f>
        <v>27.910000000000053</v>
      </c>
    </row>
    <row r="3" spans="1:10" x14ac:dyDescent="0.25">
      <c r="A3" t="s">
        <v>52</v>
      </c>
      <c r="B3">
        <f>COUNTIF(Trades!E:E,A3)</f>
        <v>0</v>
      </c>
      <c r="C3">
        <f>COUNTIFS(Trades!E:E, A3,Trades!M:M, "&gt;0")</f>
        <v>0</v>
      </c>
      <c r="D3">
        <f>COUNTIFS(Trades!E:E, A3, Trades!M:M, "&lt;0")</f>
        <v>0</v>
      </c>
      <c r="E3">
        <f t="shared" ref="E3:E11" si="0">IFERROR(C3/B3,0)</f>
        <v>0</v>
      </c>
      <c r="F3">
        <f>SUMIF(Trades!E:E,A3,Trades!M:M)</f>
        <v>0</v>
      </c>
      <c r="G3">
        <f t="shared" ref="G3:G11" si="1">IFERROR(F3/B3,0)</f>
        <v>0</v>
      </c>
      <c r="H3">
        <f>IFERROR( SUMIFS(Trades!M:M, Trades!E:E, A3, Trades!M:M, "&gt;0")/ABS(SUMIFS(Trades!M:M, Trades!E:E, A3, Trades!M:M,"&lt;0")),0)</f>
        <v>0</v>
      </c>
      <c r="I3">
        <f t="shared" ref="I3:I11" si="2">IFERROR(F3/B3,0)</f>
        <v>0</v>
      </c>
    </row>
    <row r="4" spans="1:10" x14ac:dyDescent="0.25">
      <c r="A4" t="s">
        <v>53</v>
      </c>
      <c r="B4">
        <f>COUNTIF(Trades!E:E,A4)</f>
        <v>0</v>
      </c>
      <c r="C4">
        <f>COUNTIFS(Trades!E:E, A4,Trades!M:M, "&gt;0")</f>
        <v>0</v>
      </c>
      <c r="D4">
        <f>COUNTIFS(Trades!E:E, A4, Trades!M:M, "&lt;0")</f>
        <v>0</v>
      </c>
      <c r="E4">
        <f t="shared" si="0"/>
        <v>0</v>
      </c>
      <c r="F4">
        <f>SUMIF(Trades!E:E,A4,Trades!M:M)</f>
        <v>0</v>
      </c>
      <c r="G4">
        <f t="shared" si="1"/>
        <v>0</v>
      </c>
      <c r="H4">
        <f>IFERROR( SUMIFS(Trades!M:M, Trades!E:E, A4, Trades!M:M, "&gt;0")/ABS(SUMIFS(Trades!M:M, Trades!E:E, A4, Trades!M:M,"&lt;0")),0)</f>
        <v>0</v>
      </c>
      <c r="I4">
        <f t="shared" si="2"/>
        <v>0</v>
      </c>
    </row>
    <row r="5" spans="1:10" x14ac:dyDescent="0.25">
      <c r="A5" t="s">
        <v>27</v>
      </c>
      <c r="B5">
        <f>COUNTIF(Trades!E:E,A5)</f>
        <v>1</v>
      </c>
      <c r="C5">
        <f>COUNTIFS(Trades!E:E, A5,Trades!M:M, "&gt;0")</f>
        <v>0</v>
      </c>
      <c r="D5">
        <f>COUNTIFS(Trades!E:E, A5, Trades!M:M, "&lt;0")</f>
        <v>0</v>
      </c>
      <c r="E5">
        <f t="shared" si="0"/>
        <v>0</v>
      </c>
      <c r="F5">
        <f>SUMIF(Trades!E:E,A5,Trades!M:M)</f>
        <v>0</v>
      </c>
      <c r="G5">
        <f t="shared" si="1"/>
        <v>0</v>
      </c>
      <c r="H5">
        <f>IFERROR( SUMIFS(Trades!M:M, Trades!E:E, A5, Trades!M:M, "&gt;0")/ABS(SUMIFS(Trades!M:M, Trades!E:E, A5, Trades!M:M,"&lt;0")),0)</f>
        <v>0</v>
      </c>
      <c r="I5">
        <f t="shared" si="2"/>
        <v>0</v>
      </c>
    </row>
    <row r="6" spans="1:10" x14ac:dyDescent="0.25">
      <c r="A6" t="s">
        <v>54</v>
      </c>
      <c r="B6">
        <f>COUNTIF(Trades!E:E,A6)</f>
        <v>0</v>
      </c>
      <c r="C6">
        <f>COUNTIFS(Trades!E:E, A6,Trades!M:M, "&gt;0")</f>
        <v>0</v>
      </c>
      <c r="D6">
        <f>COUNTIFS(Trades!E:E, A6, Trades!M:M, "&lt;0")</f>
        <v>0</v>
      </c>
      <c r="E6">
        <f t="shared" si="0"/>
        <v>0</v>
      </c>
      <c r="F6">
        <f>SUMIF(Trades!E:E,A6,Trades!M:M)</f>
        <v>0</v>
      </c>
      <c r="G6">
        <f t="shared" si="1"/>
        <v>0</v>
      </c>
      <c r="H6">
        <f>IFERROR( SUMIFS(Trades!M:M, Trades!E:E, A6, Trades!M:M, "&gt;0")/ABS(SUMIFS(Trades!M:M, Trades!E:E, A6, Trades!M:M,"&lt;0")),0)</f>
        <v>0</v>
      </c>
      <c r="I6">
        <f t="shared" si="2"/>
        <v>0</v>
      </c>
    </row>
    <row r="7" spans="1:10" x14ac:dyDescent="0.25">
      <c r="A7" t="s">
        <v>55</v>
      </c>
      <c r="B7">
        <f>COUNTIF(Trades!E:E,A7)</f>
        <v>0</v>
      </c>
      <c r="C7">
        <f>COUNTIFS(Trades!E:E, A7,Trades!M:M, "&gt;0")</f>
        <v>0</v>
      </c>
      <c r="D7">
        <f>COUNTIFS(Trades!E:E, A7, Trades!M:M, "&lt;0")</f>
        <v>0</v>
      </c>
      <c r="E7">
        <f t="shared" si="0"/>
        <v>0</v>
      </c>
      <c r="F7">
        <f>SUMIF(Trades!E:E,A7,Trades!M:M)</f>
        <v>0</v>
      </c>
      <c r="G7">
        <f t="shared" si="1"/>
        <v>0</v>
      </c>
      <c r="H7">
        <f>IFERROR( SUMIFS(Trades!M:M, Trades!E:E, A7, Trades!M:M, "&gt;0")/ABS(SUMIFS(Trades!M:M, Trades!E:E, A7, Trades!M:M,"&lt;0")),0)</f>
        <v>0</v>
      </c>
      <c r="I7">
        <f t="shared" si="2"/>
        <v>0</v>
      </c>
    </row>
    <row r="8" spans="1:10" x14ac:dyDescent="0.25">
      <c r="A8" t="s">
        <v>56</v>
      </c>
      <c r="B8">
        <f>COUNTIF(Trades!E:E,A8)</f>
        <v>0</v>
      </c>
      <c r="C8">
        <f>COUNTIFS(Trades!E:E, A8,Trades!M:M, "&gt;0")</f>
        <v>0</v>
      </c>
      <c r="D8">
        <f>COUNTIFS(Trades!E:E, A8, Trades!M:M, "&lt;0")</f>
        <v>0</v>
      </c>
      <c r="E8">
        <f t="shared" si="0"/>
        <v>0</v>
      </c>
      <c r="F8">
        <f>SUMIF(Trades!E:E,A8,Trades!M:M)</f>
        <v>0</v>
      </c>
      <c r="G8">
        <f t="shared" si="1"/>
        <v>0</v>
      </c>
      <c r="H8">
        <f>IFERROR( SUMIFS(Trades!M:M, Trades!E:E, A8, Trades!M:M, "&gt;0")/ABS(SUMIFS(Trades!M:M, Trades!E:E, A8, Trades!M:M,"&lt;0")),0)</f>
        <v>0</v>
      </c>
      <c r="I8">
        <f t="shared" si="2"/>
        <v>0</v>
      </c>
    </row>
    <row r="9" spans="1:10" x14ac:dyDescent="0.25">
      <c r="A9" t="s">
        <v>61</v>
      </c>
      <c r="B9">
        <f>COUNTIF(Trades!E:E,A9)</f>
        <v>5</v>
      </c>
      <c r="C9">
        <f>COUNTIFS(Trades!E:E, A9,Trades!M:M, "&gt;0")</f>
        <v>2</v>
      </c>
      <c r="D9">
        <f>COUNTIFS(Trades!E:E, A9, Trades!M:M, "&lt;0")</f>
        <v>0</v>
      </c>
      <c r="E9">
        <f>IFERROR(C9/B9,0)</f>
        <v>0.4</v>
      </c>
      <c r="F9">
        <f>SUMIF(Trades!E:E,A9,Trades!M:M)</f>
        <v>87.110000000000056</v>
      </c>
      <c r="G9">
        <f t="shared" si="1"/>
        <v>17.422000000000011</v>
      </c>
      <c r="H9">
        <f>IFERROR( SUMIFS(Trades!M:M, Trades!E:E, A9, Trades!M:M, "&gt;0")/ABS(SUMIFS(Trades!M:M, Trades!E:E, A9, Trades!M:M,"&lt;0")),0)</f>
        <v>0</v>
      </c>
      <c r="I9">
        <f t="shared" si="2"/>
        <v>17.422000000000011</v>
      </c>
    </row>
    <row r="10" spans="1:10" x14ac:dyDescent="0.25">
      <c r="A10" t="s">
        <v>63</v>
      </c>
      <c r="B10">
        <f>COUNTIF(Trades!E:E,A10)</f>
        <v>5</v>
      </c>
      <c r="C10">
        <f>COUNTIFS(Trades!E:E, A10,Trades!M:M, "&gt;0")</f>
        <v>0</v>
      </c>
      <c r="D10">
        <f>COUNTIFS(Trades!E:E, A10, Trades!M:M, "&lt;0")</f>
        <v>3</v>
      </c>
      <c r="E10">
        <f>IFERROR(C10/B10,0)</f>
        <v>0</v>
      </c>
      <c r="F10">
        <f>SUMIF(Trades!E:E,A10,Trades!M:M)</f>
        <v>-55.721999999999952</v>
      </c>
      <c r="G10">
        <f>IFERROR(F10/B10,0)</f>
        <v>-11.14439999999999</v>
      </c>
      <c r="H10">
        <f>IFERROR( SUMIFS(Trades!M:M, Trades!E:E, A10, Trades!M:M, "&gt;0")/ABS(SUMIFS(Trades!M:M, Trades!E:E, A10, Trades!M:M,"&lt;0")),0)</f>
        <v>0</v>
      </c>
      <c r="I10">
        <f>IFERROR(F10/B10,0)</f>
        <v>-11.14439999999999</v>
      </c>
    </row>
    <row r="11" spans="1:10" x14ac:dyDescent="0.25">
      <c r="A11" t="s">
        <v>57</v>
      </c>
      <c r="B11">
        <f>COUNTIF(Trades!E:E,A11)</f>
        <v>0</v>
      </c>
      <c r="C11">
        <f>COUNTIFS(Trades!E:E, A11,Trades!M:M, "&gt;0")</f>
        <v>0</v>
      </c>
      <c r="D11">
        <f>COUNTIFS(Trades!E:E, A11, Trades!M:M, "&lt;0")</f>
        <v>0</v>
      </c>
      <c r="E11">
        <f t="shared" si="0"/>
        <v>0</v>
      </c>
      <c r="F11">
        <f>SUMIF(Trades!E:E,A11,Trades!M:M)</f>
        <v>0</v>
      </c>
      <c r="G11">
        <f t="shared" si="1"/>
        <v>0</v>
      </c>
      <c r="H11">
        <f>IFERROR( SUMIFS(Trades!M:M, Trades!E:E, A11, Trades!M:M, "&gt;0")/ABS(SUMIFS(Trades!M:M, Trades!E:E, A11, Trades!M:M,"&lt;0")),0)</f>
        <v>0</v>
      </c>
      <c r="I11">
        <f t="shared" si="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EB4E-7DDA-44EB-AEDC-C293E2BD344F}">
  <dimension ref="A1:F3"/>
  <sheetViews>
    <sheetView workbookViewId="0">
      <selection activeCell="F4" sqref="F4"/>
    </sheetView>
  </sheetViews>
  <sheetFormatPr baseColWidth="10" defaultRowHeight="15" x14ac:dyDescent="0.25"/>
  <cols>
    <col min="3" max="3" width="12.7109375" bestFit="1" customWidth="1"/>
    <col min="6" max="6" width="85.28515625" bestFit="1" customWidth="1"/>
  </cols>
  <sheetData>
    <row r="1" spans="1:6" x14ac:dyDescent="0.25">
      <c r="A1" t="s">
        <v>0</v>
      </c>
      <c r="B1" t="s">
        <v>1</v>
      </c>
      <c r="C1" t="s">
        <v>10</v>
      </c>
      <c r="D1" t="s">
        <v>11</v>
      </c>
      <c r="E1" t="s">
        <v>45</v>
      </c>
      <c r="F1" t="s">
        <v>6</v>
      </c>
    </row>
    <row r="2" spans="1:6" x14ac:dyDescent="0.25">
      <c r="A2" t="s">
        <v>73</v>
      </c>
      <c r="B2" s="1">
        <v>46077</v>
      </c>
      <c r="C2" t="s">
        <v>65</v>
      </c>
      <c r="D2" t="s">
        <v>66</v>
      </c>
      <c r="E2">
        <v>-1</v>
      </c>
      <c r="F2" t="s">
        <v>67</v>
      </c>
    </row>
    <row r="3" spans="1:6" x14ac:dyDescent="0.25">
      <c r="A3" t="s">
        <v>80</v>
      </c>
      <c r="B3" s="1">
        <v>46078</v>
      </c>
      <c r="C3" t="s">
        <v>65</v>
      </c>
      <c r="D3" t="s">
        <v>81</v>
      </c>
      <c r="E3">
        <v>0</v>
      </c>
      <c r="F3" t="s">
        <v>82</v>
      </c>
    </row>
  </sheetData>
  <dataValidations count="3">
    <dataValidation type="list" allowBlank="1" showInputMessage="1" showErrorMessage="1" sqref="C4:C1048576" xr:uid="{E90ED070-6DC6-4337-8AA1-210BB22EB913}">
      <formula1>"Emotiona,Technical"</formula1>
    </dataValidation>
    <dataValidation type="list" allowBlank="1" showInputMessage="1" showErrorMessage="1" sqref="C2:C3" xr:uid="{88B7214E-8E9D-4081-B0FD-1297110AC3FE}">
      <formula1>"Emotional,Technical"</formula1>
    </dataValidation>
    <dataValidation type="list" allowBlank="1" showInputMessage="1" showErrorMessage="1" sqref="D2:D3" xr:uid="{755AB45C-937B-4D2F-B341-462975D65465}">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9AA8-1460-4395-A15C-3B2C7C158D6A}">
  <dimension ref="A1:J5"/>
  <sheetViews>
    <sheetView workbookViewId="0">
      <selection activeCell="H5" sqref="H5"/>
    </sheetView>
  </sheetViews>
  <sheetFormatPr baseColWidth="10" defaultRowHeight="15" x14ac:dyDescent="0.25"/>
  <cols>
    <col min="2" max="2" width="15.28515625" bestFit="1" customWidth="1"/>
    <col min="3" max="3" width="12.7109375" bestFit="1" customWidth="1"/>
    <col min="4" max="4" width="7" bestFit="1" customWidth="1"/>
    <col min="5" max="5" width="56.7109375" customWidth="1"/>
    <col min="6" max="6" width="10.85546875" customWidth="1"/>
    <col min="7" max="7" width="65.140625" customWidth="1"/>
    <col min="8" max="8" width="64.28515625" customWidth="1"/>
    <col min="9" max="9" width="12.42578125" bestFit="1" customWidth="1"/>
  </cols>
  <sheetData>
    <row r="1" spans="1:10" ht="30" x14ac:dyDescent="0.25">
      <c r="A1" t="s">
        <v>1</v>
      </c>
      <c r="B1" t="s">
        <v>46</v>
      </c>
      <c r="C1" t="s">
        <v>14</v>
      </c>
      <c r="D1" t="s">
        <v>47</v>
      </c>
      <c r="E1" t="s">
        <v>48</v>
      </c>
      <c r="F1" s="2" t="s">
        <v>49</v>
      </c>
      <c r="G1" t="s">
        <v>50</v>
      </c>
      <c r="H1" t="s">
        <v>51</v>
      </c>
      <c r="I1" t="s">
        <v>15</v>
      </c>
      <c r="J1" t="s">
        <v>16</v>
      </c>
    </row>
    <row r="2" spans="1:10" ht="30" x14ac:dyDescent="0.25">
      <c r="A2" s="1">
        <v>46077</v>
      </c>
      <c r="B2">
        <v>9076</v>
      </c>
      <c r="C2">
        <v>9117</v>
      </c>
      <c r="D2">
        <f>C2-B2</f>
        <v>41</v>
      </c>
      <c r="E2" s="2" t="s">
        <v>83</v>
      </c>
      <c r="F2" s="3" t="s">
        <v>72</v>
      </c>
      <c r="G2" s="2" t="s">
        <v>68</v>
      </c>
      <c r="H2" s="2" t="s">
        <v>69</v>
      </c>
      <c r="I2" t="s">
        <v>70</v>
      </c>
      <c r="J2" t="s">
        <v>71</v>
      </c>
    </row>
    <row r="3" spans="1:10" ht="30" x14ac:dyDescent="0.25">
      <c r="A3" s="1">
        <v>46078</v>
      </c>
      <c r="B3">
        <v>9117</v>
      </c>
      <c r="C3">
        <v>9113</v>
      </c>
      <c r="D3">
        <f>C3-B3</f>
        <v>-4</v>
      </c>
      <c r="E3" s="2" t="s">
        <v>87</v>
      </c>
      <c r="F3" s="3" t="s">
        <v>72</v>
      </c>
      <c r="G3" t="s">
        <v>84</v>
      </c>
      <c r="H3" s="2" t="s">
        <v>85</v>
      </c>
      <c r="I3" t="s">
        <v>70</v>
      </c>
      <c r="J3" t="s">
        <v>86</v>
      </c>
    </row>
    <row r="4" spans="1:10" ht="45" x14ac:dyDescent="0.25">
      <c r="A4" s="1">
        <v>46079</v>
      </c>
      <c r="B4">
        <v>9113</v>
      </c>
      <c r="C4">
        <v>9171</v>
      </c>
      <c r="D4">
        <f>C4-B4</f>
        <v>58</v>
      </c>
      <c r="E4" s="2" t="s">
        <v>91</v>
      </c>
      <c r="F4" s="3" t="s">
        <v>92</v>
      </c>
      <c r="G4" s="2" t="s">
        <v>88</v>
      </c>
      <c r="H4" t="s">
        <v>93</v>
      </c>
      <c r="I4" t="s">
        <v>70</v>
      </c>
      <c r="J4" t="s">
        <v>71</v>
      </c>
    </row>
    <row r="5" spans="1:10" ht="90" x14ac:dyDescent="0.25">
      <c r="A5" s="1">
        <v>46080</v>
      </c>
      <c r="B5">
        <v>9171</v>
      </c>
      <c r="C5">
        <v>9186</v>
      </c>
      <c r="D5">
        <f>C5-B5</f>
        <v>15</v>
      </c>
      <c r="E5" s="2" t="s">
        <v>96</v>
      </c>
      <c r="F5" s="4">
        <v>46147</v>
      </c>
      <c r="G5" s="2" t="s">
        <v>94</v>
      </c>
      <c r="H5" t="s">
        <v>97</v>
      </c>
      <c r="I5" t="s">
        <v>70</v>
      </c>
      <c r="J5"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A6BB-7E7E-4D43-B922-A46A9755A746}">
  <dimension ref="A1:B12"/>
  <sheetViews>
    <sheetView workbookViewId="0">
      <selection activeCell="B13" sqref="B13"/>
    </sheetView>
  </sheetViews>
  <sheetFormatPr baseColWidth="10" defaultRowHeight="15" x14ac:dyDescent="0.25"/>
  <sheetData>
    <row r="1" spans="1:2" x14ac:dyDescent="0.25">
      <c r="A1" t="s">
        <v>19</v>
      </c>
    </row>
    <row r="2" spans="1:2" x14ac:dyDescent="0.25">
      <c r="A2" t="s">
        <v>17</v>
      </c>
      <c r="B2">
        <f>COUNTA(Trades!A:A)-1</f>
        <v>14</v>
      </c>
    </row>
    <row r="3" spans="1:2" x14ac:dyDescent="0.25">
      <c r="A3" t="s">
        <v>18</v>
      </c>
      <c r="B3">
        <f>COUNTIF(Trades!M:M,"&gt;0")/COUNT(Trades!M:M)</f>
        <v>0.2857142857142857</v>
      </c>
    </row>
    <row r="4" spans="1:2" x14ac:dyDescent="0.25">
      <c r="A4" t="s">
        <v>20</v>
      </c>
      <c r="B4">
        <f>AVERAGE(Trades!M:M)</f>
        <v>8.2227142857143054</v>
      </c>
    </row>
    <row r="5" spans="1:2" x14ac:dyDescent="0.25">
      <c r="A5" t="s">
        <v>21</v>
      </c>
      <c r="B5">
        <f>SUM(Trades!M:M)</f>
        <v>115.11800000000028</v>
      </c>
    </row>
    <row r="6" spans="1:2" x14ac:dyDescent="0.25">
      <c r="A6" t="s">
        <v>13</v>
      </c>
      <c r="B6">
        <f>SUMIF(Trades!M:M,"&gt;0")/ABS(SUM(Trades!M:M,""&lt;0))</f>
        <v>1.4840424607793723</v>
      </c>
    </row>
    <row r="8" spans="1:2" x14ac:dyDescent="0.25">
      <c r="A8" t="s">
        <v>22</v>
      </c>
    </row>
    <row r="9" spans="1:2" x14ac:dyDescent="0.25">
      <c r="A9" t="s">
        <v>23</v>
      </c>
      <c r="B9">
        <f>MAX(Trades!M:M)</f>
        <v>80.400000000000034</v>
      </c>
    </row>
    <row r="10" spans="1:2" x14ac:dyDescent="0.25">
      <c r="A10" t="s">
        <v>24</v>
      </c>
      <c r="B10">
        <f>MIN(Trades!M:M)</f>
        <v>-23.399999999999981</v>
      </c>
    </row>
    <row r="11" spans="1:2" x14ac:dyDescent="0.25">
      <c r="A11" t="s">
        <v>25</v>
      </c>
      <c r="B11">
        <f>AVERAGEIF(Trades!M:M,"&gt;0")</f>
        <v>42.710000000000051</v>
      </c>
    </row>
    <row r="12" spans="1:2" x14ac:dyDescent="0.25">
      <c r="A12" t="s">
        <v>26</v>
      </c>
      <c r="B12">
        <f>AVERAGEIF(Trades!M:M,"&lt;0")</f>
        <v>-18.573999999999984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Trades</vt:lpstr>
      <vt:lpstr>Executions</vt:lpstr>
      <vt:lpstr>Setups</vt:lpstr>
      <vt:lpstr>Mistakes</vt:lpstr>
      <vt:lpstr>Daily Journal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Alonso</dc:creator>
  <cp:lastModifiedBy>Alonso</cp:lastModifiedBy>
  <dcterms:created xsi:type="dcterms:W3CDTF">2026-02-19T21:54:29Z</dcterms:created>
  <dcterms:modified xsi:type="dcterms:W3CDTF">2026-03-06T17:13:13Z</dcterms:modified>
</cp:coreProperties>
</file>