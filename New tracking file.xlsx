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Alonso\Documents\GitHub\Trading\"/>
    </mc:Choice>
  </mc:AlternateContent>
  <xr:revisionPtr revIDLastSave="0" documentId="13_ncr:1_{7FAA93B1-964D-42DD-96C4-8D82271559EF}" xr6:coauthVersionLast="47" xr6:coauthVersionMax="47" xr10:uidLastSave="{00000000-0000-0000-0000-000000000000}"/>
  <bookViews>
    <workbookView xWindow="-120" yWindow="-120" windowWidth="29040" windowHeight="15720" activeTab="5" xr2:uid="{045517DB-0C92-4CAE-B507-36AB229E2600}"/>
  </bookViews>
  <sheets>
    <sheet name="Trades" sheetId="1" r:id="rId1"/>
    <sheet name="Executions" sheetId="2" r:id="rId2"/>
    <sheet name="Setups" sheetId="4" r:id="rId3"/>
    <sheet name="Mistakes" sheetId="3" r:id="rId4"/>
    <sheet name="Daily Journal" sheetId="5" r:id="rId5"/>
    <sheet name="Dashboard" sheetId="6" r:id="rId6"/>
  </sheets>
  <definedNames>
    <definedName name="_xlnm._FilterDatabase" localSheetId="0" hidden="1">Trades!$L$1:$L$79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138" i="2" l="1"/>
  <c r="D138" i="2"/>
  <c r="H138" i="2"/>
  <c r="I138" i="2" s="1"/>
  <c r="A141" i="1"/>
  <c r="I141" i="1"/>
  <c r="K141" i="1" s="1"/>
  <c r="A137" i="2"/>
  <c r="A140" i="1"/>
  <c r="I140" i="1"/>
  <c r="K140" i="1" s="1"/>
  <c r="A136" i="2"/>
  <c r="A135" i="2"/>
  <c r="A134" i="2"/>
  <c r="A133" i="2"/>
  <c r="A139" i="1"/>
  <c r="I139" i="1"/>
  <c r="K139" i="1" s="1"/>
  <c r="A132" i="2"/>
  <c r="A138" i="1"/>
  <c r="I138" i="1"/>
  <c r="K138" i="1" s="1"/>
  <c r="A131" i="2"/>
  <c r="A137" i="1"/>
  <c r="M137" i="1" s="1"/>
  <c r="N137" i="1" s="1"/>
  <c r="I137" i="1"/>
  <c r="K137" i="1" s="1"/>
  <c r="A136" i="1"/>
  <c r="I136" i="1"/>
  <c r="K136" i="1" s="1"/>
  <c r="A130" i="2"/>
  <c r="A135" i="1"/>
  <c r="I135" i="1"/>
  <c r="K135" i="1" s="1"/>
  <c r="A134" i="1"/>
  <c r="I134" i="1"/>
  <c r="K134" i="1" s="1"/>
  <c r="A133" i="1"/>
  <c r="M133" i="1" s="1"/>
  <c r="N133" i="1" s="1"/>
  <c r="I133" i="1"/>
  <c r="K133" i="1" s="1"/>
  <c r="A129" i="2"/>
  <c r="A128" i="2"/>
  <c r="A132" i="1"/>
  <c r="I132" i="1"/>
  <c r="K132" i="1" s="1"/>
  <c r="A131" i="1"/>
  <c r="M131" i="1" s="1"/>
  <c r="N131" i="1" s="1"/>
  <c r="I131" i="1"/>
  <c r="K131" i="1" s="1"/>
  <c r="A130" i="1"/>
  <c r="M130" i="1" s="1"/>
  <c r="N130" i="1" s="1"/>
  <c r="I130" i="1"/>
  <c r="K130" i="1" s="1"/>
  <c r="I70" i="1"/>
  <c r="A127" i="2"/>
  <c r="A126" i="2"/>
  <c r="A125" i="2"/>
  <c r="A129" i="1"/>
  <c r="I129" i="1"/>
  <c r="K129" i="1" s="1"/>
  <c r="A124" i="2"/>
  <c r="A123" i="2"/>
  <c r="A122" i="2"/>
  <c r="A121" i="2"/>
  <c r="A128" i="1"/>
  <c r="I128" i="1"/>
  <c r="K128" i="1" s="1"/>
  <c r="A127" i="1"/>
  <c r="I127" i="1"/>
  <c r="K127" i="1" s="1"/>
  <c r="A126" i="1"/>
  <c r="I126" i="1"/>
  <c r="K126" i="1" s="1"/>
  <c r="A125" i="1"/>
  <c r="I125" i="1"/>
  <c r="K125" i="1" s="1"/>
  <c r="A124" i="1"/>
  <c r="I124" i="1"/>
  <c r="K124" i="1" s="1"/>
  <c r="A120" i="2"/>
  <c r="A119" i="2"/>
  <c r="A118" i="2"/>
  <c r="A123" i="1"/>
  <c r="I123" i="1"/>
  <c r="K123" i="1" s="1"/>
  <c r="A117" i="2"/>
  <c r="A116" i="2"/>
  <c r="A122" i="1"/>
  <c r="I122" i="1"/>
  <c r="K122" i="1" s="1"/>
  <c r="A115" i="2"/>
  <c r="A114" i="2"/>
  <c r="A121" i="1"/>
  <c r="I121" i="1"/>
  <c r="K121" i="1" s="1"/>
  <c r="A113" i="2"/>
  <c r="A120" i="1"/>
  <c r="I120" i="1"/>
  <c r="K120" i="1" s="1"/>
  <c r="A112" i="2"/>
  <c r="A119" i="1"/>
  <c r="I119" i="1"/>
  <c r="K119" i="1" s="1"/>
  <c r="M141" i="1" l="1"/>
  <c r="N141" i="1" s="1"/>
  <c r="A111" i="2"/>
  <c r="A118" i="1"/>
  <c r="M118" i="1" s="1"/>
  <c r="I118" i="1"/>
  <c r="N118" i="1" l="1"/>
  <c r="K118" i="1"/>
  <c r="A110" i="2"/>
  <c r="A117" i="1"/>
  <c r="I117" i="1"/>
  <c r="K117" i="1" s="1"/>
  <c r="A109" i="2"/>
  <c r="A108" i="2"/>
  <c r="A116" i="1"/>
  <c r="I116" i="1"/>
  <c r="K116" i="1" s="1"/>
  <c r="A107" i="2"/>
  <c r="A106" i="2"/>
  <c r="A115" i="1"/>
  <c r="I115" i="1"/>
  <c r="K115" i="1" s="1"/>
  <c r="A114" i="1"/>
  <c r="M114" i="1" s="1"/>
  <c r="I114" i="1"/>
  <c r="K114" i="1" s="1"/>
  <c r="A113" i="1"/>
  <c r="I113" i="1"/>
  <c r="K113" i="1" s="1"/>
  <c r="A105" i="2"/>
  <c r="A112" i="1"/>
  <c r="I112" i="1"/>
  <c r="K112" i="1" s="1"/>
  <c r="A111" i="1"/>
  <c r="I111" i="1"/>
  <c r="K111" i="1" s="1"/>
  <c r="A104" i="2"/>
  <c r="A103" i="2"/>
  <c r="A102" i="2"/>
  <c r="A110" i="1"/>
  <c r="I110" i="1"/>
  <c r="K110" i="1" s="1"/>
  <c r="A101" i="2"/>
  <c r="A100" i="2"/>
  <c r="A109" i="1"/>
  <c r="I109" i="1"/>
  <c r="K109" i="1" s="1"/>
  <c r="A108" i="1"/>
  <c r="I108" i="1"/>
  <c r="K108" i="1" s="1"/>
  <c r="A107" i="1"/>
  <c r="M107" i="1" s="1"/>
  <c r="I107" i="1"/>
  <c r="K107" i="1" s="1"/>
  <c r="A106" i="1"/>
  <c r="I106" i="1"/>
  <c r="K106" i="1" s="1"/>
  <c r="A105" i="1"/>
  <c r="I105" i="1"/>
  <c r="K105" i="1" s="1"/>
  <c r="A104" i="1"/>
  <c r="I104" i="1"/>
  <c r="K104" i="1" s="1"/>
  <c r="A99" i="2"/>
  <c r="A103" i="1"/>
  <c r="I103" i="1"/>
  <c r="K103" i="1" s="1"/>
  <c r="A98" i="2"/>
  <c r="A102" i="1"/>
  <c r="I102" i="1"/>
  <c r="K102" i="1" s="1"/>
  <c r="A101" i="1"/>
  <c r="I101" i="1"/>
  <c r="K101" i="1" s="1"/>
  <c r="A97" i="2"/>
  <c r="A96" i="2"/>
  <c r="A95" i="2"/>
  <c r="A100" i="1"/>
  <c r="I100" i="1"/>
  <c r="K100" i="1" s="1"/>
  <c r="A94" i="2"/>
  <c r="A99" i="1"/>
  <c r="I99" i="1"/>
  <c r="K99" i="1" s="1"/>
  <c r="A93" i="2"/>
  <c r="A98" i="1"/>
  <c r="I98" i="1"/>
  <c r="K98" i="1" s="1"/>
  <c r="A92" i="2"/>
  <c r="A97" i="1"/>
  <c r="I97" i="1"/>
  <c r="K97" i="1" s="1"/>
  <c r="A91" i="2"/>
  <c r="A96" i="1"/>
  <c r="I96" i="1"/>
  <c r="K96" i="1" s="1"/>
  <c r="A95" i="1"/>
  <c r="I95" i="1"/>
  <c r="K95" i="1" s="1"/>
  <c r="A90" i="2"/>
  <c r="A94" i="1"/>
  <c r="I94" i="1"/>
  <c r="K94" i="1" s="1"/>
  <c r="A89" i="2"/>
  <c r="A88" i="2"/>
  <c r="A93" i="1"/>
  <c r="I93" i="1"/>
  <c r="K93" i="1" s="1"/>
  <c r="A87" i="2"/>
  <c r="A86" i="2"/>
  <c r="A92" i="1"/>
  <c r="I92" i="1"/>
  <c r="K92" i="1" s="1"/>
  <c r="A91" i="1"/>
  <c r="I91" i="1"/>
  <c r="K91" i="1" s="1"/>
  <c r="A90" i="1"/>
  <c r="I90" i="1"/>
  <c r="K90" i="1" s="1"/>
  <c r="A89" i="1"/>
  <c r="I89" i="1"/>
  <c r="K89" i="1" s="1"/>
  <c r="A85" i="2"/>
  <c r="A84" i="2"/>
  <c r="A83" i="2"/>
  <c r="A82" i="2"/>
  <c r="A88" i="1"/>
  <c r="I88" i="1"/>
  <c r="K88" i="1" s="1"/>
  <c r="A81" i="2"/>
  <c r="A80" i="2"/>
  <c r="A87" i="1"/>
  <c r="I87" i="1"/>
  <c r="K87" i="1" s="1"/>
  <c r="A79" i="2"/>
  <c r="A86" i="1"/>
  <c r="I86" i="1"/>
  <c r="K86" i="1" s="1"/>
  <c r="A85" i="1"/>
  <c r="I85" i="1"/>
  <c r="K85" i="1" s="1"/>
  <c r="A84" i="1"/>
  <c r="I84" i="1"/>
  <c r="K84" i="1" s="1"/>
  <c r="A83" i="1"/>
  <c r="I83" i="1"/>
  <c r="K83" i="1" s="1"/>
  <c r="A82" i="1"/>
  <c r="I82" i="1"/>
  <c r="K82" i="1" s="1"/>
  <c r="A78" i="2"/>
  <c r="I81" i="1"/>
  <c r="K81" i="1" s="1"/>
  <c r="A81" i="1"/>
  <c r="I80" i="1"/>
  <c r="K80" i="1" s="1"/>
  <c r="A80" i="1"/>
  <c r="A72" i="1"/>
  <c r="A77" i="2"/>
  <c r="A76" i="2"/>
  <c r="A75" i="2"/>
  <c r="I79" i="1"/>
  <c r="K79" i="1" s="1"/>
  <c r="A79" i="1"/>
  <c r="A74" i="2"/>
  <c r="F7" i="4"/>
  <c r="F13" i="4"/>
  <c r="A72" i="2"/>
  <c r="A73" i="2"/>
  <c r="I78" i="1"/>
  <c r="K78" i="1" s="1"/>
  <c r="A78" i="1"/>
  <c r="A71" i="2"/>
  <c r="A70" i="2"/>
  <c r="A69" i="2"/>
  <c r="A68" i="2"/>
  <c r="I77" i="1"/>
  <c r="K77" i="1" s="1"/>
  <c r="A77" i="1"/>
  <c r="A67" i="2"/>
  <c r="I76" i="1"/>
  <c r="K76" i="1" s="1"/>
  <c r="A76" i="1"/>
  <c r="I75" i="1"/>
  <c r="K75" i="1" s="1"/>
  <c r="A75" i="1"/>
  <c r="A73" i="1"/>
  <c r="A66" i="2"/>
  <c r="A65" i="2"/>
  <c r="I74" i="1"/>
  <c r="K74" i="1" s="1"/>
  <c r="A74" i="1"/>
  <c r="I73" i="1"/>
  <c r="K73" i="1" s="1"/>
  <c r="I72" i="1"/>
  <c r="K72" i="1" s="1"/>
  <c r="A64" i="2"/>
  <c r="A63" i="2"/>
  <c r="A62" i="2"/>
  <c r="I71" i="1"/>
  <c r="K71" i="1" s="1"/>
  <c r="A71" i="1"/>
  <c r="K70" i="1"/>
  <c r="A70" i="1"/>
  <c r="A69" i="1"/>
  <c r="I69" i="1"/>
  <c r="K69" i="1" s="1"/>
  <c r="I68" i="1"/>
  <c r="K68" i="1" s="1"/>
  <c r="A68" i="1"/>
  <c r="A61" i="2"/>
  <c r="I67" i="1"/>
  <c r="K67" i="1" s="1"/>
  <c r="A67" i="1"/>
  <c r="I66" i="1"/>
  <c r="K66" i="1" s="1"/>
  <c r="A66" i="1"/>
  <c r="I65" i="1"/>
  <c r="K65" i="1" s="1"/>
  <c r="A65" i="1"/>
  <c r="A60" i="2"/>
  <c r="I64" i="1"/>
  <c r="K64" i="1" s="1"/>
  <c r="A64" i="1"/>
  <c r="A59" i="2"/>
  <c r="A58" i="2"/>
  <c r="A57" i="2"/>
  <c r="I63" i="1"/>
  <c r="K63" i="1" s="1"/>
  <c r="A63" i="1"/>
  <c r="A54" i="2"/>
  <c r="A55" i="2"/>
  <c r="A56" i="2"/>
  <c r="A53" i="2"/>
  <c r="A52" i="2"/>
  <c r="I62" i="1"/>
  <c r="K62" i="1" s="1"/>
  <c r="A62" i="1"/>
  <c r="A51" i="2"/>
  <c r="I61" i="1"/>
  <c r="K61" i="1" s="1"/>
  <c r="A61" i="1"/>
  <c r="A50" i="2"/>
  <c r="A49" i="2"/>
  <c r="A48" i="2"/>
  <c r="I60" i="1"/>
  <c r="K60" i="1" s="1"/>
  <c r="A60" i="1"/>
  <c r="A47" i="2"/>
  <c r="I59" i="1"/>
  <c r="K59" i="1" s="1"/>
  <c r="A59" i="1"/>
  <c r="I58" i="1"/>
  <c r="K58" i="1" s="1"/>
  <c r="A58" i="1"/>
  <c r="A46" i="2"/>
  <c r="I57" i="1"/>
  <c r="K57" i="1" s="1"/>
  <c r="A57" i="1"/>
  <c r="I56" i="1"/>
  <c r="K56" i="1" s="1"/>
  <c r="A56" i="1"/>
  <c r="A54" i="1"/>
  <c r="N107" i="1" l="1"/>
  <c r="N114" i="1"/>
  <c r="A45" i="2"/>
  <c r="A44" i="2"/>
  <c r="I55" i="1"/>
  <c r="A55" i="1"/>
  <c r="I54" i="1"/>
  <c r="I53" i="1"/>
  <c r="A53" i="1"/>
  <c r="I52" i="1"/>
  <c r="A52" i="1"/>
  <c r="I51" i="1"/>
  <c r="A51" i="1"/>
  <c r="I50" i="1"/>
  <c r="A50" i="1"/>
  <c r="A43" i="2"/>
  <c r="K55" i="1" l="1"/>
  <c r="K54" i="1"/>
  <c r="K53" i="1"/>
  <c r="K52" i="1"/>
  <c r="K50" i="1"/>
  <c r="K51" i="1"/>
  <c r="A42" i="2"/>
  <c r="I49" i="1"/>
  <c r="A49" i="1"/>
  <c r="A41" i="2"/>
  <c r="I48" i="1"/>
  <c r="A48" i="1"/>
  <c r="A40" i="2"/>
  <c r="I47" i="1"/>
  <c r="A47" i="1"/>
  <c r="I46" i="1"/>
  <c r="A46" i="1"/>
  <c r="A39" i="2"/>
  <c r="I45" i="1"/>
  <c r="K45" i="1" s="1"/>
  <c r="A45" i="1"/>
  <c r="A38" i="2"/>
  <c r="I44" i="1"/>
  <c r="K44" i="1" s="1"/>
  <c r="A44" i="1"/>
  <c r="A37" i="2"/>
  <c r="K49" i="1" l="1"/>
  <c r="K48" i="1"/>
  <c r="K47" i="1"/>
  <c r="K46" i="1"/>
  <c r="I43" i="1"/>
  <c r="A43" i="1"/>
  <c r="A36" i="2"/>
  <c r="I42" i="1"/>
  <c r="K42" i="1" s="1"/>
  <c r="A42" i="1"/>
  <c r="A35" i="2"/>
  <c r="I41" i="1"/>
  <c r="K41" i="1" s="1"/>
  <c r="A41" i="1"/>
  <c r="I40" i="1"/>
  <c r="K40" i="1" s="1"/>
  <c r="A40" i="1"/>
  <c r="A34" i="2"/>
  <c r="I39" i="1"/>
  <c r="K39" i="1" s="1"/>
  <c r="A39" i="1"/>
  <c r="A33" i="2"/>
  <c r="A32" i="2"/>
  <c r="I38" i="1"/>
  <c r="K38" i="1" s="1"/>
  <c r="A38" i="1"/>
  <c r="I37" i="1"/>
  <c r="A37" i="1"/>
  <c r="I36" i="1"/>
  <c r="K36" i="1" s="1"/>
  <c r="A36" i="1"/>
  <c r="A31" i="2"/>
  <c r="I35" i="1"/>
  <c r="K35" i="1" s="1"/>
  <c r="A35" i="1"/>
  <c r="I34" i="1"/>
  <c r="K34" i="1" s="1"/>
  <c r="A34" i="1"/>
  <c r="K43" i="1" l="1"/>
  <c r="K37" i="1"/>
  <c r="A30" i="2"/>
  <c r="A29" i="2"/>
  <c r="I33" i="1"/>
  <c r="A33" i="1"/>
  <c r="A28" i="2"/>
  <c r="I32" i="1"/>
  <c r="A32" i="1"/>
  <c r="A27" i="2"/>
  <c r="I31" i="1"/>
  <c r="A31" i="1"/>
  <c r="A26" i="2"/>
  <c r="I30" i="1"/>
  <c r="K30" i="1" s="1"/>
  <c r="A30" i="1"/>
  <c r="A25" i="2"/>
  <c r="A24" i="2"/>
  <c r="I29" i="1"/>
  <c r="K29" i="1" s="1"/>
  <c r="A29" i="1"/>
  <c r="I28" i="1"/>
  <c r="K28" i="1" s="1"/>
  <c r="A28" i="1"/>
  <c r="A23" i="2"/>
  <c r="I27" i="1"/>
  <c r="K27" i="1" s="1"/>
  <c r="A27" i="1"/>
  <c r="I26" i="1"/>
  <c r="K26" i="1" s="1"/>
  <c r="A26" i="1"/>
  <c r="A22" i="2"/>
  <c r="I25" i="1"/>
  <c r="K25" i="1" s="1"/>
  <c r="A25" i="1"/>
  <c r="K33" i="1" l="1"/>
  <c r="K32" i="1"/>
  <c r="K31" i="1"/>
  <c r="A21" i="2" l="1"/>
  <c r="A20" i="2"/>
  <c r="I24" i="1"/>
  <c r="A24" i="1"/>
  <c r="I23" i="1"/>
  <c r="A23" i="1"/>
  <c r="I22" i="1"/>
  <c r="A22" i="1"/>
  <c r="A19" i="2"/>
  <c r="K23" i="1" l="1"/>
  <c r="K24" i="1"/>
  <c r="K22" i="1"/>
  <c r="A18" i="2"/>
  <c r="A17" i="2"/>
  <c r="I21" i="1"/>
  <c r="A21" i="1"/>
  <c r="A16" i="2"/>
  <c r="K21" i="1" l="1"/>
  <c r="A15" i="2"/>
  <c r="I20" i="1"/>
  <c r="A20" i="1"/>
  <c r="I19" i="1"/>
  <c r="B12" i="4"/>
  <c r="A19" i="1"/>
  <c r="A13" i="2"/>
  <c r="A14" i="2"/>
  <c r="I18" i="1"/>
  <c r="A18" i="1"/>
  <c r="K19" i="1" l="1"/>
  <c r="K20" i="1"/>
  <c r="K18" i="1"/>
  <c r="I17" i="1"/>
  <c r="B11" i="4"/>
  <c r="A17" i="1"/>
  <c r="I16" i="1"/>
  <c r="A16" i="1"/>
  <c r="A12" i="2"/>
  <c r="A11" i="2"/>
  <c r="A10" i="2"/>
  <c r="A9" i="2"/>
  <c r="I15" i="1"/>
  <c r="A15" i="1"/>
  <c r="A8" i="2"/>
  <c r="K16" i="1" l="1"/>
  <c r="K15" i="1"/>
  <c r="K17" i="1"/>
  <c r="I14" i="1"/>
  <c r="A14" i="1"/>
  <c r="I13" i="1"/>
  <c r="A13" i="1"/>
  <c r="K14" i="1" l="1"/>
  <c r="K13" i="1"/>
  <c r="A7" i="2"/>
  <c r="I12" i="1"/>
  <c r="A12" i="1"/>
  <c r="A3" i="2"/>
  <c r="A4" i="2"/>
  <c r="A5" i="2"/>
  <c r="A6" i="2"/>
  <c r="I11" i="1"/>
  <c r="A11" i="1"/>
  <c r="I10" i="1"/>
  <c r="A10" i="1"/>
  <c r="I9" i="1"/>
  <c r="A9" i="1"/>
  <c r="D5" i="5"/>
  <c r="D4" i="5"/>
  <c r="I8" i="1"/>
  <c r="A8" i="1"/>
  <c r="I7" i="1"/>
  <c r="K7" i="1" s="1"/>
  <c r="A7" i="1"/>
  <c r="D3" i="5"/>
  <c r="D2" i="5"/>
  <c r="I6" i="1"/>
  <c r="K6" i="1" s="1"/>
  <c r="A6" i="1"/>
  <c r="K9" i="1" l="1"/>
  <c r="K10" i="1"/>
  <c r="K11" i="1"/>
  <c r="K12" i="1"/>
  <c r="K8" i="1"/>
  <c r="I5" i="1"/>
  <c r="K5" i="1" s="1"/>
  <c r="A5" i="1"/>
  <c r="I4" i="1"/>
  <c r="K4" i="1" s="1"/>
  <c r="A4" i="1"/>
  <c r="I3" i="1"/>
  <c r="K3" i="1" s="1"/>
  <c r="A3" i="1"/>
  <c r="A2" i="1"/>
  <c r="B10" i="4"/>
  <c r="I2" i="1"/>
  <c r="K2" i="1" s="1"/>
  <c r="H7" i="4"/>
  <c r="H13" i="4"/>
  <c r="D7" i="4"/>
  <c r="D13" i="4"/>
  <c r="C7" i="4"/>
  <c r="C13" i="4"/>
  <c r="B9" i="4"/>
  <c r="B3" i="4"/>
  <c r="B4" i="4"/>
  <c r="B5" i="4"/>
  <c r="B6" i="4"/>
  <c r="B7" i="4"/>
  <c r="B8" i="4"/>
  <c r="B13" i="4"/>
  <c r="D137" i="2" l="1"/>
  <c r="H137" i="2"/>
  <c r="H133" i="2"/>
  <c r="D136" i="2"/>
  <c r="D134" i="2"/>
  <c r="H134" i="2"/>
  <c r="H135" i="2"/>
  <c r="H136" i="2"/>
  <c r="D135" i="2"/>
  <c r="D133" i="2"/>
  <c r="H132" i="2"/>
  <c r="D132" i="2"/>
  <c r="D131" i="2"/>
  <c r="H131" i="2"/>
  <c r="H130" i="2"/>
  <c r="D130" i="2"/>
  <c r="D129" i="2"/>
  <c r="H129" i="2"/>
  <c r="D128" i="2"/>
  <c r="H128" i="2"/>
  <c r="I128" i="2" s="1"/>
  <c r="D125" i="2"/>
  <c r="D127" i="2"/>
  <c r="H127" i="2"/>
  <c r="I127" i="2" s="1"/>
  <c r="H126" i="2"/>
  <c r="H125" i="2"/>
  <c r="D126" i="2"/>
  <c r="H121" i="2"/>
  <c r="D121" i="2"/>
  <c r="D124" i="2"/>
  <c r="D122" i="2"/>
  <c r="H124" i="2"/>
  <c r="H122" i="2"/>
  <c r="H123" i="2"/>
  <c r="D123" i="2"/>
  <c r="D120" i="2"/>
  <c r="H120" i="2"/>
  <c r="D119" i="2"/>
  <c r="H119" i="2"/>
  <c r="D118" i="2"/>
  <c r="H118" i="2"/>
  <c r="I118" i="2" s="1"/>
  <c r="H116" i="2"/>
  <c r="D116" i="2"/>
  <c r="D117" i="2"/>
  <c r="H117" i="2"/>
  <c r="I117" i="2" s="1"/>
  <c r="D114" i="2"/>
  <c r="D115" i="2"/>
  <c r="H115" i="2"/>
  <c r="H114" i="2"/>
  <c r="D113" i="2"/>
  <c r="H113" i="2"/>
  <c r="D112" i="2"/>
  <c r="H112" i="2"/>
  <c r="D111" i="2"/>
  <c r="H111" i="2"/>
  <c r="D110" i="2"/>
  <c r="H110" i="2"/>
  <c r="I110" i="2" s="1"/>
  <c r="H109" i="2"/>
  <c r="I109" i="2" s="1"/>
  <c r="D109" i="2"/>
  <c r="D108" i="2"/>
  <c r="H108" i="2"/>
  <c r="D107" i="2"/>
  <c r="H107" i="2"/>
  <c r="M116" i="1" s="1"/>
  <c r="N116" i="1" s="1"/>
  <c r="D106" i="2"/>
  <c r="H106" i="2"/>
  <c r="D105" i="2"/>
  <c r="H105" i="2"/>
  <c r="I105" i="2" s="1"/>
  <c r="D104" i="2"/>
  <c r="H104" i="2"/>
  <c r="I104" i="2" s="1"/>
  <c r="D103" i="2"/>
  <c r="H103" i="2"/>
  <c r="D102" i="2"/>
  <c r="H102" i="2"/>
  <c r="D101" i="2"/>
  <c r="H101" i="2"/>
  <c r="D100" i="2"/>
  <c r="H100" i="2"/>
  <c r="H99" i="2"/>
  <c r="D99" i="2"/>
  <c r="H98" i="2"/>
  <c r="D98" i="2"/>
  <c r="D97" i="2"/>
  <c r="H97" i="2"/>
  <c r="D96" i="2"/>
  <c r="H96" i="2"/>
  <c r="I96" i="2" s="1"/>
  <c r="D95" i="2"/>
  <c r="H95" i="2"/>
  <c r="D94" i="2"/>
  <c r="H94" i="2"/>
  <c r="D93" i="2"/>
  <c r="H93" i="2"/>
  <c r="D92" i="2"/>
  <c r="H92" i="2"/>
  <c r="D91" i="2"/>
  <c r="H91" i="2"/>
  <c r="D90" i="2"/>
  <c r="H90" i="2"/>
  <c r="D89" i="2"/>
  <c r="H89" i="2"/>
  <c r="I89" i="2" s="1"/>
  <c r="D88" i="2"/>
  <c r="H88" i="2"/>
  <c r="I88" i="2" s="1"/>
  <c r="H87" i="2"/>
  <c r="D87" i="2"/>
  <c r="H86" i="2"/>
  <c r="D86" i="2"/>
  <c r="D85" i="2"/>
  <c r="H85" i="2"/>
  <c r="H82" i="2"/>
  <c r="D84" i="2"/>
  <c r="H84" i="2"/>
  <c r="D83" i="2"/>
  <c r="H83" i="2"/>
  <c r="D82" i="2"/>
  <c r="D81" i="2"/>
  <c r="H81" i="2"/>
  <c r="H80" i="2"/>
  <c r="D80" i="2"/>
  <c r="D79" i="2"/>
  <c r="H79" i="2"/>
  <c r="D77" i="2"/>
  <c r="H72" i="2"/>
  <c r="H69" i="2"/>
  <c r="H73" i="2"/>
  <c r="H68" i="2"/>
  <c r="D66" i="2"/>
  <c r="H76" i="2"/>
  <c r="D72" i="2"/>
  <c r="D76" i="2"/>
  <c r="D73" i="2"/>
  <c r="D78" i="2"/>
  <c r="H75" i="2"/>
  <c r="H67" i="2"/>
  <c r="D71" i="2"/>
  <c r="H66" i="2"/>
  <c r="H78" i="2"/>
  <c r="D75" i="2"/>
  <c r="H71" i="2"/>
  <c r="I71" i="2" s="1"/>
  <c r="D70" i="2"/>
  <c r="H74" i="2"/>
  <c r="D74" i="2"/>
  <c r="D68" i="2"/>
  <c r="D69" i="2"/>
  <c r="H77" i="2"/>
  <c r="H70" i="2"/>
  <c r="H65" i="2"/>
  <c r="D67" i="2"/>
  <c r="D65" i="2"/>
  <c r="H48" i="2"/>
  <c r="D48" i="2"/>
  <c r="H51" i="2"/>
  <c r="D59" i="2"/>
  <c r="D57" i="2"/>
  <c r="H52" i="2"/>
  <c r="H60" i="2"/>
  <c r="H55" i="2"/>
  <c r="H46" i="2"/>
  <c r="D49" i="2"/>
  <c r="D47" i="2"/>
  <c r="H50" i="2"/>
  <c r="D63" i="2"/>
  <c r="D44" i="2"/>
  <c r="H62" i="2"/>
  <c r="D56" i="2"/>
  <c r="D45" i="2"/>
  <c r="D60" i="2"/>
  <c r="H56" i="2"/>
  <c r="D51" i="2"/>
  <c r="H47" i="2"/>
  <c r="H61" i="2"/>
  <c r="H58" i="2"/>
  <c r="H53" i="2"/>
  <c r="D58" i="2"/>
  <c r="D52" i="2"/>
  <c r="H64" i="2"/>
  <c r="D55" i="2"/>
  <c r="H54" i="2"/>
  <c r="H57" i="2"/>
  <c r="D64" i="2"/>
  <c r="D50" i="2"/>
  <c r="D53" i="2"/>
  <c r="D46" i="2"/>
  <c r="H59" i="2"/>
  <c r="I59" i="2" s="1"/>
  <c r="D54" i="2"/>
  <c r="H49" i="2"/>
  <c r="H63" i="2"/>
  <c r="D61" i="2"/>
  <c r="D62" i="2"/>
  <c r="H45" i="2"/>
  <c r="H44" i="2"/>
  <c r="D43" i="2"/>
  <c r="H43" i="2"/>
  <c r="H42" i="2"/>
  <c r="H37" i="2"/>
  <c r="D40" i="2"/>
  <c r="D42" i="2"/>
  <c r="D35" i="2"/>
  <c r="H40" i="2"/>
  <c r="H38" i="2"/>
  <c r="D41" i="2"/>
  <c r="H39" i="2"/>
  <c r="D37" i="2"/>
  <c r="D38" i="2"/>
  <c r="D36" i="2"/>
  <c r="H41" i="2"/>
  <c r="D39" i="2"/>
  <c r="H36" i="2"/>
  <c r="H35" i="2"/>
  <c r="H33" i="2"/>
  <c r="D33" i="2"/>
  <c r="H31" i="2"/>
  <c r="D31" i="2"/>
  <c r="D32" i="2"/>
  <c r="H32" i="2"/>
  <c r="H34" i="2"/>
  <c r="D34" i="2"/>
  <c r="H30" i="2"/>
  <c r="D23" i="2"/>
  <c r="H25" i="2"/>
  <c r="H27" i="2"/>
  <c r="H22" i="2"/>
  <c r="D30" i="2"/>
  <c r="D22" i="2"/>
  <c r="H24" i="2"/>
  <c r="H29" i="2"/>
  <c r="D29" i="2"/>
  <c r="D24" i="2"/>
  <c r="D26" i="2"/>
  <c r="H26" i="2"/>
  <c r="D27" i="2"/>
  <c r="H28" i="2"/>
  <c r="D28" i="2"/>
  <c r="D25" i="2"/>
  <c r="H23" i="2"/>
  <c r="H21" i="2"/>
  <c r="D15" i="2"/>
  <c r="D20" i="2"/>
  <c r="D19" i="2"/>
  <c r="D21" i="2"/>
  <c r="H19" i="2"/>
  <c r="D16" i="2"/>
  <c r="D17" i="2"/>
  <c r="H20" i="2"/>
  <c r="D18" i="2"/>
  <c r="H16" i="2"/>
  <c r="H17" i="2"/>
  <c r="H18" i="2"/>
  <c r="H13" i="2"/>
  <c r="H14" i="2"/>
  <c r="D13" i="2"/>
  <c r="H15" i="2"/>
  <c r="D14" i="2"/>
  <c r="H11" i="2"/>
  <c r="D3" i="2"/>
  <c r="D11" i="2"/>
  <c r="D4" i="2"/>
  <c r="D5" i="2"/>
  <c r="D6" i="2"/>
  <c r="D8" i="2"/>
  <c r="D7" i="2"/>
  <c r="D10" i="2"/>
  <c r="H9" i="2"/>
  <c r="H8" i="2"/>
  <c r="D2" i="2"/>
  <c r="D9" i="2"/>
  <c r="H12" i="2"/>
  <c r="I12" i="2" s="1"/>
  <c r="D12" i="2"/>
  <c r="H10" i="2"/>
  <c r="E7" i="4"/>
  <c r="H4" i="2"/>
  <c r="H5" i="2"/>
  <c r="H2" i="2"/>
  <c r="H7" i="2"/>
  <c r="H6" i="2"/>
  <c r="I6" i="2" s="1"/>
  <c r="H3" i="2"/>
  <c r="I3" i="2" s="1"/>
  <c r="E13" i="4"/>
  <c r="I7" i="4"/>
  <c r="I13" i="4"/>
  <c r="G13" i="4"/>
  <c r="G7" i="4"/>
  <c r="I137" i="2" l="1"/>
  <c r="M140" i="1"/>
  <c r="N140" i="1" s="1"/>
  <c r="I136" i="2"/>
  <c r="M139" i="1"/>
  <c r="N139" i="1" s="1"/>
  <c r="I135" i="2"/>
  <c r="M134" i="1"/>
  <c r="N134" i="1" s="1"/>
  <c r="I134" i="2"/>
  <c r="M132" i="1"/>
  <c r="N132" i="1" s="1"/>
  <c r="I133" i="2"/>
  <c r="M111" i="1"/>
  <c r="N111" i="1" s="1"/>
  <c r="I132" i="2"/>
  <c r="M138" i="1"/>
  <c r="N138" i="1" s="1"/>
  <c r="I131" i="2"/>
  <c r="M136" i="1"/>
  <c r="N136" i="1" s="1"/>
  <c r="I130" i="2"/>
  <c r="M135" i="1"/>
  <c r="N135" i="1" s="1"/>
  <c r="I129" i="2"/>
  <c r="M104" i="1"/>
  <c r="N104" i="1" s="1"/>
  <c r="I125" i="2"/>
  <c r="M128" i="1"/>
  <c r="N128" i="1" s="1"/>
  <c r="I126" i="2"/>
  <c r="M129" i="1"/>
  <c r="N129" i="1" s="1"/>
  <c r="I123" i="2"/>
  <c r="M126" i="1"/>
  <c r="N126" i="1" s="1"/>
  <c r="I122" i="2"/>
  <c r="M125" i="1"/>
  <c r="N125" i="1" s="1"/>
  <c r="I124" i="2"/>
  <c r="M127" i="1"/>
  <c r="N127" i="1" s="1"/>
  <c r="I121" i="2"/>
  <c r="M124" i="1"/>
  <c r="N124" i="1" s="1"/>
  <c r="I119" i="2"/>
  <c r="M103" i="1"/>
  <c r="N103" i="1" s="1"/>
  <c r="I120" i="2"/>
  <c r="M123" i="1"/>
  <c r="N123" i="1" s="1"/>
  <c r="I116" i="2"/>
  <c r="M122" i="1"/>
  <c r="N122" i="1" s="1"/>
  <c r="I114" i="2"/>
  <c r="M121" i="1"/>
  <c r="N121" i="1" s="1"/>
  <c r="I115" i="2"/>
  <c r="M105" i="1"/>
  <c r="N105" i="1" s="1"/>
  <c r="I113" i="2"/>
  <c r="M120" i="1"/>
  <c r="N120" i="1" s="1"/>
  <c r="I112" i="2"/>
  <c r="M119" i="1"/>
  <c r="N119" i="1" s="1"/>
  <c r="I111" i="2"/>
  <c r="M117" i="1"/>
  <c r="N117" i="1" s="1"/>
  <c r="I108" i="2"/>
  <c r="M113" i="1"/>
  <c r="I106" i="2"/>
  <c r="M112" i="1"/>
  <c r="N112" i="1" s="1"/>
  <c r="I107" i="2"/>
  <c r="M115" i="1"/>
  <c r="N115" i="1" s="1"/>
  <c r="I102" i="2"/>
  <c r="M108" i="1"/>
  <c r="N108" i="1" s="1"/>
  <c r="I103" i="2"/>
  <c r="M110" i="1"/>
  <c r="N110" i="1" s="1"/>
  <c r="I100" i="2"/>
  <c r="M106" i="1"/>
  <c r="N106" i="1" s="1"/>
  <c r="I101" i="2"/>
  <c r="M109" i="1"/>
  <c r="N109" i="1" s="1"/>
  <c r="I99" i="2"/>
  <c r="M102" i="1"/>
  <c r="N102" i="1" s="1"/>
  <c r="I98" i="2"/>
  <c r="M101" i="1"/>
  <c r="N101" i="1" s="1"/>
  <c r="I97" i="2"/>
  <c r="M96" i="1"/>
  <c r="N96" i="1" s="1"/>
  <c r="I95" i="2"/>
  <c r="M100" i="1"/>
  <c r="N100" i="1" s="1"/>
  <c r="I94" i="2"/>
  <c r="M99" i="1"/>
  <c r="N99" i="1" s="1"/>
  <c r="I93" i="2"/>
  <c r="M98" i="1"/>
  <c r="N98" i="1" s="1"/>
  <c r="I92" i="2"/>
  <c r="M97" i="1"/>
  <c r="N97" i="1" s="1"/>
  <c r="I91" i="2"/>
  <c r="M95" i="1"/>
  <c r="N95" i="1" s="1"/>
  <c r="I90" i="2"/>
  <c r="M94" i="1"/>
  <c r="N94" i="1" s="1"/>
  <c r="I86" i="2"/>
  <c r="I87" i="2"/>
  <c r="I85" i="2"/>
  <c r="I83" i="2"/>
  <c r="I84" i="2"/>
  <c r="I82" i="2"/>
  <c r="I80" i="2"/>
  <c r="I81" i="2"/>
  <c r="I79" i="2"/>
  <c r="I66" i="2"/>
  <c r="I67" i="2"/>
  <c r="I75" i="2"/>
  <c r="I65" i="2"/>
  <c r="I78" i="2"/>
  <c r="I70" i="2"/>
  <c r="I77" i="2"/>
  <c r="I76" i="2"/>
  <c r="I68" i="2"/>
  <c r="I74" i="2"/>
  <c r="I73" i="2"/>
  <c r="I69" i="2"/>
  <c r="I72" i="2"/>
  <c r="I62" i="2"/>
  <c r="I57" i="2"/>
  <c r="I54" i="2"/>
  <c r="I50" i="2"/>
  <c r="I64" i="2"/>
  <c r="I44" i="2"/>
  <c r="I45" i="2"/>
  <c r="I46" i="2"/>
  <c r="I53" i="2"/>
  <c r="I55" i="2"/>
  <c r="I58" i="2"/>
  <c r="I60" i="2"/>
  <c r="I63" i="2"/>
  <c r="I61" i="2"/>
  <c r="I52" i="2"/>
  <c r="I49" i="2"/>
  <c r="I47" i="2"/>
  <c r="I56" i="2"/>
  <c r="I51" i="2"/>
  <c r="I48" i="2"/>
  <c r="I39" i="2"/>
  <c r="I38" i="2"/>
  <c r="I40" i="2"/>
  <c r="I37" i="2"/>
  <c r="I42" i="2"/>
  <c r="I43" i="2"/>
  <c r="I41" i="2"/>
  <c r="I36" i="2"/>
  <c r="I30" i="2"/>
  <c r="I19" i="2"/>
  <c r="I20" i="2"/>
  <c r="I34" i="2"/>
  <c r="I32" i="2"/>
  <c r="I15" i="2"/>
  <c r="I14" i="2"/>
  <c r="I29" i="2"/>
  <c r="I13" i="2"/>
  <c r="I24" i="2"/>
  <c r="I25" i="2"/>
  <c r="I9" i="2"/>
  <c r="I18" i="2"/>
  <c r="I21" i="2"/>
  <c r="I31" i="2"/>
  <c r="I28" i="2"/>
  <c r="I11" i="2"/>
  <c r="I8" i="2"/>
  <c r="I17" i="2"/>
  <c r="I23" i="2"/>
  <c r="I16" i="2"/>
  <c r="I22" i="2"/>
  <c r="I33" i="2"/>
  <c r="I26" i="2"/>
  <c r="I10" i="2"/>
  <c r="I27" i="2"/>
  <c r="I35" i="2"/>
  <c r="I4" i="2"/>
  <c r="I7" i="2"/>
  <c r="I5" i="2"/>
  <c r="N113" i="1" l="1"/>
  <c r="F3" i="4" s="1"/>
  <c r="D3" i="4"/>
  <c r="C3" i="4"/>
  <c r="E3" i="4" s="1"/>
  <c r="H3" i="4"/>
  <c r="B2" i="4"/>
  <c r="A2" i="2"/>
  <c r="G3" i="4" l="1"/>
  <c r="I3" i="4"/>
  <c r="M75" i="1"/>
  <c r="N75" i="1" s="1"/>
  <c r="M89" i="1"/>
  <c r="N89" i="1" s="1"/>
  <c r="M91" i="1"/>
  <c r="N91" i="1" s="1"/>
  <c r="M90" i="1"/>
  <c r="N90" i="1" s="1"/>
  <c r="M93" i="1"/>
  <c r="N93" i="1" s="1"/>
  <c r="M72" i="1"/>
  <c r="N72" i="1" s="1"/>
  <c r="M80" i="1"/>
  <c r="N80" i="1" s="1"/>
  <c r="M47" i="1"/>
  <c r="N47" i="1" s="1"/>
  <c r="M3" i="1"/>
  <c r="M87" i="1"/>
  <c r="N87" i="1" s="1"/>
  <c r="M66" i="1"/>
  <c r="N66" i="1" s="1"/>
  <c r="M40" i="1"/>
  <c r="N40" i="1" s="1"/>
  <c r="M38" i="1"/>
  <c r="N38" i="1" s="1"/>
  <c r="M17" i="1"/>
  <c r="M12" i="1"/>
  <c r="N12" i="1" s="1"/>
  <c r="M11" i="1"/>
  <c r="N11" i="1" s="1"/>
  <c r="M65" i="1"/>
  <c r="N65" i="1" s="1"/>
  <c r="M36" i="1"/>
  <c r="N36" i="1" s="1"/>
  <c r="M2" i="1"/>
  <c r="N2" i="1" s="1"/>
  <c r="M70" i="1"/>
  <c r="N70" i="1" s="1"/>
  <c r="M56" i="1"/>
  <c r="N56" i="1" s="1"/>
  <c r="M50" i="1"/>
  <c r="N50" i="1" s="1"/>
  <c r="M49" i="1"/>
  <c r="N49" i="1" s="1"/>
  <c r="M14" i="1"/>
  <c r="N14" i="1" s="1"/>
  <c r="M44" i="1"/>
  <c r="N44" i="1" s="1"/>
  <c r="M18" i="1"/>
  <c r="M28" i="1"/>
  <c r="N28" i="1" s="1"/>
  <c r="M51" i="1"/>
  <c r="N51" i="1" s="1"/>
  <c r="M61" i="1"/>
  <c r="N61" i="1" s="1"/>
  <c r="M86" i="1"/>
  <c r="N86" i="1" s="1"/>
  <c r="M84" i="1"/>
  <c r="N84" i="1" s="1"/>
  <c r="M48" i="1"/>
  <c r="N48" i="1" s="1"/>
  <c r="M20" i="1"/>
  <c r="N20" i="1" s="1"/>
  <c r="M23" i="1"/>
  <c r="N23" i="1" s="1"/>
  <c r="M25" i="1"/>
  <c r="N25" i="1" s="1"/>
  <c r="M21" i="1"/>
  <c r="N21" i="1" s="1"/>
  <c r="M10" i="1"/>
  <c r="N10" i="1" s="1"/>
  <c r="M7" i="1"/>
  <c r="M26" i="1"/>
  <c r="N26" i="1" s="1"/>
  <c r="M62" i="1"/>
  <c r="N62" i="1" s="1"/>
  <c r="M54" i="1"/>
  <c r="N54" i="1" s="1"/>
  <c r="M46" i="1"/>
  <c r="N46" i="1" s="1"/>
  <c r="M9" i="1"/>
  <c r="N9" i="1" s="1"/>
  <c r="M35" i="1"/>
  <c r="N35" i="1" s="1"/>
  <c r="M30" i="1"/>
  <c r="N30" i="1" s="1"/>
  <c r="M71" i="1"/>
  <c r="N71" i="1" s="1"/>
  <c r="M31" i="1"/>
  <c r="M43" i="1"/>
  <c r="N43" i="1" s="1"/>
  <c r="M39" i="1"/>
  <c r="N39" i="1" s="1"/>
  <c r="M92" i="1"/>
  <c r="N92" i="1" s="1"/>
  <c r="M85" i="1"/>
  <c r="N85" i="1" s="1"/>
  <c r="M41" i="1"/>
  <c r="N41" i="1" s="1"/>
  <c r="M63" i="1"/>
  <c r="N63" i="1" s="1"/>
  <c r="M16" i="1"/>
  <c r="N16" i="1" s="1"/>
  <c r="M27" i="1"/>
  <c r="N27" i="1" s="1"/>
  <c r="M4" i="1"/>
  <c r="M8" i="1"/>
  <c r="N8" i="1" s="1"/>
  <c r="M37" i="1"/>
  <c r="N37" i="1" s="1"/>
  <c r="M5" i="1"/>
  <c r="N5" i="1" s="1"/>
  <c r="M64" i="1"/>
  <c r="N64" i="1" s="1"/>
  <c r="M58" i="1"/>
  <c r="N58" i="1" s="1"/>
  <c r="M42" i="1"/>
  <c r="N42" i="1" s="1"/>
  <c r="M52" i="1"/>
  <c r="N52" i="1" s="1"/>
  <c r="M34" i="1"/>
  <c r="N34" i="1" s="1"/>
  <c r="M33" i="1"/>
  <c r="N33" i="1" s="1"/>
  <c r="M13" i="1"/>
  <c r="N13" i="1" s="1"/>
  <c r="M24" i="1"/>
  <c r="N24" i="1" s="1"/>
  <c r="M82" i="1"/>
  <c r="N82" i="1" s="1"/>
  <c r="M67" i="1"/>
  <c r="N67" i="1" s="1"/>
  <c r="M53" i="1"/>
  <c r="N53" i="1" s="1"/>
  <c r="M76" i="1"/>
  <c r="N76" i="1" s="1"/>
  <c r="M45" i="1"/>
  <c r="N45" i="1" s="1"/>
  <c r="M29" i="1"/>
  <c r="N29" i="1" s="1"/>
  <c r="M19" i="1"/>
  <c r="M88" i="1"/>
  <c r="N88" i="1" s="1"/>
  <c r="M81" i="1"/>
  <c r="N81" i="1" s="1"/>
  <c r="M73" i="1"/>
  <c r="N73" i="1" s="1"/>
  <c r="M68" i="1"/>
  <c r="N68" i="1" s="1"/>
  <c r="M69" i="1"/>
  <c r="N69" i="1" s="1"/>
  <c r="M6" i="1"/>
  <c r="N6" i="1" s="1"/>
  <c r="M22" i="1"/>
  <c r="N22" i="1" s="1"/>
  <c r="M79" i="1"/>
  <c r="N79" i="1" s="1"/>
  <c r="M78" i="1"/>
  <c r="N78" i="1" s="1"/>
  <c r="M55" i="1"/>
  <c r="N55" i="1" s="1"/>
  <c r="M74" i="1"/>
  <c r="N74" i="1" s="1"/>
  <c r="M32" i="1"/>
  <c r="N32" i="1" s="1"/>
  <c r="M83" i="1"/>
  <c r="N83" i="1" s="1"/>
  <c r="M60" i="1"/>
  <c r="N60" i="1" s="1"/>
  <c r="M57" i="1"/>
  <c r="N57" i="1" s="1"/>
  <c r="M15" i="1"/>
  <c r="N15" i="1" s="1"/>
  <c r="M59" i="1"/>
  <c r="N59" i="1" s="1"/>
  <c r="M77" i="1"/>
  <c r="N17" i="1" l="1"/>
  <c r="F11" i="4" s="1"/>
  <c r="D11" i="4"/>
  <c r="H11" i="4"/>
  <c r="C11" i="4"/>
  <c r="E11" i="4" s="1"/>
  <c r="N3" i="1"/>
  <c r="F9" i="4" s="1"/>
  <c r="D9" i="4"/>
  <c r="C9" i="4"/>
  <c r="E9" i="4" s="1"/>
  <c r="H9" i="4"/>
  <c r="D5" i="4"/>
  <c r="H5" i="4"/>
  <c r="N7" i="1"/>
  <c r="F5" i="4" s="1"/>
  <c r="C5" i="4"/>
  <c r="E5" i="4" s="1"/>
  <c r="N31" i="1"/>
  <c r="F4" i="4" s="1"/>
  <c r="D4" i="4"/>
  <c r="C4" i="4"/>
  <c r="E4" i="4" s="1"/>
  <c r="H4" i="4"/>
  <c r="N77" i="1"/>
  <c r="F6" i="4" s="1"/>
  <c r="D6" i="4"/>
  <c r="C6" i="4"/>
  <c r="E6" i="4" s="1"/>
  <c r="H6" i="4"/>
  <c r="N19" i="1"/>
  <c r="F12" i="4" s="1"/>
  <c r="C12" i="4"/>
  <c r="E12" i="4" s="1"/>
  <c r="D12" i="4"/>
  <c r="H12" i="4"/>
  <c r="N18" i="1"/>
  <c r="F8" i="4" s="1"/>
  <c r="C8" i="4"/>
  <c r="E8" i="4" s="1"/>
  <c r="H8" i="4"/>
  <c r="D8" i="4"/>
  <c r="N4" i="1"/>
  <c r="F2" i="4" s="1"/>
  <c r="C2" i="4"/>
  <c r="E2" i="4" s="1"/>
  <c r="D2" i="4"/>
  <c r="H2" i="4"/>
  <c r="F10" i="4"/>
  <c r="B2" i="6"/>
  <c r="I2" i="2"/>
  <c r="B4" i="6" l="1"/>
  <c r="B5" i="6"/>
  <c r="G4" i="4"/>
  <c r="I4" i="4"/>
  <c r="I5" i="4"/>
  <c r="G5" i="4"/>
  <c r="G2" i="4"/>
  <c r="I2" i="4"/>
  <c r="G8" i="4"/>
  <c r="I8" i="4"/>
  <c r="G12" i="4"/>
  <c r="I12" i="4"/>
  <c r="G9" i="4"/>
  <c r="I9" i="4"/>
  <c r="G6" i="4"/>
  <c r="I6" i="4"/>
  <c r="I11" i="4"/>
  <c r="G11" i="4"/>
  <c r="I10" i="4"/>
  <c r="B12" i="6"/>
  <c r="B6" i="6"/>
  <c r="B11" i="6"/>
  <c r="B10" i="6"/>
  <c r="B9" i="6"/>
  <c r="B3" i="6"/>
  <c r="C10" i="4"/>
  <c r="E10" i="4" s="1"/>
  <c r="D10" i="4"/>
  <c r="H10" i="4"/>
  <c r="G10" i="4" l="1"/>
</calcChain>
</file>

<file path=xl/sharedStrings.xml><?xml version="1.0" encoding="utf-8"?>
<sst xmlns="http://schemas.openxmlformats.org/spreadsheetml/2006/main" count="949" uniqueCount="304">
  <si>
    <t>Trade_ID</t>
  </si>
  <si>
    <t>Date</t>
  </si>
  <si>
    <t>Ticker</t>
  </si>
  <si>
    <t>Setup</t>
  </si>
  <si>
    <t>Initial Stop</t>
  </si>
  <si>
    <t>Total R</t>
  </si>
  <si>
    <t>Notes</t>
  </si>
  <si>
    <t>Exec_ID</t>
  </si>
  <si>
    <t>P&amp;L</t>
  </si>
  <si>
    <t>R Contribution</t>
  </si>
  <si>
    <t>Mistake_Type</t>
  </si>
  <si>
    <t>Preventable</t>
  </si>
  <si>
    <t>Win Rate</t>
  </si>
  <si>
    <t>Profit Factor</t>
  </si>
  <si>
    <t>Ending Equity</t>
  </si>
  <si>
    <t>Sleep Quality</t>
  </si>
  <si>
    <t>Focus Level</t>
  </si>
  <si>
    <t>Total Trades:</t>
  </si>
  <si>
    <t>Win Rate:</t>
  </si>
  <si>
    <t>Core Stats</t>
  </si>
  <si>
    <t>Avg R:</t>
  </si>
  <si>
    <t xml:space="preserve">Total R: </t>
  </si>
  <si>
    <t>Risk Metrics</t>
  </si>
  <si>
    <t>Max Win:</t>
  </si>
  <si>
    <t>Max Loss:</t>
  </si>
  <si>
    <t>Avg Win:</t>
  </si>
  <si>
    <t>Avg Loss:</t>
  </si>
  <si>
    <t>Reversal</t>
  </si>
  <si>
    <t>Long</t>
  </si>
  <si>
    <t>Breakout</t>
  </si>
  <si>
    <t>Open</t>
  </si>
  <si>
    <t>Action</t>
  </si>
  <si>
    <t>Status</t>
  </si>
  <si>
    <t>Shares Closed</t>
  </si>
  <si>
    <t>Date Opened</t>
  </si>
  <si>
    <t>Direction</t>
  </si>
  <si>
    <t>Entry Price</t>
  </si>
  <si>
    <t>Position Size (shares)</t>
  </si>
  <si>
    <t>Planned R Target</t>
  </si>
  <si>
    <t>Risk(R)</t>
  </si>
  <si>
    <t>Execution Price</t>
  </si>
  <si>
    <t>Setup Name</t>
  </si>
  <si>
    <t>Total Trades</t>
  </si>
  <si>
    <t>Expectancy</t>
  </si>
  <si>
    <t>Cost in R</t>
  </si>
  <si>
    <t>Starting Balance</t>
  </si>
  <si>
    <t>Daily R</t>
  </si>
  <si>
    <t>Emotions</t>
  </si>
  <si>
    <t>Disciplince Score</t>
  </si>
  <si>
    <t>Market Contition</t>
  </si>
  <si>
    <t>Lessons</t>
  </si>
  <si>
    <t>Pullback</t>
  </si>
  <si>
    <t>Range Break</t>
  </si>
  <si>
    <t>Earning Play</t>
  </si>
  <si>
    <t xml:space="preserve"> A+ Setup</t>
  </si>
  <si>
    <t>Buy the Dip</t>
  </si>
  <si>
    <t>Other</t>
  </si>
  <si>
    <t>Wins</t>
  </si>
  <si>
    <t>Losses</t>
  </si>
  <si>
    <t>Avg R per Trade</t>
  </si>
  <si>
    <t>Trend Continuation</t>
  </si>
  <si>
    <t>ONDS</t>
  </si>
  <si>
    <t>CT Reversal</t>
  </si>
  <si>
    <t>Sell</t>
  </si>
  <si>
    <t>Technical</t>
  </si>
  <si>
    <t>No</t>
  </si>
  <si>
    <t>MACD never got confirmation after a try for continuation</t>
  </si>
  <si>
    <t>Most indexes are green, VIX open above 20, but it dropped to 19, still high</t>
  </si>
  <si>
    <t>I sceened for entries all they long, but there is few A+ options, the market shows a lot of volatility</t>
  </si>
  <si>
    <t>Good</t>
  </si>
  <si>
    <t>High</t>
  </si>
  <si>
    <t>4/5</t>
  </si>
  <si>
    <t>T-001</t>
  </si>
  <si>
    <t>DNN</t>
  </si>
  <si>
    <t>Closed</t>
  </si>
  <si>
    <t>TMDX</t>
  </si>
  <si>
    <t>NG</t>
  </si>
  <si>
    <t>T-004</t>
  </si>
  <si>
    <t>ATEC</t>
  </si>
  <si>
    <t>T-002</t>
  </si>
  <si>
    <t>Yes</t>
  </si>
  <si>
    <t>It was closed with earnings, but the entry was timed because I didn't consider earnings release</t>
  </si>
  <si>
    <t>Calm, reduce portfolio, but difficulty to find entries</t>
  </si>
  <si>
    <t>The indexes are gren again, VIX is around 18 levels</t>
  </si>
  <si>
    <t>It is important to consider earnings release before opening positions, today it was a couple of risky entry that luckily worked out</t>
  </si>
  <si>
    <t>Medium</t>
  </si>
  <si>
    <t>The stocks picked are holding the volatility, butit didn't grow</t>
  </si>
  <si>
    <t>The market started green, but the earnings released by NVDA added more uncertainty about the AI and it has increased the volatility, VIX has gone over 20 again and the market is falling in general</t>
  </si>
  <si>
    <t>ROKU</t>
  </si>
  <si>
    <t>OKLO</t>
  </si>
  <si>
    <t>Several entries with .25 risk per trade, they seem to be in good momentum since I am trying to enter after bouncing</t>
  </si>
  <si>
    <t>5/5</t>
  </si>
  <si>
    <t>Patience for entries are everything</t>
  </si>
  <si>
    <t>Most of the market opened with a gap down, and it is mostly falling, VIX is over 20 again but this time there is no a clear trigger, most likely is related with AI concerns that have been increasing the volatility in recent</t>
  </si>
  <si>
    <t>Low</t>
  </si>
  <si>
    <t>Despite the market falling, most of the stocks selected are showing strength I bought them from a relative slow aiming to a counter trend reversal or reversal, for the moment most of the stocks are working which leaves me at easy. Is pretty likely that the portfolio will drop during the day. At the end I manage to do a marginal increase of 15 bucks</t>
  </si>
  <si>
    <t>Look for entries in the structure, not the price, it is what is working.</t>
  </si>
  <si>
    <t>MNST</t>
  </si>
  <si>
    <t>T-008</t>
  </si>
  <si>
    <t>UUUU</t>
  </si>
  <si>
    <t>NRT</t>
  </si>
  <si>
    <t>T-011</t>
  </si>
  <si>
    <t>TJX</t>
  </si>
  <si>
    <t>APPS</t>
  </si>
  <si>
    <t>KTOS</t>
  </si>
  <si>
    <t>Planned Profit Target</t>
  </si>
  <si>
    <t>T-005</t>
  </si>
  <si>
    <t>LULU</t>
  </si>
  <si>
    <t>T-014</t>
  </si>
  <si>
    <t>T-009</t>
  </si>
  <si>
    <t>T-007</t>
  </si>
  <si>
    <t>T-003</t>
  </si>
  <si>
    <t>IHS</t>
  </si>
  <si>
    <t>AVBP</t>
  </si>
  <si>
    <t>Short Squeeze</t>
  </si>
  <si>
    <t>T-012</t>
  </si>
  <si>
    <t>T-015</t>
  </si>
  <si>
    <t>IHS is showing a recovery but todays earnings were negative I decided to exit before any negative move might happen if I lose the trend, be it, there is too much risk in current market environment</t>
  </si>
  <si>
    <t>The war in Iran has caused the oil to pike and the market to go down, until last Friday, there were 6 consecutive red days for the main indexes in the market, it clearly hit me hard</t>
  </si>
  <si>
    <t>I have trading really few regarding the last drops that the market has experienced, I feel really down, but I am avoiding any behavior that could compromise my capital</t>
  </si>
  <si>
    <t>BDX</t>
  </si>
  <si>
    <t>Mean reversion</t>
  </si>
  <si>
    <t>QBTS</t>
  </si>
  <si>
    <t>T-019</t>
  </si>
  <si>
    <t>T-016</t>
  </si>
  <si>
    <t>XLE</t>
  </si>
  <si>
    <t>T-018</t>
  </si>
  <si>
    <t>The market is really choppy and I didn't wait for confirmation, at the end, what it was looking as a potential bounce, finish by falling back, and not recovering.</t>
  </si>
  <si>
    <t>T-013</t>
  </si>
  <si>
    <t>T-017</t>
  </si>
  <si>
    <t>ROST</t>
  </si>
  <si>
    <t>FROG</t>
  </si>
  <si>
    <t>AMD</t>
  </si>
  <si>
    <t>T-023</t>
  </si>
  <si>
    <t>T-022</t>
  </si>
  <si>
    <t>BBY</t>
  </si>
  <si>
    <t>T-024</t>
  </si>
  <si>
    <t>ARM</t>
  </si>
  <si>
    <t>TSN</t>
  </si>
  <si>
    <t>T-025</t>
  </si>
  <si>
    <t>NUE</t>
  </si>
  <si>
    <t>T-028</t>
  </si>
  <si>
    <t>T-006</t>
  </si>
  <si>
    <t>LGN</t>
  </si>
  <si>
    <t>T-029</t>
  </si>
  <si>
    <t>AGX</t>
  </si>
  <si>
    <t>T-030</t>
  </si>
  <si>
    <t>WMT</t>
  </si>
  <si>
    <t>T-010</t>
  </si>
  <si>
    <t>AA</t>
  </si>
  <si>
    <t>T-020</t>
  </si>
  <si>
    <t>T-032</t>
  </si>
  <si>
    <t>UEC</t>
  </si>
  <si>
    <t>CENX</t>
  </si>
  <si>
    <t>T-034</t>
  </si>
  <si>
    <t>PZG</t>
  </si>
  <si>
    <t>GOOG</t>
  </si>
  <si>
    <t>T-037</t>
  </si>
  <si>
    <t>T-026</t>
  </si>
  <si>
    <t>XOM</t>
  </si>
  <si>
    <t>T-038</t>
  </si>
  <si>
    <t>LEXX</t>
  </si>
  <si>
    <t>T-035</t>
  </si>
  <si>
    <t>INTC</t>
  </si>
  <si>
    <t>T-041</t>
  </si>
  <si>
    <t>T-042</t>
  </si>
  <si>
    <t>NVDA</t>
  </si>
  <si>
    <t>T-043</t>
  </si>
  <si>
    <t>T-044</t>
  </si>
  <si>
    <t>SCHD</t>
  </si>
  <si>
    <t>T-021</t>
  </si>
  <si>
    <t>APLD</t>
  </si>
  <si>
    <t>T-045</t>
  </si>
  <si>
    <t>T-039</t>
  </si>
  <si>
    <t>T-048</t>
  </si>
  <si>
    <t>PLTR</t>
  </si>
  <si>
    <t>GILD</t>
  </si>
  <si>
    <t>T-054</t>
  </si>
  <si>
    <t>T-027</t>
  </si>
  <si>
    <t>CELH</t>
  </si>
  <si>
    <t>T-056</t>
  </si>
  <si>
    <t>SNOW</t>
  </si>
  <si>
    <t>T-058</t>
  </si>
  <si>
    <t>PATH</t>
  </si>
  <si>
    <t>T-057</t>
  </si>
  <si>
    <t>T-031</t>
  </si>
  <si>
    <t>T-033</t>
  </si>
  <si>
    <t>T-053</t>
  </si>
  <si>
    <t>AMZN</t>
  </si>
  <si>
    <t>CLX</t>
  </si>
  <si>
    <t>T-059</t>
  </si>
  <si>
    <t>T-060</t>
  </si>
  <si>
    <t>T-061</t>
  </si>
  <si>
    <t>T-049</t>
  </si>
  <si>
    <t>T-047</t>
  </si>
  <si>
    <t>MRVL</t>
  </si>
  <si>
    <t>T-055</t>
  </si>
  <si>
    <t>T-062</t>
  </si>
  <si>
    <t>T-063</t>
  </si>
  <si>
    <t>MDT</t>
  </si>
  <si>
    <t>KO</t>
  </si>
  <si>
    <t>T-064</t>
  </si>
  <si>
    <t>Realized P&amp;L</t>
  </si>
  <si>
    <t>Realized R</t>
  </si>
  <si>
    <t>SOUN</t>
  </si>
  <si>
    <t>T-065</t>
  </si>
  <si>
    <t>T-070</t>
  </si>
  <si>
    <t>T-068</t>
  </si>
  <si>
    <t>AMPY</t>
  </si>
  <si>
    <t>SMCI</t>
  </si>
  <si>
    <t>T-073</t>
  </si>
  <si>
    <t>T-051</t>
  </si>
  <si>
    <t>CADL</t>
  </si>
  <si>
    <t>RCAT</t>
  </si>
  <si>
    <t>T-072</t>
  </si>
  <si>
    <t>QS</t>
  </si>
  <si>
    <t>T-066</t>
  </si>
  <si>
    <t>T-052</t>
  </si>
  <si>
    <t>T-075</t>
  </si>
  <si>
    <t>T-076</t>
  </si>
  <si>
    <t>T-077</t>
  </si>
  <si>
    <t>T-067</t>
  </si>
  <si>
    <t>T-078</t>
  </si>
  <si>
    <t>T-040</t>
  </si>
  <si>
    <t>T-069</t>
  </si>
  <si>
    <t>NRDS</t>
  </si>
  <si>
    <t>T-050</t>
  </si>
  <si>
    <t>QCOM</t>
  </si>
  <si>
    <t>T-085</t>
  </si>
  <si>
    <t>T-086</t>
  </si>
  <si>
    <t>T-083</t>
  </si>
  <si>
    <t>T-087</t>
  </si>
  <si>
    <t>T-082</t>
  </si>
  <si>
    <t>T-036</t>
  </si>
  <si>
    <t>T-080</t>
  </si>
  <si>
    <t>MSFT</t>
  </si>
  <si>
    <t>ASTS</t>
  </si>
  <si>
    <t>SANM</t>
  </si>
  <si>
    <t>T-090</t>
  </si>
  <si>
    <t>T-091</t>
  </si>
  <si>
    <t>T-081</t>
  </si>
  <si>
    <t>SEI</t>
  </si>
  <si>
    <t>T-092</t>
  </si>
  <si>
    <t>T-093</t>
  </si>
  <si>
    <t>KOPN</t>
  </si>
  <si>
    <t>V</t>
  </si>
  <si>
    <t>T-094</t>
  </si>
  <si>
    <t>STX</t>
  </si>
  <si>
    <t>T-096</t>
  </si>
  <si>
    <t>T-097</t>
  </si>
  <si>
    <t>T-098</t>
  </si>
  <si>
    <t>T-099</t>
  </si>
  <si>
    <t>T-089</t>
  </si>
  <si>
    <t>T-095</t>
  </si>
  <si>
    <t>T-100</t>
  </si>
  <si>
    <t>T-101</t>
  </si>
  <si>
    <t>FSLY</t>
  </si>
  <si>
    <t>AAPL</t>
  </si>
  <si>
    <t>EL</t>
  </si>
  <si>
    <t>T-105</t>
  </si>
  <si>
    <t>T-108</t>
  </si>
  <si>
    <t>T-107</t>
  </si>
  <si>
    <t>T-109</t>
  </si>
  <si>
    <t>ABTC</t>
  </si>
  <si>
    <t>ASM</t>
  </si>
  <si>
    <t>T-111</t>
  </si>
  <si>
    <t>EBAY</t>
  </si>
  <si>
    <t>T-115</t>
  </si>
  <si>
    <t>T-112</t>
  </si>
  <si>
    <t>T-046</t>
  </si>
  <si>
    <t>T-088</t>
  </si>
  <si>
    <t>ASAN</t>
  </si>
  <si>
    <t>T-116</t>
  </si>
  <si>
    <t>AMAT</t>
  </si>
  <si>
    <t>T-118</t>
  </si>
  <si>
    <t>T-119</t>
  </si>
  <si>
    <t>T-120</t>
  </si>
  <si>
    <t>T-104</t>
  </si>
  <si>
    <t>T-121</t>
  </si>
  <si>
    <t>T-102</t>
  </si>
  <si>
    <t>T-122</t>
  </si>
  <si>
    <t>MU</t>
  </si>
  <si>
    <t>T-123</t>
  </si>
  <si>
    <t>T-124</t>
  </si>
  <si>
    <t>T-125</t>
  </si>
  <si>
    <t>T-126</t>
  </si>
  <si>
    <t>T-127</t>
  </si>
  <si>
    <t>T-128</t>
  </si>
  <si>
    <t>T-071</t>
  </si>
  <si>
    <t>RKT</t>
  </si>
  <si>
    <t>T-079</t>
  </si>
  <si>
    <t>T-103</t>
  </si>
  <si>
    <t>NET</t>
  </si>
  <si>
    <t>T-134</t>
  </si>
  <si>
    <t>T-135</t>
  </si>
  <si>
    <t>T-137</t>
  </si>
  <si>
    <t>ORCL</t>
  </si>
  <si>
    <t>T-110</t>
  </si>
  <si>
    <t>T-131</t>
  </si>
  <si>
    <t>T-133</t>
  </si>
  <si>
    <t>T-138</t>
  </si>
  <si>
    <t>T-139</t>
  </si>
  <si>
    <t>DDOG</t>
  </si>
  <si>
    <t>T-140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</si>
</sst>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0" fontId="0" fillId="0" borderId="0" xfId="0" applyAlignment="1">
      <alignment wrapText="1"/>
    </xf>
    <xf numFmtId="49" fontId="0" fillId="0" borderId="0" xfId="0" applyNumberFormat="1"/>
  </cellXfs>
  <cellStyles count="1">
    <cellStyle name="Normal" xfId="0" builtinId="0"/>
  </cellStyles>
  <dxfs count="6">
    <dxf>
      <fill>
        <patternFill>
          <bgColor rgb="FFFFFF00"/>
        </patternFill>
      </fill>
    </dxf>
    <dxf>
      <font>
        <color rgb="FF006100"/>
      </font>
      <fill>
        <patternFill>
          <bgColor rgb="FFC6EFCE"/>
        </patternFill>
      </fill>
    </dxf>
    <dxf>
      <font>
        <color rgb="FF9C0006"/>
      </font>
      <fill>
        <patternFill>
          <bgColor rgb="FFFFC7CE"/>
        </patternFill>
      </fill>
    </dxf>
    <dxf>
      <fill>
        <patternFill>
          <bgColor theme="0"/>
        </patternFill>
      </fill>
    </dxf>
    <dxf>
      <numFmt numFmtId="19" formatCode="yyyy/mm/dd"/>
    </dxf>
    <dxf>
      <numFmt numFmtId="19" formatCode="yyyy/mm/dd"/>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A7E9B0-7565-4742-9A5E-71D2E4B37E95}" name="Tabla1" displayName="Tabla1" ref="A1:N141" totalsRowShown="0">
  <autoFilter ref="A1:N141" xr:uid="{ADA7E9B0-7565-4742-9A5E-71D2E4B37E95}">
    <filterColumn colId="11">
      <filters>
        <filter val="Open"/>
      </filters>
    </filterColumn>
  </autoFilter>
  <tableColumns count="14">
    <tableColumn id="1" xr3:uid="{6608E607-1563-4A82-B525-062E4D7DD7A8}" name="Trade_ID">
      <calculatedColumnFormula>"T-"&amp; TEXT(ROW()-1,"000")</calculatedColumnFormula>
    </tableColumn>
    <tableColumn id="2" xr3:uid="{6163C608-8DD6-4A1B-A684-B4DA771B2C60}" name="Date Opened" dataDxfId="5"/>
    <tableColumn id="3" xr3:uid="{7F4194FA-33A3-4374-9CB7-B6FF131DD27B}" name="Ticker"/>
    <tableColumn id="4" xr3:uid="{B6182498-0A2A-443D-B55E-42D05473051C}" name="Direction"/>
    <tableColumn id="5" xr3:uid="{795499B2-2C6C-4C9C-86B2-E520AE179236}" name="Setup"/>
    <tableColumn id="6" xr3:uid="{09922F01-37FF-431E-8E79-8E5834773B0E}" name="Entry Price"/>
    <tableColumn id="7" xr3:uid="{86FC0D21-3231-4F15-9CC6-947D96741DAE}" name="Initial Stop"/>
    <tableColumn id="8" xr3:uid="{45AE07AB-6CF7-4133-BB71-A7B499CECBEC}" name="Position Size (shares)"/>
    <tableColumn id="9" xr3:uid="{9C3D57FA-C40F-41C1-AC20-F06688C2A1B0}" name="Risk(R)">
      <calculatedColumnFormula>IF(D2="Long",(F2-G2)*H2,(G2-F2)*0)</calculatedColumnFormula>
    </tableColumn>
    <tableColumn id="10" xr3:uid="{F9704BF7-68C8-4C9B-8BD6-4F1928AED6FA}" name="Planned R Target"/>
    <tableColumn id="11" xr3:uid="{FA1B85A9-6973-4E82-85D4-FE80223DB682}" name="Planned Profit Target">
      <calculatedColumnFormula>I2*J2</calculatedColumnFormula>
    </tableColumn>
    <tableColumn id="12" xr3:uid="{CCEF2DF0-C470-4B20-B432-11DEFC42B31E}" name="Status"/>
    <tableColumn id="13" xr3:uid="{C9447846-C8E3-48A9-B9E9-7992EA82DF12}" name="Realized P&amp;L">
      <calculatedColumnFormula>SUMIF(Executions!B:B,A2,Executions!H:H)</calculatedColumnFormula>
    </tableColumn>
    <tableColumn id="14" xr3:uid="{4E3C4426-0EC4-466D-A2C8-90CF3B54F9AE}" name="Realized R">
      <calculatedColumnFormula>M2/I2</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FF1F87E-CDE0-4894-9814-45ABA92CE84F}" name="Tabla2" displayName="Tabla2" ref="A1:I138" totalsRowShown="0">
  <autoFilter ref="A1:I138" xr:uid="{6FF1F87E-CDE0-4894-9814-45ABA92CE84F}"/>
  <tableColumns count="9">
    <tableColumn id="1" xr3:uid="{4538A226-7755-4CF0-8776-94B5DF70B905}" name="Exec_ID">
      <calculatedColumnFormula>ROW()-1</calculatedColumnFormula>
    </tableColumn>
    <tableColumn id="2" xr3:uid="{EABBF888-B2F0-43A2-93A8-D87F9E1EC28E}" name="Trade_ID"/>
    <tableColumn id="3" xr3:uid="{92DDDB05-17D3-47D1-9C25-64159CF23266}" name="Date" dataDxfId="4"/>
    <tableColumn id="4" xr3:uid="{3F23841D-B926-4102-B7FB-3E3B4B325829}" name="Ticker">
      <calculatedColumnFormula>VLOOKUP(B2,Trades!A$1:M100059,3,FALSE)</calculatedColumnFormula>
    </tableColumn>
    <tableColumn id="5" xr3:uid="{A4348B84-44CD-4794-BB64-1E4096042975}" name="Action"/>
    <tableColumn id="6" xr3:uid="{C0658E8F-C40A-4E3D-9E94-90C36A2676B4}" name="Execution Price"/>
    <tableColumn id="7" xr3:uid="{EB8F0820-A920-4098-A494-BF774236E207}" name="Shares Closed"/>
    <tableColumn id="8" xr3:uid="{296DCF8B-E970-4610-93A3-B6995BF4E668}" name="P&amp;L">
      <calculatedColumnFormula>IF(VLOOKUP(B2,Trades!A:M,4,FALSE)="Long",(F2-VLOOKUP(B2,Trades!A:M,6,FALSE))*G2,(VLOOKUP(B2,Trades!A:M,6,FALSE)-F2)*G2)</calculatedColumnFormula>
    </tableColumn>
    <tableColumn id="9" xr3:uid="{50B9AE5E-A0ED-4FBA-B960-02E94D5C1E1A}" name="R Contribution">
      <calculatedColumnFormula>H2/Trades!I2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4ADA4-A6CF-4E94-AECD-A49BC2D74812}">
  <dimension ref="A1:N141"/>
  <sheetViews>
    <sheetView zoomScale="110" zoomScaleNormal="110" workbookViewId="0">
      <pane ySplit="1" topLeftCell="A70" activePane="bottomLeft" state="frozen"/>
      <selection pane="bottomLeft" activeCell="L141" sqref="L141"/>
    </sheetView>
  </sheetViews>
  <sheetFormatPr baseColWidth="10" defaultRowHeight="15" x14ac:dyDescent="0.25"/>
  <cols>
    <col min="2" max="2" width="13.85546875" customWidth="1"/>
    <col min="5" max="5" width="18" bestFit="1" customWidth="1"/>
    <col min="6" max="7" width="12" customWidth="1"/>
    <col min="8" max="8" width="21" customWidth="1"/>
    <col min="9" max="10" width="17.140625" customWidth="1"/>
    <col min="11" max="11" width="20.42578125" customWidth="1"/>
    <col min="12" max="12" width="19.85546875" bestFit="1" customWidth="1"/>
    <col min="13" max="13" width="14.85546875" bestFit="1" customWidth="1"/>
    <col min="14" max="14" width="11.7109375" customWidth="1"/>
  </cols>
  <sheetData>
    <row r="1" spans="1:14" x14ac:dyDescent="0.25">
      <c r="A1" t="s">
        <v>0</v>
      </c>
      <c r="B1" t="s">
        <v>34</v>
      </c>
      <c r="C1" t="s">
        <v>2</v>
      </c>
      <c r="D1" t="s">
        <v>35</v>
      </c>
      <c r="E1" t="s">
        <v>3</v>
      </c>
      <c r="F1" t="s">
        <v>36</v>
      </c>
      <c r="G1" t="s">
        <v>4</v>
      </c>
      <c r="H1" t="s">
        <v>37</v>
      </c>
      <c r="I1" t="s">
        <v>39</v>
      </c>
      <c r="J1" t="s">
        <v>38</v>
      </c>
      <c r="K1" t="s">
        <v>105</v>
      </c>
      <c r="L1" t="s">
        <v>32</v>
      </c>
      <c r="M1" t="s">
        <v>202</v>
      </c>
      <c r="N1" t="s">
        <v>203</v>
      </c>
    </row>
    <row r="2" spans="1:14" hidden="1" x14ac:dyDescent="0.25">
      <c r="A2" t="str">
        <f t="shared" ref="A2:A81" si="0">"T-"&amp; TEXT(ROW()-1,"000")</f>
        <v>T-001</v>
      </c>
      <c r="B2" s="1">
        <v>46072</v>
      </c>
      <c r="C2" t="s">
        <v>61</v>
      </c>
      <c r="D2" t="s">
        <v>28</v>
      </c>
      <c r="E2" t="s">
        <v>62</v>
      </c>
      <c r="F2">
        <v>11.11</v>
      </c>
      <c r="G2">
        <v>9.81</v>
      </c>
      <c r="H2">
        <v>18</v>
      </c>
      <c r="I2">
        <f t="shared" ref="I2:I16" si="1">IF(D2="Long",(F2-G2)*H2,(G2-F2)*0)</f>
        <v>23.399999999999981</v>
      </c>
      <c r="J2">
        <v>2</v>
      </c>
      <c r="K2">
        <f>I2*J2</f>
        <v>46.799999999999962</v>
      </c>
      <c r="L2" t="s">
        <v>74</v>
      </c>
      <c r="M2">
        <f>SUMIF(Executions!B:B,A2,Executions!H:H)</f>
        <v>-23.399999999999981</v>
      </c>
      <c r="N2">
        <f>M2/I2</f>
        <v>-1</v>
      </c>
    </row>
    <row r="3" spans="1:14" hidden="1" x14ac:dyDescent="0.25">
      <c r="A3" t="str">
        <f t="shared" si="0"/>
        <v>T-002</v>
      </c>
      <c r="B3" s="1">
        <v>46077</v>
      </c>
      <c r="C3" t="s">
        <v>73</v>
      </c>
      <c r="D3" t="s">
        <v>28</v>
      </c>
      <c r="E3" t="s">
        <v>60</v>
      </c>
      <c r="F3">
        <v>4.18</v>
      </c>
      <c r="G3">
        <v>3.82</v>
      </c>
      <c r="H3">
        <v>61</v>
      </c>
      <c r="I3">
        <f t="shared" si="1"/>
        <v>21.959999999999994</v>
      </c>
      <c r="J3">
        <v>2</v>
      </c>
      <c r="K3">
        <f t="shared" ref="K3:K16" si="2">I3*J3</f>
        <v>43.919999999999987</v>
      </c>
      <c r="L3" t="s">
        <v>74</v>
      </c>
      <c r="M3">
        <f>SUMIF(Executions!B:B,A3,Executions!H:H)</f>
        <v>6.7100000000000195</v>
      </c>
      <c r="N3">
        <f t="shared" ref="N3:N66" si="3">M3/I3</f>
        <v>0.30555555555555652</v>
      </c>
    </row>
    <row r="4" spans="1:14" hidden="1" x14ac:dyDescent="0.25">
      <c r="A4" t="str">
        <f t="shared" si="0"/>
        <v>T-003</v>
      </c>
      <c r="B4" s="1">
        <v>46077</v>
      </c>
      <c r="C4" t="s">
        <v>75</v>
      </c>
      <c r="D4" t="s">
        <v>28</v>
      </c>
      <c r="E4" t="s">
        <v>29</v>
      </c>
      <c r="F4">
        <v>136.94</v>
      </c>
      <c r="G4">
        <v>127.28</v>
      </c>
      <c r="H4">
        <v>3</v>
      </c>
      <c r="I4">
        <f t="shared" si="1"/>
        <v>28.97999999999999</v>
      </c>
      <c r="J4">
        <v>2</v>
      </c>
      <c r="K4">
        <f t="shared" si="2"/>
        <v>57.95999999999998</v>
      </c>
      <c r="L4" t="s">
        <v>74</v>
      </c>
      <c r="M4">
        <f>SUMIF(Executions!B:B,A4,Executions!H:H)</f>
        <v>-35.010000000000005</v>
      </c>
      <c r="N4">
        <f t="shared" si="3"/>
        <v>-1.2080745341614914</v>
      </c>
    </row>
    <row r="5" spans="1:14" hidden="1" x14ac:dyDescent="0.25">
      <c r="A5" t="str">
        <f t="shared" si="0"/>
        <v>T-004</v>
      </c>
      <c r="B5" s="1">
        <v>46070</v>
      </c>
      <c r="C5" t="s">
        <v>76</v>
      </c>
      <c r="D5" t="s">
        <v>28</v>
      </c>
      <c r="E5" t="s">
        <v>29</v>
      </c>
      <c r="F5">
        <v>10.37</v>
      </c>
      <c r="G5">
        <v>9.4499999999999993</v>
      </c>
      <c r="H5">
        <v>36</v>
      </c>
      <c r="I5">
        <f t="shared" si="1"/>
        <v>33.119999999999997</v>
      </c>
      <c r="J5">
        <v>1.5</v>
      </c>
      <c r="K5">
        <f t="shared" si="2"/>
        <v>49.679999999999993</v>
      </c>
      <c r="L5" t="s">
        <v>74</v>
      </c>
      <c r="M5">
        <f>SUMIF(Executions!B:B,A5,Executions!H:H)</f>
        <v>59.310000000000031</v>
      </c>
      <c r="N5">
        <f t="shared" si="3"/>
        <v>1.7907608695652184</v>
      </c>
    </row>
    <row r="6" spans="1:14" hidden="1" x14ac:dyDescent="0.25">
      <c r="A6" t="str">
        <f t="shared" si="0"/>
        <v>T-005</v>
      </c>
      <c r="B6" s="1">
        <v>46078</v>
      </c>
      <c r="C6" t="s">
        <v>78</v>
      </c>
      <c r="D6" t="s">
        <v>28</v>
      </c>
      <c r="E6" t="s">
        <v>62</v>
      </c>
      <c r="F6">
        <v>13.39</v>
      </c>
      <c r="G6">
        <v>12.39</v>
      </c>
      <c r="H6">
        <v>19</v>
      </c>
      <c r="I6">
        <f t="shared" si="1"/>
        <v>19</v>
      </c>
      <c r="J6">
        <v>2</v>
      </c>
      <c r="K6">
        <f t="shared" si="2"/>
        <v>38</v>
      </c>
      <c r="L6" t="s">
        <v>74</v>
      </c>
      <c r="M6">
        <f>SUMIF(Executions!B:B,A6,Executions!H:H)</f>
        <v>-10.601999999999997</v>
      </c>
      <c r="N6">
        <f t="shared" si="3"/>
        <v>-0.55799999999999983</v>
      </c>
    </row>
    <row r="7" spans="1:14" hidden="1" x14ac:dyDescent="0.25">
      <c r="A7" t="str">
        <f t="shared" si="0"/>
        <v>T-006</v>
      </c>
      <c r="B7" s="1">
        <v>46079</v>
      </c>
      <c r="C7" t="s">
        <v>88</v>
      </c>
      <c r="D7" t="s">
        <v>28</v>
      </c>
      <c r="E7" t="s">
        <v>27</v>
      </c>
      <c r="F7">
        <v>92.49</v>
      </c>
      <c r="G7">
        <v>87.03</v>
      </c>
      <c r="H7">
        <v>3</v>
      </c>
      <c r="I7">
        <f t="shared" si="1"/>
        <v>16.379999999999981</v>
      </c>
      <c r="J7">
        <v>2</v>
      </c>
      <c r="K7">
        <f t="shared" si="2"/>
        <v>32.759999999999962</v>
      </c>
      <c r="L7" t="s">
        <v>74</v>
      </c>
      <c r="M7">
        <f>SUMIF(Executions!B:B,A7,Executions!H:H)</f>
        <v>-14.309999999999988</v>
      </c>
      <c r="N7">
        <f t="shared" si="3"/>
        <v>-0.87362637362637385</v>
      </c>
    </row>
    <row r="8" spans="1:14" hidden="1" x14ac:dyDescent="0.25">
      <c r="A8" t="str">
        <f t="shared" si="0"/>
        <v>T-007</v>
      </c>
      <c r="B8" s="1">
        <v>46079</v>
      </c>
      <c r="C8" t="s">
        <v>89</v>
      </c>
      <c r="D8" t="s">
        <v>28</v>
      </c>
      <c r="E8" t="s">
        <v>62</v>
      </c>
      <c r="F8">
        <v>67.819999999999993</v>
      </c>
      <c r="G8">
        <v>58.5</v>
      </c>
      <c r="H8">
        <v>3</v>
      </c>
      <c r="I8">
        <f t="shared" si="1"/>
        <v>27.95999999999998</v>
      </c>
      <c r="J8">
        <v>2</v>
      </c>
      <c r="K8">
        <f t="shared" si="2"/>
        <v>55.919999999999959</v>
      </c>
      <c r="L8" t="s">
        <v>74</v>
      </c>
      <c r="M8">
        <f>SUMIF(Executions!B:B,A8,Executions!H:H)</f>
        <v>-28.16999999999998</v>
      </c>
      <c r="N8">
        <f t="shared" si="3"/>
        <v>-1.007510729613734</v>
      </c>
    </row>
    <row r="9" spans="1:14" hidden="1" x14ac:dyDescent="0.25">
      <c r="A9" t="str">
        <f t="shared" si="0"/>
        <v>T-008</v>
      </c>
      <c r="B9" s="1">
        <v>46048</v>
      </c>
      <c r="C9" t="s">
        <v>97</v>
      </c>
      <c r="D9" t="s">
        <v>28</v>
      </c>
      <c r="E9" t="s">
        <v>60</v>
      </c>
      <c r="F9">
        <v>75.67</v>
      </c>
      <c r="G9">
        <v>73.150000000000006</v>
      </c>
      <c r="H9">
        <v>12</v>
      </c>
      <c r="I9">
        <f t="shared" si="1"/>
        <v>30.239999999999952</v>
      </c>
      <c r="J9">
        <v>2</v>
      </c>
      <c r="K9">
        <f t="shared" si="2"/>
        <v>60.479999999999905</v>
      </c>
      <c r="L9" t="s">
        <v>74</v>
      </c>
      <c r="M9">
        <f>SUMIF(Executions!B:B,A9,Executions!H:H)</f>
        <v>80.400000000000034</v>
      </c>
      <c r="N9">
        <f t="shared" si="3"/>
        <v>2.6587301587301639</v>
      </c>
    </row>
    <row r="10" spans="1:14" hidden="1" x14ac:dyDescent="0.25">
      <c r="A10" t="str">
        <f t="shared" si="0"/>
        <v>T-009</v>
      </c>
      <c r="B10" s="1">
        <v>46083</v>
      </c>
      <c r="C10" t="s">
        <v>99</v>
      </c>
      <c r="D10" t="s">
        <v>28</v>
      </c>
      <c r="E10" t="s">
        <v>60</v>
      </c>
      <c r="F10">
        <v>22.46</v>
      </c>
      <c r="G10">
        <v>19.350000000000001</v>
      </c>
      <c r="H10">
        <v>7</v>
      </c>
      <c r="I10">
        <f t="shared" si="1"/>
        <v>21.769999999999996</v>
      </c>
      <c r="J10">
        <v>2</v>
      </c>
      <c r="K10">
        <f t="shared" si="2"/>
        <v>43.539999999999992</v>
      </c>
      <c r="L10" t="s">
        <v>74</v>
      </c>
      <c r="M10">
        <f>SUMIF(Executions!B:B,A10,Executions!H:H)</f>
        <v>-25.445000000000011</v>
      </c>
      <c r="N10">
        <f t="shared" si="3"/>
        <v>-1.1688102893890682</v>
      </c>
    </row>
    <row r="11" spans="1:14" hidden="1" x14ac:dyDescent="0.25">
      <c r="A11" t="str">
        <f t="shared" si="0"/>
        <v>T-010</v>
      </c>
      <c r="B11" s="1">
        <v>46083</v>
      </c>
      <c r="C11" t="s">
        <v>100</v>
      </c>
      <c r="D11" t="s">
        <v>28</v>
      </c>
      <c r="E11" t="s">
        <v>60</v>
      </c>
      <c r="F11">
        <v>8.99</v>
      </c>
      <c r="G11">
        <v>8.16</v>
      </c>
      <c r="H11">
        <v>27</v>
      </c>
      <c r="I11">
        <f t="shared" si="1"/>
        <v>22.410000000000004</v>
      </c>
      <c r="J11">
        <v>2</v>
      </c>
      <c r="K11">
        <f t="shared" si="2"/>
        <v>44.820000000000007</v>
      </c>
      <c r="L11" t="s">
        <v>74</v>
      </c>
      <c r="M11">
        <f>SUMIF(Executions!B:B,A11,Executions!H:H)</f>
        <v>4.0500000000000096</v>
      </c>
      <c r="N11">
        <f t="shared" si="3"/>
        <v>0.18072289156626545</v>
      </c>
    </row>
    <row r="12" spans="1:14" hidden="1" x14ac:dyDescent="0.25">
      <c r="A12" t="str">
        <f t="shared" si="0"/>
        <v>T-011</v>
      </c>
      <c r="B12" s="1">
        <v>46084</v>
      </c>
      <c r="C12" s="1" t="s">
        <v>102</v>
      </c>
      <c r="D12" t="s">
        <v>28</v>
      </c>
      <c r="E12" t="s">
        <v>29</v>
      </c>
      <c r="F12">
        <v>152.16999999999999</v>
      </c>
      <c r="G12">
        <v>150.47999999999999</v>
      </c>
      <c r="H12">
        <v>6</v>
      </c>
      <c r="I12">
        <f t="shared" si="1"/>
        <v>10.139999999999986</v>
      </c>
      <c r="J12">
        <v>2</v>
      </c>
      <c r="K12">
        <f t="shared" si="2"/>
        <v>20.279999999999973</v>
      </c>
      <c r="L12" t="s">
        <v>74</v>
      </c>
      <c r="M12">
        <f>SUMIF(Executions!B:B,A12,Executions!H:H)</f>
        <v>24.42000000000013</v>
      </c>
      <c r="N12">
        <f t="shared" si="3"/>
        <v>2.4082840236686551</v>
      </c>
    </row>
    <row r="13" spans="1:14" hidden="1" x14ac:dyDescent="0.25">
      <c r="A13" t="str">
        <f t="shared" si="0"/>
        <v>T-012</v>
      </c>
      <c r="B13" s="1">
        <v>46085</v>
      </c>
      <c r="C13" t="s">
        <v>103</v>
      </c>
      <c r="D13" t="s">
        <v>28</v>
      </c>
      <c r="E13" t="s">
        <v>62</v>
      </c>
      <c r="F13">
        <v>4.2699999999999996</v>
      </c>
      <c r="G13">
        <v>3.75</v>
      </c>
      <c r="H13">
        <v>42</v>
      </c>
      <c r="I13">
        <f t="shared" si="1"/>
        <v>21.839999999999982</v>
      </c>
      <c r="J13">
        <v>2</v>
      </c>
      <c r="K13">
        <f t="shared" si="2"/>
        <v>43.679999999999964</v>
      </c>
      <c r="L13" t="s">
        <v>74</v>
      </c>
      <c r="M13">
        <f>SUMIF(Executions!B:B,A13,Executions!H:H)</f>
        <v>-24.779999999999976</v>
      </c>
      <c r="N13">
        <f t="shared" si="3"/>
        <v>-1.1346153846153844</v>
      </c>
    </row>
    <row r="14" spans="1:14" hidden="1" x14ac:dyDescent="0.25">
      <c r="A14" t="str">
        <f t="shared" si="0"/>
        <v>T-013</v>
      </c>
      <c r="B14" s="1">
        <v>46085</v>
      </c>
      <c r="C14" t="s">
        <v>104</v>
      </c>
      <c r="D14" t="s">
        <v>28</v>
      </c>
      <c r="E14" t="s">
        <v>60</v>
      </c>
      <c r="F14">
        <v>88.58</v>
      </c>
      <c r="G14">
        <v>80.95</v>
      </c>
      <c r="H14">
        <v>3</v>
      </c>
      <c r="I14">
        <f t="shared" si="1"/>
        <v>22.889999999999986</v>
      </c>
      <c r="J14">
        <v>2</v>
      </c>
      <c r="K14">
        <f t="shared" si="2"/>
        <v>45.779999999999973</v>
      </c>
      <c r="L14" t="s">
        <v>74</v>
      </c>
      <c r="M14">
        <f>SUMIF(Executions!B:B,A14,Executions!H:H)</f>
        <v>-23.430000000000007</v>
      </c>
      <c r="N14">
        <f t="shared" si="3"/>
        <v>-1.0235910878112722</v>
      </c>
    </row>
    <row r="15" spans="1:14" hidden="1" x14ac:dyDescent="0.25">
      <c r="A15" t="str">
        <f t="shared" si="0"/>
        <v>T-014</v>
      </c>
      <c r="B15" s="1">
        <v>46079</v>
      </c>
      <c r="C15" t="s">
        <v>107</v>
      </c>
      <c r="D15" t="s">
        <v>28</v>
      </c>
      <c r="E15" t="s">
        <v>62</v>
      </c>
      <c r="F15">
        <v>177.48</v>
      </c>
      <c r="G15">
        <v>166.83</v>
      </c>
      <c r="H15">
        <v>2</v>
      </c>
      <c r="I15">
        <f t="shared" si="1"/>
        <v>21.299999999999955</v>
      </c>
      <c r="J15">
        <v>2</v>
      </c>
      <c r="K15">
        <f t="shared" si="2"/>
        <v>42.599999999999909</v>
      </c>
      <c r="L15" t="s">
        <v>74</v>
      </c>
      <c r="M15">
        <f>SUMIF(Executions!B:B,A15,Executions!H:H)</f>
        <v>-21.71999999999997</v>
      </c>
      <c r="N15">
        <f t="shared" si="3"/>
        <v>-1.0197183098591558</v>
      </c>
    </row>
    <row r="16" spans="1:14" hidden="1" x14ac:dyDescent="0.25">
      <c r="A16" t="str">
        <f t="shared" si="0"/>
        <v>T-015</v>
      </c>
      <c r="B16" s="1">
        <v>46090</v>
      </c>
      <c r="C16" t="s">
        <v>112</v>
      </c>
      <c r="D16" t="s">
        <v>28</v>
      </c>
      <c r="E16" t="s">
        <v>60</v>
      </c>
      <c r="F16">
        <v>8.16</v>
      </c>
      <c r="G16">
        <v>7.84</v>
      </c>
      <c r="H16">
        <v>50</v>
      </c>
      <c r="I16">
        <f t="shared" si="1"/>
        <v>16.000000000000014</v>
      </c>
      <c r="J16">
        <v>2</v>
      </c>
      <c r="K16">
        <f t="shared" si="2"/>
        <v>32.000000000000028</v>
      </c>
      <c r="L16" t="s">
        <v>74</v>
      </c>
      <c r="M16">
        <f>SUMIF(Executions!B:B,A16,Executions!H:H)</f>
        <v>0.99999999999997868</v>
      </c>
      <c r="N16">
        <f t="shared" si="3"/>
        <v>6.2499999999998612E-2</v>
      </c>
    </row>
    <row r="17" spans="1:14" hidden="1" x14ac:dyDescent="0.25">
      <c r="A17" t="str">
        <f t="shared" si="0"/>
        <v>T-016</v>
      </c>
      <c r="B17" s="1">
        <v>46090</v>
      </c>
      <c r="C17" t="s">
        <v>113</v>
      </c>
      <c r="D17" t="s">
        <v>28</v>
      </c>
      <c r="E17" t="s">
        <v>114</v>
      </c>
      <c r="F17">
        <v>24.88</v>
      </c>
      <c r="G17">
        <v>22.31</v>
      </c>
      <c r="H17">
        <v>4</v>
      </c>
      <c r="I17">
        <f t="shared" ref="I17:I35" si="4">IF(D17="Long",(F17-G17)*H17,(G17-F17)*0)</f>
        <v>10.280000000000001</v>
      </c>
      <c r="J17">
        <v>2</v>
      </c>
      <c r="K17">
        <f t="shared" ref="K17:K26" si="5">I17*J17</f>
        <v>20.560000000000002</v>
      </c>
      <c r="L17" t="s">
        <v>74</v>
      </c>
      <c r="M17">
        <f>SUMIF(Executions!B:B,A17,Executions!H:H)</f>
        <v>-9.5600000000000023</v>
      </c>
      <c r="N17">
        <f t="shared" si="3"/>
        <v>-0.92996108949416356</v>
      </c>
    </row>
    <row r="18" spans="1:14" hidden="1" x14ac:dyDescent="0.25">
      <c r="A18" t="str">
        <f t="shared" si="0"/>
        <v>T-017</v>
      </c>
      <c r="B18" s="1">
        <v>46091</v>
      </c>
      <c r="C18" t="s">
        <v>97</v>
      </c>
      <c r="D18" t="s">
        <v>28</v>
      </c>
      <c r="E18" t="s">
        <v>55</v>
      </c>
      <c r="F18">
        <v>77.150000000000006</v>
      </c>
      <c r="G18">
        <v>74.31</v>
      </c>
      <c r="H18">
        <v>20</v>
      </c>
      <c r="I18">
        <f t="shared" si="4"/>
        <v>56.800000000000068</v>
      </c>
      <c r="J18">
        <v>2</v>
      </c>
      <c r="K18">
        <f t="shared" si="5"/>
        <v>113.60000000000014</v>
      </c>
      <c r="L18" t="s">
        <v>74</v>
      </c>
      <c r="M18">
        <f>SUMIF(Executions!B:B,A18,Executions!H:H)</f>
        <v>-83.800000000000239</v>
      </c>
      <c r="N18">
        <f t="shared" si="3"/>
        <v>-1.4753521126760587</v>
      </c>
    </row>
    <row r="19" spans="1:14" hidden="1" x14ac:dyDescent="0.25">
      <c r="A19" t="str">
        <f t="shared" si="0"/>
        <v>T-018</v>
      </c>
      <c r="B19" s="1">
        <v>46098</v>
      </c>
      <c r="C19" t="s">
        <v>120</v>
      </c>
      <c r="D19" t="s">
        <v>28</v>
      </c>
      <c r="E19" t="s">
        <v>121</v>
      </c>
      <c r="F19">
        <v>162.47999999999999</v>
      </c>
      <c r="G19">
        <v>156.29</v>
      </c>
      <c r="H19">
        <v>3</v>
      </c>
      <c r="I19">
        <f t="shared" si="4"/>
        <v>18.569999999999993</v>
      </c>
      <c r="J19">
        <v>2</v>
      </c>
      <c r="K19">
        <f t="shared" si="5"/>
        <v>37.139999999999986</v>
      </c>
      <c r="L19" t="s">
        <v>74</v>
      </c>
      <c r="M19">
        <f>SUMIF(Executions!B:B,A19,Executions!H:H)</f>
        <v>-19.70999999999998</v>
      </c>
      <c r="N19">
        <f t="shared" si="3"/>
        <v>-1.0613893376413563</v>
      </c>
    </row>
    <row r="20" spans="1:14" hidden="1" x14ac:dyDescent="0.25">
      <c r="A20" t="str">
        <f t="shared" si="0"/>
        <v>T-019</v>
      </c>
      <c r="B20" s="1">
        <v>46079</v>
      </c>
      <c r="C20" t="s">
        <v>122</v>
      </c>
      <c r="D20" t="s">
        <v>28</v>
      </c>
      <c r="E20" t="s">
        <v>62</v>
      </c>
      <c r="F20">
        <v>20.83</v>
      </c>
      <c r="G20">
        <v>16.91</v>
      </c>
      <c r="H20">
        <v>8</v>
      </c>
      <c r="I20">
        <f t="shared" si="4"/>
        <v>31.359999999999985</v>
      </c>
      <c r="J20">
        <v>2</v>
      </c>
      <c r="K20">
        <f t="shared" si="5"/>
        <v>62.71999999999997</v>
      </c>
      <c r="L20" t="s">
        <v>74</v>
      </c>
      <c r="M20">
        <f>SUMIF(Executions!B:B,A20,Executions!H:H)</f>
        <v>-31.359999999999985</v>
      </c>
      <c r="N20">
        <f t="shared" si="3"/>
        <v>-1</v>
      </c>
    </row>
    <row r="21" spans="1:14" hidden="1" x14ac:dyDescent="0.25">
      <c r="A21" t="str">
        <f t="shared" si="0"/>
        <v>T-020</v>
      </c>
      <c r="B21" s="1">
        <v>46100</v>
      </c>
      <c r="C21" t="s">
        <v>125</v>
      </c>
      <c r="D21" t="s">
        <v>28</v>
      </c>
      <c r="E21" t="s">
        <v>60</v>
      </c>
      <c r="F21">
        <v>58.85</v>
      </c>
      <c r="G21">
        <v>57.24</v>
      </c>
      <c r="H21">
        <v>4</v>
      </c>
      <c r="I21">
        <f t="shared" si="4"/>
        <v>6.4399999999999977</v>
      </c>
      <c r="J21">
        <v>2</v>
      </c>
      <c r="K21">
        <f t="shared" si="5"/>
        <v>12.879999999999995</v>
      </c>
      <c r="L21" t="s">
        <v>74</v>
      </c>
      <c r="M21">
        <f>SUMIF(Executions!B:B,A21,Executions!H:H)</f>
        <v>36.119999999999976</v>
      </c>
      <c r="N21">
        <f t="shared" si="3"/>
        <v>5.6086956521739113</v>
      </c>
    </row>
    <row r="22" spans="1:14" hidden="1" x14ac:dyDescent="0.25">
      <c r="A22" t="str">
        <f t="shared" si="0"/>
        <v>T-021</v>
      </c>
      <c r="B22" s="1">
        <v>46106</v>
      </c>
      <c r="C22" t="s">
        <v>130</v>
      </c>
      <c r="D22" t="s">
        <v>28</v>
      </c>
      <c r="E22" t="s">
        <v>60</v>
      </c>
      <c r="F22">
        <v>215.7</v>
      </c>
      <c r="G22">
        <v>208.95</v>
      </c>
      <c r="H22">
        <v>2</v>
      </c>
      <c r="I22">
        <f t="shared" si="4"/>
        <v>13.5</v>
      </c>
      <c r="J22">
        <v>1</v>
      </c>
      <c r="K22">
        <f t="shared" si="5"/>
        <v>13.5</v>
      </c>
      <c r="L22" t="s">
        <v>74</v>
      </c>
      <c r="M22">
        <f>SUMIF(Executions!B:B,A22,Executions!H:H)</f>
        <v>15.620000000000005</v>
      </c>
      <c r="N22">
        <f t="shared" si="3"/>
        <v>1.1570370370370373</v>
      </c>
    </row>
    <row r="23" spans="1:14" hidden="1" x14ac:dyDescent="0.25">
      <c r="A23" t="str">
        <f t="shared" si="0"/>
        <v>T-022</v>
      </c>
      <c r="B23" s="1">
        <v>46106</v>
      </c>
      <c r="C23" t="s">
        <v>131</v>
      </c>
      <c r="D23" t="s">
        <v>28</v>
      </c>
      <c r="E23" t="s">
        <v>62</v>
      </c>
      <c r="F23">
        <v>46.58</v>
      </c>
      <c r="G23">
        <v>45.93</v>
      </c>
      <c r="H23">
        <v>3</v>
      </c>
      <c r="I23">
        <f t="shared" si="4"/>
        <v>1.9499999999999957</v>
      </c>
      <c r="J23">
        <v>1</v>
      </c>
      <c r="K23">
        <f t="shared" si="5"/>
        <v>1.9499999999999957</v>
      </c>
      <c r="L23" t="s">
        <v>74</v>
      </c>
      <c r="M23">
        <f>SUMIF(Executions!B:B,A23,Executions!H:H)</f>
        <v>2.5799999999999983</v>
      </c>
      <c r="N23">
        <f t="shared" si="3"/>
        <v>1.323076923076925</v>
      </c>
    </row>
    <row r="24" spans="1:14" hidden="1" x14ac:dyDescent="0.25">
      <c r="A24" t="str">
        <f t="shared" si="0"/>
        <v>T-023</v>
      </c>
      <c r="B24" s="1">
        <v>46106</v>
      </c>
      <c r="C24" t="s">
        <v>132</v>
      </c>
      <c r="D24" t="s">
        <v>28</v>
      </c>
      <c r="E24" t="s">
        <v>60</v>
      </c>
      <c r="F24">
        <v>217.51</v>
      </c>
      <c r="G24">
        <v>216.51</v>
      </c>
      <c r="H24">
        <v>3</v>
      </c>
      <c r="I24">
        <f t="shared" si="4"/>
        <v>3</v>
      </c>
      <c r="J24">
        <v>1</v>
      </c>
      <c r="K24">
        <f t="shared" si="5"/>
        <v>3</v>
      </c>
      <c r="L24" t="s">
        <v>74</v>
      </c>
      <c r="M24">
        <f>SUMIF(Executions!B:B,A24,Executions!H:H)</f>
        <v>3.9800000000000182</v>
      </c>
      <c r="N24">
        <f t="shared" si="3"/>
        <v>1.3266666666666727</v>
      </c>
    </row>
    <row r="25" spans="1:14" hidden="1" x14ac:dyDescent="0.25">
      <c r="A25" t="str">
        <f t="shared" si="0"/>
        <v>T-024</v>
      </c>
      <c r="B25" s="1">
        <v>46107</v>
      </c>
      <c r="C25" t="s">
        <v>135</v>
      </c>
      <c r="D25" t="s">
        <v>28</v>
      </c>
      <c r="E25" t="s">
        <v>60</v>
      </c>
      <c r="F25">
        <v>64.56</v>
      </c>
      <c r="G25">
        <v>63.69</v>
      </c>
      <c r="H25">
        <v>3</v>
      </c>
      <c r="I25">
        <f t="shared" si="4"/>
        <v>2.6100000000000136</v>
      </c>
      <c r="J25">
        <v>2</v>
      </c>
      <c r="K25">
        <f t="shared" si="5"/>
        <v>5.2200000000000273</v>
      </c>
      <c r="L25" t="s">
        <v>74</v>
      </c>
      <c r="M25">
        <f>SUMIF(Executions!B:B,A25,Executions!H:H)</f>
        <v>-2.5500000000000043</v>
      </c>
      <c r="N25">
        <f t="shared" si="3"/>
        <v>-0.97701149425287004</v>
      </c>
    </row>
    <row r="26" spans="1:14" hidden="1" x14ac:dyDescent="0.25">
      <c r="A26" t="str">
        <f t="shared" si="0"/>
        <v>T-025</v>
      </c>
      <c r="B26" s="1">
        <v>46107</v>
      </c>
      <c r="C26" t="s">
        <v>137</v>
      </c>
      <c r="D26" t="s">
        <v>28</v>
      </c>
      <c r="E26" t="s">
        <v>60</v>
      </c>
      <c r="F26">
        <v>159.59</v>
      </c>
      <c r="G26">
        <v>157.08000000000001</v>
      </c>
      <c r="H26">
        <v>2</v>
      </c>
      <c r="I26">
        <f t="shared" si="4"/>
        <v>5.0199999999999818</v>
      </c>
      <c r="J26">
        <v>2</v>
      </c>
      <c r="K26">
        <f t="shared" si="5"/>
        <v>10.039999999999964</v>
      </c>
      <c r="L26" t="s">
        <v>74</v>
      </c>
      <c r="M26">
        <f>SUMIF(Executions!B:B,A26,Executions!H:H)</f>
        <v>-4.8799999999999955</v>
      </c>
      <c r="N26">
        <f t="shared" si="3"/>
        <v>-0.97211155378486314</v>
      </c>
    </row>
    <row r="27" spans="1:14" hidden="1" x14ac:dyDescent="0.25">
      <c r="A27" t="str">
        <f t="shared" si="0"/>
        <v>T-026</v>
      </c>
      <c r="B27" s="1">
        <v>46107</v>
      </c>
      <c r="C27" t="s">
        <v>138</v>
      </c>
      <c r="D27" t="s">
        <v>28</v>
      </c>
      <c r="E27" t="s">
        <v>60</v>
      </c>
      <c r="F27">
        <v>63.01</v>
      </c>
      <c r="G27">
        <v>61.7</v>
      </c>
      <c r="H27">
        <v>3</v>
      </c>
      <c r="I27">
        <f t="shared" si="4"/>
        <v>3.9299999999999855</v>
      </c>
      <c r="J27">
        <v>1</v>
      </c>
      <c r="K27">
        <f t="shared" ref="K27:K31" si="6">I27*J27</f>
        <v>3.9299999999999855</v>
      </c>
      <c r="L27" t="s">
        <v>74</v>
      </c>
      <c r="M27">
        <f>SUMIF(Executions!B:B,A27,Executions!H:H)</f>
        <v>3.1500000000000128</v>
      </c>
      <c r="N27">
        <f t="shared" si="3"/>
        <v>0.80152671755725813</v>
      </c>
    </row>
    <row r="28" spans="1:14" hidden="1" x14ac:dyDescent="0.25">
      <c r="A28" t="str">
        <f t="shared" si="0"/>
        <v>T-027</v>
      </c>
      <c r="B28" s="1">
        <v>46107</v>
      </c>
      <c r="C28" t="s">
        <v>140</v>
      </c>
      <c r="D28" t="s">
        <v>28</v>
      </c>
      <c r="E28" t="s">
        <v>60</v>
      </c>
      <c r="F28">
        <v>166.95</v>
      </c>
      <c r="G28">
        <v>159.75</v>
      </c>
      <c r="H28">
        <v>2</v>
      </c>
      <c r="I28">
        <f t="shared" si="4"/>
        <v>14.399999999999977</v>
      </c>
      <c r="J28">
        <v>2</v>
      </c>
      <c r="K28">
        <f t="shared" si="6"/>
        <v>28.799999999999955</v>
      </c>
      <c r="L28" t="s">
        <v>74</v>
      </c>
      <c r="M28">
        <f>SUMIF(Executions!B:B,A28,Executions!H:H)</f>
        <v>45.740000000000009</v>
      </c>
      <c r="N28">
        <f t="shared" si="3"/>
        <v>3.1763888888888947</v>
      </c>
    </row>
    <row r="29" spans="1:14" hidden="1" x14ac:dyDescent="0.25">
      <c r="A29" t="str">
        <f t="shared" si="0"/>
        <v>T-028</v>
      </c>
      <c r="B29" s="1">
        <v>46107</v>
      </c>
      <c r="C29" t="s">
        <v>137</v>
      </c>
      <c r="D29" t="s">
        <v>28</v>
      </c>
      <c r="E29" t="s">
        <v>60</v>
      </c>
      <c r="F29">
        <v>157.47</v>
      </c>
      <c r="G29">
        <v>155.03</v>
      </c>
      <c r="H29">
        <v>2</v>
      </c>
      <c r="I29">
        <f t="shared" si="4"/>
        <v>4.8799999999999955</v>
      </c>
      <c r="J29">
        <v>1</v>
      </c>
      <c r="K29">
        <f t="shared" si="6"/>
        <v>4.8799999999999955</v>
      </c>
      <c r="L29" t="s">
        <v>74</v>
      </c>
      <c r="M29">
        <f>SUMIF(Executions!B:B,A29,Executions!H:H)</f>
        <v>-3.3799999999999955</v>
      </c>
      <c r="N29">
        <f t="shared" si="3"/>
        <v>-0.69262295081967185</v>
      </c>
    </row>
    <row r="30" spans="1:14" hidden="1" x14ac:dyDescent="0.25">
      <c r="A30" t="str">
        <f t="shared" si="0"/>
        <v>T-029</v>
      </c>
      <c r="B30" s="1">
        <v>46108</v>
      </c>
      <c r="C30" t="s">
        <v>143</v>
      </c>
      <c r="D30" t="s">
        <v>28</v>
      </c>
      <c r="E30" t="s">
        <v>60</v>
      </c>
      <c r="F30">
        <v>54.44</v>
      </c>
      <c r="G30">
        <v>53.43</v>
      </c>
      <c r="H30">
        <v>4</v>
      </c>
      <c r="I30">
        <f t="shared" si="4"/>
        <v>4.039999999999992</v>
      </c>
      <c r="J30">
        <v>1</v>
      </c>
      <c r="K30">
        <f t="shared" si="6"/>
        <v>4.039999999999992</v>
      </c>
      <c r="L30" t="s">
        <v>74</v>
      </c>
      <c r="M30">
        <f>SUMIF(Executions!B:B,A30,Executions!H:H)</f>
        <v>-4.7199999999999989</v>
      </c>
      <c r="N30">
        <f t="shared" si="3"/>
        <v>-1.1683168316831702</v>
      </c>
    </row>
    <row r="31" spans="1:14" hidden="1" x14ac:dyDescent="0.25">
      <c r="A31" t="str">
        <f t="shared" si="0"/>
        <v>T-030</v>
      </c>
      <c r="B31" s="1">
        <v>46108</v>
      </c>
      <c r="C31" t="s">
        <v>145</v>
      </c>
      <c r="D31" t="s">
        <v>28</v>
      </c>
      <c r="E31" t="s">
        <v>52</v>
      </c>
      <c r="F31">
        <v>544.05999999999995</v>
      </c>
      <c r="G31">
        <v>535.73</v>
      </c>
      <c r="H31">
        <v>2</v>
      </c>
      <c r="I31">
        <f t="shared" si="4"/>
        <v>16.659999999999854</v>
      </c>
      <c r="J31">
        <v>1</v>
      </c>
      <c r="K31">
        <f t="shared" si="6"/>
        <v>16.659999999999854</v>
      </c>
      <c r="L31" t="s">
        <v>74</v>
      </c>
      <c r="M31">
        <f>SUMIF(Executions!B:B,A31,Executions!H:H)</f>
        <v>-26.839999999999918</v>
      </c>
      <c r="N31">
        <f t="shared" si="3"/>
        <v>-1.6110444177671159</v>
      </c>
    </row>
    <row r="32" spans="1:14" hidden="1" x14ac:dyDescent="0.25">
      <c r="A32" t="str">
        <f t="shared" si="0"/>
        <v>T-031</v>
      </c>
      <c r="B32" s="1">
        <v>46108</v>
      </c>
      <c r="C32" t="s">
        <v>147</v>
      </c>
      <c r="D32" t="s">
        <v>28</v>
      </c>
      <c r="E32" t="s">
        <v>60</v>
      </c>
      <c r="F32">
        <v>123.25</v>
      </c>
      <c r="G32">
        <v>120.99</v>
      </c>
      <c r="H32">
        <v>3</v>
      </c>
      <c r="I32">
        <f t="shared" si="4"/>
        <v>6.7800000000000153</v>
      </c>
      <c r="J32">
        <v>1.5</v>
      </c>
      <c r="K32">
        <f t="shared" ref="K32:K42" si="7">I32*J32</f>
        <v>10.170000000000023</v>
      </c>
      <c r="L32" t="s">
        <v>74</v>
      </c>
      <c r="M32">
        <f>SUMIF(Executions!B:B,A32,Executions!H:H)</f>
        <v>3.1800000000000068</v>
      </c>
      <c r="N32">
        <f t="shared" si="3"/>
        <v>0.46902654867256632</v>
      </c>
    </row>
    <row r="33" spans="1:14" hidden="1" x14ac:dyDescent="0.25">
      <c r="A33" t="str">
        <f t="shared" si="0"/>
        <v>T-032</v>
      </c>
      <c r="B33" s="1">
        <v>46108</v>
      </c>
      <c r="C33" t="s">
        <v>149</v>
      </c>
      <c r="D33" t="s">
        <v>28</v>
      </c>
      <c r="E33" t="s">
        <v>27</v>
      </c>
      <c r="F33">
        <v>62.92</v>
      </c>
      <c r="G33">
        <v>61.92</v>
      </c>
      <c r="H33">
        <v>3</v>
      </c>
      <c r="I33">
        <f t="shared" si="4"/>
        <v>3</v>
      </c>
      <c r="J33">
        <v>2</v>
      </c>
      <c r="K33">
        <f t="shared" si="7"/>
        <v>6</v>
      </c>
      <c r="L33" t="s">
        <v>74</v>
      </c>
      <c r="M33">
        <f>SUMIF(Executions!B:B,A33,Executions!H:H)</f>
        <v>7.9799999999999898</v>
      </c>
      <c r="N33">
        <f t="shared" si="3"/>
        <v>2.6599999999999966</v>
      </c>
    </row>
    <row r="34" spans="1:14" hidden="1" x14ac:dyDescent="0.25">
      <c r="A34" t="str">
        <f t="shared" si="0"/>
        <v>T-033</v>
      </c>
      <c r="B34" s="1">
        <v>46112</v>
      </c>
      <c r="C34" t="s">
        <v>152</v>
      </c>
      <c r="D34" t="s">
        <v>28</v>
      </c>
      <c r="E34" t="s">
        <v>121</v>
      </c>
      <c r="F34">
        <v>13.07</v>
      </c>
      <c r="G34">
        <v>12.24</v>
      </c>
      <c r="H34">
        <v>14</v>
      </c>
      <c r="I34">
        <f t="shared" si="4"/>
        <v>11.620000000000001</v>
      </c>
      <c r="J34">
        <v>1</v>
      </c>
      <c r="K34">
        <f t="shared" si="7"/>
        <v>11.620000000000001</v>
      </c>
      <c r="L34" t="s">
        <v>74</v>
      </c>
      <c r="M34">
        <f>SUMIF(Executions!B:B,A34,Executions!H:H)</f>
        <v>27.93</v>
      </c>
      <c r="N34">
        <f t="shared" si="3"/>
        <v>2.403614457831325</v>
      </c>
    </row>
    <row r="35" spans="1:14" hidden="1" x14ac:dyDescent="0.25">
      <c r="A35" t="str">
        <f t="shared" si="0"/>
        <v>T-034</v>
      </c>
      <c r="B35" s="1">
        <v>46112</v>
      </c>
      <c r="C35" t="s">
        <v>153</v>
      </c>
      <c r="D35" t="s">
        <v>28</v>
      </c>
      <c r="E35" t="s">
        <v>60</v>
      </c>
      <c r="F35">
        <v>58.53</v>
      </c>
      <c r="G35">
        <v>57.53</v>
      </c>
      <c r="H35">
        <v>4</v>
      </c>
      <c r="I35">
        <f t="shared" si="4"/>
        <v>4</v>
      </c>
      <c r="J35">
        <v>1</v>
      </c>
      <c r="K35">
        <f t="shared" si="7"/>
        <v>4</v>
      </c>
      <c r="L35" t="s">
        <v>74</v>
      </c>
      <c r="M35">
        <f>SUMIF(Executions!B:B,A35,Executions!H:H)</f>
        <v>-3.9200000000000159</v>
      </c>
      <c r="N35">
        <f t="shared" si="3"/>
        <v>-0.98000000000000398</v>
      </c>
    </row>
    <row r="36" spans="1:14" hidden="1" x14ac:dyDescent="0.25">
      <c r="A36" t="str">
        <f t="shared" si="0"/>
        <v>T-035</v>
      </c>
      <c r="B36" s="1">
        <v>46112</v>
      </c>
      <c r="C36" t="s">
        <v>120</v>
      </c>
      <c r="D36" t="s">
        <v>28</v>
      </c>
      <c r="E36" t="s">
        <v>121</v>
      </c>
      <c r="F36">
        <v>156.61000000000001</v>
      </c>
      <c r="G36">
        <v>153.01</v>
      </c>
      <c r="H36">
        <v>3</v>
      </c>
      <c r="I36">
        <f t="shared" ref="I36:I65" si="8">IF(D36="Long",(F36-G36)*H36,(G36-F36)*0)</f>
        <v>10.800000000000068</v>
      </c>
      <c r="J36">
        <v>1</v>
      </c>
      <c r="K36">
        <f t="shared" si="7"/>
        <v>10.800000000000068</v>
      </c>
      <c r="L36" t="s">
        <v>74</v>
      </c>
      <c r="M36">
        <f>SUMIF(Executions!B:B,A36,Executions!H:H)</f>
        <v>-11.04000000000002</v>
      </c>
      <c r="N36">
        <f t="shared" si="3"/>
        <v>-1.0222222222222177</v>
      </c>
    </row>
    <row r="37" spans="1:14" hidden="1" x14ac:dyDescent="0.25">
      <c r="A37" t="str">
        <f t="shared" si="0"/>
        <v>T-036</v>
      </c>
      <c r="B37" s="1">
        <v>46113</v>
      </c>
      <c r="C37" t="s">
        <v>155</v>
      </c>
      <c r="D37" t="s">
        <v>28</v>
      </c>
      <c r="E37" t="s">
        <v>121</v>
      </c>
      <c r="F37">
        <v>1.69</v>
      </c>
      <c r="G37">
        <v>1.58</v>
      </c>
      <c r="H37">
        <v>100</v>
      </c>
      <c r="I37">
        <f t="shared" si="8"/>
        <v>10.999999999999988</v>
      </c>
      <c r="J37">
        <v>1</v>
      </c>
      <c r="K37">
        <f t="shared" si="7"/>
        <v>10.999999999999988</v>
      </c>
      <c r="L37" t="s">
        <v>74</v>
      </c>
      <c r="M37">
        <f>SUMIF(Executions!B:B,A37,Executions!H:H)</f>
        <v>-10.999999999999988</v>
      </c>
      <c r="N37">
        <f t="shared" si="3"/>
        <v>-1</v>
      </c>
    </row>
    <row r="38" spans="1:14" hidden="1" x14ac:dyDescent="0.25">
      <c r="A38" t="str">
        <f t="shared" si="0"/>
        <v>T-037</v>
      </c>
      <c r="B38" s="1">
        <v>46113</v>
      </c>
      <c r="C38" t="s">
        <v>156</v>
      </c>
      <c r="D38" t="s">
        <v>28</v>
      </c>
      <c r="E38" t="s">
        <v>121</v>
      </c>
      <c r="F38">
        <v>292.51</v>
      </c>
      <c r="G38">
        <v>291.02</v>
      </c>
      <c r="H38">
        <v>2</v>
      </c>
      <c r="I38">
        <f t="shared" si="8"/>
        <v>2.9800000000000182</v>
      </c>
      <c r="J38">
        <v>1</v>
      </c>
      <c r="K38">
        <f t="shared" si="7"/>
        <v>2.9800000000000182</v>
      </c>
      <c r="L38" t="s">
        <v>74</v>
      </c>
      <c r="M38">
        <f>SUMIF(Executions!B:B,A38,Executions!H:H)</f>
        <v>4.32000000000005</v>
      </c>
      <c r="N38">
        <f t="shared" si="3"/>
        <v>1.4496644295302092</v>
      </c>
    </row>
    <row r="39" spans="1:14" hidden="1" x14ac:dyDescent="0.25">
      <c r="A39" t="str">
        <f t="shared" si="0"/>
        <v>T-038</v>
      </c>
      <c r="B39" s="1">
        <v>46114</v>
      </c>
      <c r="C39" t="s">
        <v>159</v>
      </c>
      <c r="D39" t="s">
        <v>28</v>
      </c>
      <c r="E39" t="s">
        <v>121</v>
      </c>
      <c r="F39">
        <v>165.58</v>
      </c>
      <c r="G39">
        <v>163.58000000000001</v>
      </c>
      <c r="H39">
        <v>2</v>
      </c>
      <c r="I39">
        <f t="shared" si="8"/>
        <v>4</v>
      </c>
      <c r="J39">
        <v>1</v>
      </c>
      <c r="K39">
        <f t="shared" si="7"/>
        <v>4</v>
      </c>
      <c r="L39" t="s">
        <v>74</v>
      </c>
      <c r="M39">
        <f>SUMIF(Executions!B:B,A39,Executions!H:H)</f>
        <v>-4</v>
      </c>
      <c r="N39">
        <f t="shared" si="3"/>
        <v>-1</v>
      </c>
    </row>
    <row r="40" spans="1:14" hidden="1" x14ac:dyDescent="0.25">
      <c r="A40" t="str">
        <f t="shared" si="0"/>
        <v>T-039</v>
      </c>
      <c r="B40" s="1">
        <v>46114</v>
      </c>
      <c r="C40" t="s">
        <v>161</v>
      </c>
      <c r="D40" t="s">
        <v>28</v>
      </c>
      <c r="E40" t="s">
        <v>60</v>
      </c>
      <c r="F40">
        <v>1</v>
      </c>
      <c r="G40">
        <v>0.89339999999999997</v>
      </c>
      <c r="H40">
        <v>50</v>
      </c>
      <c r="I40">
        <f t="shared" si="8"/>
        <v>5.3300000000000018</v>
      </c>
      <c r="J40">
        <v>1</v>
      </c>
      <c r="K40">
        <f t="shared" si="7"/>
        <v>5.3300000000000018</v>
      </c>
      <c r="L40" t="s">
        <v>74</v>
      </c>
      <c r="M40">
        <f>SUMIF(Executions!B:B,A40,Executions!H:H)</f>
        <v>-6</v>
      </c>
      <c r="N40">
        <f t="shared" si="3"/>
        <v>-1.1257035647279545</v>
      </c>
    </row>
    <row r="41" spans="1:14" hidden="1" x14ac:dyDescent="0.25">
      <c r="A41" t="str">
        <f t="shared" si="0"/>
        <v>T-040</v>
      </c>
      <c r="B41" s="1">
        <v>46114</v>
      </c>
      <c r="C41" t="s">
        <v>97</v>
      </c>
      <c r="D41" t="s">
        <v>28</v>
      </c>
      <c r="E41" t="s">
        <v>121</v>
      </c>
      <c r="F41">
        <v>72.180000000000007</v>
      </c>
      <c r="G41">
        <v>70.77</v>
      </c>
      <c r="H41">
        <v>6</v>
      </c>
      <c r="I41">
        <f t="shared" si="8"/>
        <v>8.4600000000000648</v>
      </c>
      <c r="J41">
        <v>2</v>
      </c>
      <c r="K41">
        <f t="shared" si="7"/>
        <v>16.92000000000013</v>
      </c>
      <c r="L41" t="s">
        <v>74</v>
      </c>
      <c r="M41">
        <f>SUMIF(Executions!B:B,A41,Executions!H:H)</f>
        <v>22.599999999999966</v>
      </c>
      <c r="N41">
        <f t="shared" si="3"/>
        <v>2.6713947990543492</v>
      </c>
    </row>
    <row r="42" spans="1:14" hidden="1" x14ac:dyDescent="0.25">
      <c r="A42" t="str">
        <f t="shared" si="0"/>
        <v>T-041</v>
      </c>
      <c r="B42" s="1">
        <v>46118</v>
      </c>
      <c r="C42" t="s">
        <v>163</v>
      </c>
      <c r="D42" t="s">
        <v>28</v>
      </c>
      <c r="E42" t="s">
        <v>60</v>
      </c>
      <c r="F42">
        <v>51.72</v>
      </c>
      <c r="G42">
        <v>50.62</v>
      </c>
      <c r="H42">
        <v>4</v>
      </c>
      <c r="I42">
        <f t="shared" si="8"/>
        <v>4.4000000000000057</v>
      </c>
      <c r="J42">
        <v>1</v>
      </c>
      <c r="K42">
        <f t="shared" si="7"/>
        <v>4.4000000000000057</v>
      </c>
      <c r="L42" t="s">
        <v>74</v>
      </c>
      <c r="M42">
        <f>SUMIF(Executions!B:B,A42,Executions!H:H)</f>
        <v>-4.4000000000000057</v>
      </c>
      <c r="N42">
        <f t="shared" si="3"/>
        <v>-1</v>
      </c>
    </row>
    <row r="43" spans="1:14" hidden="1" x14ac:dyDescent="0.25">
      <c r="A43" t="str">
        <f t="shared" si="0"/>
        <v>T-042</v>
      </c>
      <c r="B43" s="1">
        <v>46118</v>
      </c>
      <c r="C43" t="s">
        <v>163</v>
      </c>
      <c r="D43" t="s">
        <v>28</v>
      </c>
      <c r="E43" t="s">
        <v>60</v>
      </c>
      <c r="F43">
        <v>50.72</v>
      </c>
      <c r="G43">
        <v>50.01</v>
      </c>
      <c r="H43">
        <v>4</v>
      </c>
      <c r="I43">
        <f t="shared" si="8"/>
        <v>2.8400000000000034</v>
      </c>
      <c r="J43">
        <v>2</v>
      </c>
      <c r="K43">
        <f t="shared" ref="K43:K60" si="9">I43*J43</f>
        <v>5.6800000000000068</v>
      </c>
      <c r="L43" t="s">
        <v>74</v>
      </c>
      <c r="M43">
        <f>SUMIF(Executions!B:B,A43,Executions!H:H)</f>
        <v>-2.960000000000008</v>
      </c>
      <c r="N43">
        <f t="shared" si="3"/>
        <v>-1.0422535211267621</v>
      </c>
    </row>
    <row r="44" spans="1:14" hidden="1" x14ac:dyDescent="0.25">
      <c r="A44" t="str">
        <f t="shared" si="0"/>
        <v>T-043</v>
      </c>
      <c r="B44" s="1">
        <v>46120</v>
      </c>
      <c r="C44" t="s">
        <v>166</v>
      </c>
      <c r="D44" t="s">
        <v>28</v>
      </c>
      <c r="E44" t="s">
        <v>121</v>
      </c>
      <c r="F44">
        <v>184.69</v>
      </c>
      <c r="G44">
        <v>181.69</v>
      </c>
      <c r="H44">
        <v>3</v>
      </c>
      <c r="I44">
        <f t="shared" si="8"/>
        <v>9</v>
      </c>
      <c r="J44">
        <v>1</v>
      </c>
      <c r="K44">
        <f t="shared" si="9"/>
        <v>9</v>
      </c>
      <c r="L44" t="s">
        <v>74</v>
      </c>
      <c r="M44">
        <f>SUMIF(Executions!B:B,A44,Executions!H:H)</f>
        <v>-9.0299999999999727</v>
      </c>
      <c r="N44">
        <f t="shared" si="3"/>
        <v>-1.0033333333333303</v>
      </c>
    </row>
    <row r="45" spans="1:14" hidden="1" x14ac:dyDescent="0.25">
      <c r="A45" t="str">
        <f t="shared" si="0"/>
        <v>T-044</v>
      </c>
      <c r="B45" s="1">
        <v>46120</v>
      </c>
      <c r="C45" t="s">
        <v>166</v>
      </c>
      <c r="D45" t="s">
        <v>28</v>
      </c>
      <c r="E45" t="s">
        <v>121</v>
      </c>
      <c r="F45">
        <v>182.13</v>
      </c>
      <c r="G45">
        <v>181.09</v>
      </c>
      <c r="H45">
        <v>3</v>
      </c>
      <c r="I45">
        <f t="shared" si="8"/>
        <v>3.1199999999999761</v>
      </c>
      <c r="J45">
        <v>1</v>
      </c>
      <c r="K45">
        <f t="shared" si="9"/>
        <v>3.1199999999999761</v>
      </c>
      <c r="L45" t="s">
        <v>74</v>
      </c>
      <c r="M45">
        <f>SUMIF(Executions!B:B,A45,Executions!H:H)</f>
        <v>-3.1499999999999488</v>
      </c>
      <c r="N45">
        <f t="shared" si="3"/>
        <v>-1.0096153846153759</v>
      </c>
    </row>
    <row r="46" spans="1:14" hidden="1" x14ac:dyDescent="0.25">
      <c r="A46" t="str">
        <f t="shared" si="0"/>
        <v>T-045</v>
      </c>
      <c r="B46" s="1">
        <v>46120</v>
      </c>
      <c r="C46" t="s">
        <v>166</v>
      </c>
      <c r="D46" t="s">
        <v>28</v>
      </c>
      <c r="E46" t="s">
        <v>121</v>
      </c>
      <c r="F46">
        <v>181.57</v>
      </c>
      <c r="G46">
        <v>180.17</v>
      </c>
      <c r="H46">
        <v>3</v>
      </c>
      <c r="I46">
        <f t="shared" si="8"/>
        <v>4.2000000000000171</v>
      </c>
      <c r="J46">
        <v>2</v>
      </c>
      <c r="K46">
        <f t="shared" si="9"/>
        <v>8.4000000000000341</v>
      </c>
      <c r="L46" t="s">
        <v>74</v>
      </c>
      <c r="M46">
        <f>SUMIF(Executions!B:B,A46,Executions!H:H)</f>
        <v>20.670000000000044</v>
      </c>
      <c r="N46">
        <f t="shared" si="3"/>
        <v>4.9214285714285619</v>
      </c>
    </row>
    <row r="47" spans="1:14" hidden="1" x14ac:dyDescent="0.25">
      <c r="A47" t="str">
        <f t="shared" si="0"/>
        <v>T-046</v>
      </c>
      <c r="B47" s="1">
        <v>46121</v>
      </c>
      <c r="C47" t="s">
        <v>169</v>
      </c>
      <c r="D47" t="s">
        <v>28</v>
      </c>
      <c r="E47" t="s">
        <v>121</v>
      </c>
      <c r="F47">
        <v>30.82</v>
      </c>
      <c r="G47">
        <v>30.34</v>
      </c>
      <c r="H47">
        <v>40</v>
      </c>
      <c r="I47">
        <f t="shared" si="8"/>
        <v>19.200000000000017</v>
      </c>
      <c r="J47">
        <v>1</v>
      </c>
      <c r="K47">
        <f t="shared" si="9"/>
        <v>19.200000000000017</v>
      </c>
      <c r="L47" t="s">
        <v>74</v>
      </c>
      <c r="M47">
        <f>SUMIF(Executions!B:B,A47,Executions!H:H)</f>
        <v>28.499999999999979</v>
      </c>
      <c r="N47">
        <f t="shared" si="3"/>
        <v>1.4843749999999976</v>
      </c>
    </row>
    <row r="48" spans="1:14" hidden="1" x14ac:dyDescent="0.25">
      <c r="A48" t="str">
        <f t="shared" si="0"/>
        <v>T-047</v>
      </c>
      <c r="B48" s="1">
        <v>46121</v>
      </c>
      <c r="C48" t="s">
        <v>171</v>
      </c>
      <c r="D48" t="s">
        <v>28</v>
      </c>
      <c r="E48" t="s">
        <v>121</v>
      </c>
      <c r="F48">
        <v>27.18</v>
      </c>
      <c r="G48">
        <v>24.95</v>
      </c>
      <c r="H48">
        <v>6</v>
      </c>
      <c r="I48">
        <f t="shared" si="8"/>
        <v>13.380000000000003</v>
      </c>
      <c r="J48">
        <v>1</v>
      </c>
      <c r="K48">
        <f t="shared" si="9"/>
        <v>13.380000000000003</v>
      </c>
      <c r="L48" t="s">
        <v>74</v>
      </c>
      <c r="M48">
        <f>SUMIF(Executions!B:B,A48,Executions!H:H)</f>
        <v>22.5</v>
      </c>
      <c r="N48">
        <f t="shared" si="3"/>
        <v>1.6816143497757845</v>
      </c>
    </row>
    <row r="49" spans="1:14" hidden="1" x14ac:dyDescent="0.25">
      <c r="A49" t="str">
        <f t="shared" si="0"/>
        <v>T-048</v>
      </c>
      <c r="B49" s="1">
        <v>46121</v>
      </c>
      <c r="C49" t="s">
        <v>132</v>
      </c>
      <c r="D49" t="s">
        <v>28</v>
      </c>
      <c r="E49" t="s">
        <v>60</v>
      </c>
      <c r="F49">
        <v>246.05</v>
      </c>
      <c r="G49">
        <v>243.05</v>
      </c>
      <c r="H49">
        <v>2</v>
      </c>
      <c r="I49">
        <f t="shared" si="8"/>
        <v>6</v>
      </c>
      <c r="J49">
        <v>1</v>
      </c>
      <c r="K49">
        <f t="shared" si="9"/>
        <v>6</v>
      </c>
      <c r="L49" t="s">
        <v>74</v>
      </c>
      <c r="M49">
        <f>SUMIF(Executions!B:B,A49,Executions!H:H)</f>
        <v>-6.0600000000000023</v>
      </c>
      <c r="N49">
        <f t="shared" si="3"/>
        <v>-1.0100000000000005</v>
      </c>
    </row>
    <row r="50" spans="1:14" hidden="1" x14ac:dyDescent="0.25">
      <c r="A50" t="str">
        <f t="shared" si="0"/>
        <v>T-049</v>
      </c>
      <c r="B50" s="1">
        <v>46125</v>
      </c>
      <c r="C50" t="s">
        <v>103</v>
      </c>
      <c r="D50" t="s">
        <v>28</v>
      </c>
      <c r="E50" t="s">
        <v>62</v>
      </c>
      <c r="F50">
        <v>2.91</v>
      </c>
      <c r="G50">
        <v>2.72</v>
      </c>
      <c r="H50">
        <v>30</v>
      </c>
      <c r="I50">
        <f t="shared" si="8"/>
        <v>5.6999999999999984</v>
      </c>
      <c r="J50">
        <v>1</v>
      </c>
      <c r="K50">
        <f t="shared" si="9"/>
        <v>5.6999999999999984</v>
      </c>
      <c r="L50" t="s">
        <v>74</v>
      </c>
      <c r="M50">
        <f>SUMIF(Executions!B:B,A50,Executions!H:H)</f>
        <v>22.799999999999994</v>
      </c>
      <c r="N50">
        <f t="shared" si="3"/>
        <v>4</v>
      </c>
    </row>
    <row r="51" spans="1:14" hidden="1" x14ac:dyDescent="0.25">
      <c r="A51" t="str">
        <f t="shared" si="0"/>
        <v>T-050</v>
      </c>
      <c r="B51" s="1">
        <v>46125</v>
      </c>
      <c r="C51" t="s">
        <v>120</v>
      </c>
      <c r="D51" t="s">
        <v>28</v>
      </c>
      <c r="E51" t="s">
        <v>121</v>
      </c>
      <c r="F51">
        <v>154.47</v>
      </c>
      <c r="G51">
        <v>152.47</v>
      </c>
      <c r="H51">
        <v>2</v>
      </c>
      <c r="I51">
        <f t="shared" si="8"/>
        <v>4</v>
      </c>
      <c r="J51">
        <v>2</v>
      </c>
      <c r="K51">
        <f t="shared" si="9"/>
        <v>8</v>
      </c>
      <c r="L51" t="s">
        <v>74</v>
      </c>
      <c r="M51">
        <f>SUMIF(Executions!B:B,A51,Executions!H:H)</f>
        <v>-4</v>
      </c>
      <c r="N51">
        <f t="shared" si="3"/>
        <v>-1</v>
      </c>
    </row>
    <row r="52" spans="1:14" hidden="1" x14ac:dyDescent="0.25">
      <c r="A52" t="str">
        <f t="shared" si="0"/>
        <v>T-051</v>
      </c>
      <c r="B52" s="1">
        <v>46125</v>
      </c>
      <c r="C52" t="s">
        <v>175</v>
      </c>
      <c r="D52" t="s">
        <v>28</v>
      </c>
      <c r="E52" t="s">
        <v>121</v>
      </c>
      <c r="F52">
        <v>132.5</v>
      </c>
      <c r="G52">
        <v>128.16999999999999</v>
      </c>
      <c r="H52">
        <v>2</v>
      </c>
      <c r="I52">
        <f t="shared" si="8"/>
        <v>8.660000000000025</v>
      </c>
      <c r="J52">
        <v>1</v>
      </c>
      <c r="K52">
        <f t="shared" si="9"/>
        <v>8.660000000000025</v>
      </c>
      <c r="L52" t="s">
        <v>74</v>
      </c>
      <c r="M52">
        <f>SUMIF(Executions!B:B,A52,Executions!H:H)</f>
        <v>38.47</v>
      </c>
      <c r="N52">
        <f t="shared" si="3"/>
        <v>4.4422632794457142</v>
      </c>
    </row>
    <row r="53" spans="1:14" hidden="1" x14ac:dyDescent="0.25">
      <c r="A53" t="str">
        <f t="shared" si="0"/>
        <v>T-052</v>
      </c>
      <c r="B53" s="1">
        <v>46126</v>
      </c>
      <c r="C53" t="s">
        <v>61</v>
      </c>
      <c r="D53" t="s">
        <v>28</v>
      </c>
      <c r="E53" t="s">
        <v>121</v>
      </c>
      <c r="F53">
        <v>9.64</v>
      </c>
      <c r="G53">
        <v>9.17</v>
      </c>
      <c r="H53">
        <v>10</v>
      </c>
      <c r="I53">
        <f t="shared" si="8"/>
        <v>4.7000000000000064</v>
      </c>
      <c r="J53">
        <v>1</v>
      </c>
      <c r="K53">
        <f t="shared" si="9"/>
        <v>4.7000000000000064</v>
      </c>
      <c r="L53" t="s">
        <v>74</v>
      </c>
      <c r="M53">
        <f>SUMIF(Executions!B:B,A53,Executions!H:H)</f>
        <v>8.0999999999999872</v>
      </c>
      <c r="N53">
        <f t="shared" si="3"/>
        <v>1.7234042553191438</v>
      </c>
    </row>
    <row r="54" spans="1:14" hidden="1" x14ac:dyDescent="0.25">
      <c r="A54" t="str">
        <f t="shared" si="0"/>
        <v>T-053</v>
      </c>
      <c r="B54" s="1">
        <v>46118</v>
      </c>
      <c r="C54" t="s">
        <v>176</v>
      </c>
      <c r="D54" t="s">
        <v>28</v>
      </c>
      <c r="E54" t="s">
        <v>121</v>
      </c>
      <c r="F54">
        <v>140.15</v>
      </c>
      <c r="G54">
        <v>136.91999999999999</v>
      </c>
      <c r="H54">
        <v>4</v>
      </c>
      <c r="I54">
        <f t="shared" si="8"/>
        <v>12.920000000000073</v>
      </c>
      <c r="J54">
        <v>1</v>
      </c>
      <c r="K54">
        <f t="shared" si="9"/>
        <v>12.920000000000073</v>
      </c>
      <c r="L54" t="s">
        <v>74</v>
      </c>
      <c r="M54">
        <f>SUMIF(Executions!B:B,A54,Executions!H:H)</f>
        <v>-12.960000000000036</v>
      </c>
      <c r="N54">
        <f t="shared" si="3"/>
        <v>-1.0030959752321953</v>
      </c>
    </row>
    <row r="55" spans="1:14" hidden="1" x14ac:dyDescent="0.25">
      <c r="A55" t="str">
        <f t="shared" si="0"/>
        <v>T-054</v>
      </c>
      <c r="B55" s="1">
        <v>46126</v>
      </c>
      <c r="C55" t="s">
        <v>166</v>
      </c>
      <c r="D55" t="s">
        <v>28</v>
      </c>
      <c r="E55" t="s">
        <v>60</v>
      </c>
      <c r="F55">
        <v>190.87</v>
      </c>
      <c r="G55">
        <v>189.38</v>
      </c>
      <c r="H55">
        <v>2</v>
      </c>
      <c r="I55">
        <f t="shared" si="8"/>
        <v>2.9800000000000182</v>
      </c>
      <c r="J55">
        <v>1</v>
      </c>
      <c r="K55">
        <f t="shared" si="9"/>
        <v>2.9800000000000182</v>
      </c>
      <c r="L55" t="s">
        <v>74</v>
      </c>
      <c r="M55">
        <f>SUMIF(Executions!B:B,A55,Executions!H:H)</f>
        <v>5.2799999999999727</v>
      </c>
      <c r="N55">
        <f t="shared" si="3"/>
        <v>1.7718120805368929</v>
      </c>
    </row>
    <row r="56" spans="1:14" hidden="1" x14ac:dyDescent="0.25">
      <c r="A56" t="str">
        <f t="shared" si="0"/>
        <v>T-055</v>
      </c>
      <c r="B56" s="1">
        <v>46127</v>
      </c>
      <c r="C56" t="s">
        <v>179</v>
      </c>
      <c r="D56" t="s">
        <v>28</v>
      </c>
      <c r="E56" t="s">
        <v>62</v>
      </c>
      <c r="F56">
        <v>35.18</v>
      </c>
      <c r="G56">
        <v>33.08</v>
      </c>
      <c r="H56">
        <v>3</v>
      </c>
      <c r="I56">
        <f t="shared" si="8"/>
        <v>6.3000000000000043</v>
      </c>
      <c r="J56">
        <v>1</v>
      </c>
      <c r="K56">
        <f t="shared" si="9"/>
        <v>6.3000000000000043</v>
      </c>
      <c r="L56" t="s">
        <v>74</v>
      </c>
      <c r="M56">
        <f>SUMIF(Executions!B:B,A56,Executions!H:H)</f>
        <v>-5.6400000000000077</v>
      </c>
      <c r="N56">
        <f t="shared" si="3"/>
        <v>-0.89523809523809583</v>
      </c>
    </row>
    <row r="57" spans="1:14" hidden="1" x14ac:dyDescent="0.25">
      <c r="A57" t="str">
        <f t="shared" si="0"/>
        <v>T-056</v>
      </c>
      <c r="B57" s="1">
        <v>46127</v>
      </c>
      <c r="C57" t="s">
        <v>166</v>
      </c>
      <c r="D57" t="s">
        <v>28</v>
      </c>
      <c r="E57" t="s">
        <v>60</v>
      </c>
      <c r="F57">
        <v>197.71</v>
      </c>
      <c r="G57">
        <v>196.24</v>
      </c>
      <c r="H57">
        <v>2</v>
      </c>
      <c r="I57">
        <f t="shared" si="8"/>
        <v>2.9399999999999977</v>
      </c>
      <c r="J57">
        <v>1</v>
      </c>
      <c r="K57">
        <f t="shared" si="9"/>
        <v>2.9399999999999977</v>
      </c>
      <c r="L57" t="s">
        <v>74</v>
      </c>
      <c r="M57">
        <f>SUMIF(Executions!B:B,A57,Executions!H:H)</f>
        <v>-3.0200000000000387</v>
      </c>
      <c r="N57">
        <f t="shared" si="3"/>
        <v>-1.0272108843537555</v>
      </c>
    </row>
    <row r="58" spans="1:14" hidden="1" x14ac:dyDescent="0.25">
      <c r="A58" t="str">
        <f t="shared" si="0"/>
        <v>T-057</v>
      </c>
      <c r="B58" s="1">
        <v>46128</v>
      </c>
      <c r="C58" t="s">
        <v>78</v>
      </c>
      <c r="D58" t="s">
        <v>28</v>
      </c>
      <c r="E58" t="s">
        <v>62</v>
      </c>
      <c r="F58">
        <v>11.42</v>
      </c>
      <c r="G58">
        <v>11.11</v>
      </c>
      <c r="H58">
        <v>30</v>
      </c>
      <c r="I58">
        <f t="shared" si="8"/>
        <v>9.3000000000000149</v>
      </c>
      <c r="J58">
        <v>1</v>
      </c>
      <c r="K58">
        <f t="shared" si="9"/>
        <v>9.3000000000000149</v>
      </c>
      <c r="L58" t="s">
        <v>74</v>
      </c>
      <c r="M58">
        <f>SUMIF(Executions!B:B,A58,Executions!H:H)</f>
        <v>-9.3000000000000149</v>
      </c>
      <c r="N58">
        <f t="shared" si="3"/>
        <v>-1</v>
      </c>
    </row>
    <row r="59" spans="1:14" hidden="1" x14ac:dyDescent="0.25">
      <c r="A59" t="str">
        <f t="shared" si="0"/>
        <v>T-058</v>
      </c>
      <c r="B59" s="1">
        <v>46128</v>
      </c>
      <c r="C59" t="s">
        <v>181</v>
      </c>
      <c r="D59" t="s">
        <v>28</v>
      </c>
      <c r="E59" t="s">
        <v>62</v>
      </c>
      <c r="F59">
        <v>148.79</v>
      </c>
      <c r="G59">
        <v>146.69</v>
      </c>
      <c r="H59">
        <v>3</v>
      </c>
      <c r="I59">
        <f t="shared" si="8"/>
        <v>6.2999999999999829</v>
      </c>
      <c r="J59">
        <v>1</v>
      </c>
      <c r="K59">
        <f t="shared" si="9"/>
        <v>6.2999999999999829</v>
      </c>
      <c r="L59" t="s">
        <v>74</v>
      </c>
      <c r="M59">
        <f>SUMIF(Executions!B:B,A59,Executions!H:H)</f>
        <v>-4.1999999999999886</v>
      </c>
      <c r="N59">
        <f t="shared" si="3"/>
        <v>-0.66666666666666663</v>
      </c>
    </row>
    <row r="60" spans="1:14" hidden="1" x14ac:dyDescent="0.25">
      <c r="A60" t="str">
        <f t="shared" si="0"/>
        <v>T-059</v>
      </c>
      <c r="B60" s="1">
        <v>46128</v>
      </c>
      <c r="C60" t="s">
        <v>183</v>
      </c>
      <c r="D60" t="s">
        <v>28</v>
      </c>
      <c r="E60" t="s">
        <v>62</v>
      </c>
      <c r="F60">
        <v>10.85</v>
      </c>
      <c r="G60">
        <v>10.39</v>
      </c>
      <c r="H60">
        <v>30</v>
      </c>
      <c r="I60">
        <f t="shared" si="8"/>
        <v>13.799999999999972</v>
      </c>
      <c r="J60">
        <v>1</v>
      </c>
      <c r="K60">
        <f t="shared" si="9"/>
        <v>13.799999999999972</v>
      </c>
      <c r="L60" t="s">
        <v>74</v>
      </c>
      <c r="M60">
        <f>SUMIF(Executions!B:B,A60,Executions!H:H)</f>
        <v>-13.799999999999972</v>
      </c>
      <c r="N60">
        <f t="shared" si="3"/>
        <v>-1</v>
      </c>
    </row>
    <row r="61" spans="1:14" hidden="1" x14ac:dyDescent="0.25">
      <c r="A61" t="str">
        <f t="shared" si="0"/>
        <v>T-060</v>
      </c>
      <c r="B61" s="1">
        <v>46129</v>
      </c>
      <c r="C61" t="s">
        <v>188</v>
      </c>
      <c r="D61" t="s">
        <v>28</v>
      </c>
      <c r="E61" t="s">
        <v>60</v>
      </c>
      <c r="F61">
        <v>253.99</v>
      </c>
      <c r="G61">
        <v>251.49</v>
      </c>
      <c r="H61">
        <v>4</v>
      </c>
      <c r="I61">
        <f t="shared" si="8"/>
        <v>10</v>
      </c>
      <c r="J61">
        <v>1</v>
      </c>
      <c r="K61">
        <f t="shared" ref="K61:K65" si="10">I61*J61</f>
        <v>10</v>
      </c>
      <c r="L61" t="s">
        <v>74</v>
      </c>
      <c r="M61">
        <f>SUMIF(Executions!B:B,A61,Executions!H:H)</f>
        <v>-8.6399999999999864</v>
      </c>
      <c r="N61">
        <f t="shared" si="3"/>
        <v>-0.86399999999999866</v>
      </c>
    </row>
    <row r="62" spans="1:14" hidden="1" x14ac:dyDescent="0.25">
      <c r="A62" t="str">
        <f t="shared" si="0"/>
        <v>T-061</v>
      </c>
      <c r="B62" s="1">
        <v>46129</v>
      </c>
      <c r="C62" t="s">
        <v>189</v>
      </c>
      <c r="D62" t="s">
        <v>28</v>
      </c>
      <c r="E62" t="s">
        <v>121</v>
      </c>
      <c r="F62">
        <v>105.18</v>
      </c>
      <c r="G62">
        <v>102.95</v>
      </c>
      <c r="H62">
        <v>6</v>
      </c>
      <c r="I62">
        <f t="shared" si="8"/>
        <v>13.380000000000024</v>
      </c>
      <c r="J62">
        <v>1</v>
      </c>
      <c r="K62">
        <f t="shared" si="10"/>
        <v>13.380000000000024</v>
      </c>
      <c r="L62" t="s">
        <v>74</v>
      </c>
      <c r="M62">
        <f>SUMIF(Executions!B:B,A62,Executions!H:H)</f>
        <v>-13.380000000000024</v>
      </c>
      <c r="N62">
        <f t="shared" si="3"/>
        <v>-1</v>
      </c>
    </row>
    <row r="63" spans="1:14" hidden="1" x14ac:dyDescent="0.25">
      <c r="A63" t="str">
        <f t="shared" si="0"/>
        <v>T-062</v>
      </c>
      <c r="B63" s="1">
        <v>46132</v>
      </c>
      <c r="C63" t="s">
        <v>195</v>
      </c>
      <c r="D63" t="s">
        <v>28</v>
      </c>
      <c r="E63" t="s">
        <v>60</v>
      </c>
      <c r="F63">
        <v>145.87</v>
      </c>
      <c r="G63">
        <v>144.79</v>
      </c>
      <c r="H63">
        <v>6</v>
      </c>
      <c r="I63">
        <f t="shared" si="8"/>
        <v>6.480000000000075</v>
      </c>
      <c r="J63">
        <v>1</v>
      </c>
      <c r="K63">
        <f t="shared" si="10"/>
        <v>6.480000000000075</v>
      </c>
      <c r="L63" t="s">
        <v>74</v>
      </c>
      <c r="M63">
        <f>SUMIF(Executions!B:B,A63,Executions!H:H)</f>
        <v>-6.6600000000000819</v>
      </c>
      <c r="N63">
        <f t="shared" si="3"/>
        <v>-1.0277777777777786</v>
      </c>
    </row>
    <row r="64" spans="1:14" hidden="1" x14ac:dyDescent="0.25">
      <c r="A64" t="str">
        <f t="shared" si="0"/>
        <v>T-063</v>
      </c>
      <c r="B64" s="1">
        <v>46132</v>
      </c>
      <c r="C64" t="s">
        <v>195</v>
      </c>
      <c r="D64" t="s">
        <v>28</v>
      </c>
      <c r="E64" t="s">
        <v>60</v>
      </c>
      <c r="F64">
        <v>145.55000000000001</v>
      </c>
      <c r="G64">
        <v>144.51</v>
      </c>
      <c r="H64">
        <v>6</v>
      </c>
      <c r="I64">
        <f t="shared" si="8"/>
        <v>6.2400000000001228</v>
      </c>
      <c r="J64">
        <v>1</v>
      </c>
      <c r="K64">
        <f t="shared" si="10"/>
        <v>6.2400000000001228</v>
      </c>
      <c r="L64" t="s">
        <v>74</v>
      </c>
      <c r="M64">
        <f>SUMIF(Executions!B:B,A64,Executions!H:H)</f>
        <v>-7.2000000000001023</v>
      </c>
      <c r="N64">
        <f t="shared" si="3"/>
        <v>-1.1538461538461475</v>
      </c>
    </row>
    <row r="65" spans="1:14" hidden="1" x14ac:dyDescent="0.25">
      <c r="A65" t="str">
        <f t="shared" si="0"/>
        <v>T-064</v>
      </c>
      <c r="B65" s="1">
        <v>46132</v>
      </c>
      <c r="C65" t="s">
        <v>199</v>
      </c>
      <c r="D65" t="s">
        <v>28</v>
      </c>
      <c r="E65" t="s">
        <v>62</v>
      </c>
      <c r="F65">
        <v>86.67</v>
      </c>
      <c r="G65">
        <v>85.18</v>
      </c>
      <c r="H65">
        <v>6</v>
      </c>
      <c r="I65">
        <f t="shared" si="8"/>
        <v>8.9399999999999693</v>
      </c>
      <c r="J65">
        <v>1</v>
      </c>
      <c r="K65">
        <f t="shared" si="10"/>
        <v>8.9399999999999693</v>
      </c>
      <c r="L65" t="s">
        <v>74</v>
      </c>
      <c r="M65">
        <f>SUMIF(Executions!B:B,A65,Executions!H:H)</f>
        <v>-8.9399999999999693</v>
      </c>
      <c r="N65">
        <f t="shared" si="3"/>
        <v>-1</v>
      </c>
    </row>
    <row r="66" spans="1:14" hidden="1" x14ac:dyDescent="0.25">
      <c r="A66" t="str">
        <f t="shared" si="0"/>
        <v>T-065</v>
      </c>
      <c r="B66" s="1">
        <v>46132</v>
      </c>
      <c r="C66" t="s">
        <v>200</v>
      </c>
      <c r="D66" t="s">
        <v>28</v>
      </c>
      <c r="E66" t="s">
        <v>121</v>
      </c>
      <c r="F66">
        <v>75.680000000000007</v>
      </c>
      <c r="G66">
        <v>74.989999999999995</v>
      </c>
      <c r="H66">
        <v>10</v>
      </c>
      <c r="I66">
        <f t="shared" ref="I66:I72" si="11">IF(D66="Long",(F66-G66)*H66,(G66-F66)*0)</f>
        <v>6.9000000000001194</v>
      </c>
      <c r="J66">
        <v>1</v>
      </c>
      <c r="K66">
        <f t="shared" ref="K66" si="12">I66*J66</f>
        <v>6.9000000000001194</v>
      </c>
      <c r="L66" t="s">
        <v>74</v>
      </c>
      <c r="M66">
        <f>SUMIF(Executions!B:B,A66,Executions!H:H)</f>
        <v>-6.9000000000001194</v>
      </c>
      <c r="N66">
        <f t="shared" si="3"/>
        <v>-1</v>
      </c>
    </row>
    <row r="67" spans="1:14" hidden="1" x14ac:dyDescent="0.25">
      <c r="A67" t="str">
        <f t="shared" si="0"/>
        <v>T-066</v>
      </c>
      <c r="B67" s="1">
        <v>46132</v>
      </c>
      <c r="C67" t="s">
        <v>183</v>
      </c>
      <c r="D67" t="s">
        <v>28</v>
      </c>
      <c r="E67" t="s">
        <v>121</v>
      </c>
      <c r="F67">
        <v>10.58</v>
      </c>
      <c r="G67">
        <v>10.16</v>
      </c>
      <c r="H67">
        <v>10</v>
      </c>
      <c r="I67">
        <f t="shared" si="11"/>
        <v>4.1999999999999993</v>
      </c>
      <c r="J67">
        <v>1</v>
      </c>
      <c r="K67">
        <f t="shared" ref="K67" si="13">I67*J67</f>
        <v>4.1999999999999993</v>
      </c>
      <c r="L67" t="s">
        <v>74</v>
      </c>
      <c r="M67">
        <f>SUMIF(Executions!B:B,A67,Executions!H:H)</f>
        <v>-4.2999999999999972</v>
      </c>
      <c r="N67">
        <f t="shared" ref="N67" si="14">M67/I67</f>
        <v>-1.0238095238095233</v>
      </c>
    </row>
    <row r="68" spans="1:14" hidden="1" x14ac:dyDescent="0.25">
      <c r="A68" t="str">
        <f t="shared" si="0"/>
        <v>T-067</v>
      </c>
      <c r="B68" s="1">
        <v>46133</v>
      </c>
      <c r="C68" t="s">
        <v>103</v>
      </c>
      <c r="D68" t="s">
        <v>28</v>
      </c>
      <c r="E68" t="s">
        <v>60</v>
      </c>
      <c r="F68">
        <v>3.81</v>
      </c>
      <c r="G68">
        <v>3.49</v>
      </c>
      <c r="H68">
        <v>20</v>
      </c>
      <c r="I68">
        <f t="shared" si="11"/>
        <v>6.3999999999999968</v>
      </c>
      <c r="J68">
        <v>1</v>
      </c>
      <c r="K68">
        <f t="shared" ref="K68:K78" si="15">I68*J68</f>
        <v>6.3999999999999968</v>
      </c>
      <c r="L68" t="s">
        <v>74</v>
      </c>
      <c r="M68">
        <f>SUMIF(Executions!B:B,A68,Executions!H:H)</f>
        <v>-8.3999999999999986</v>
      </c>
      <c r="N68">
        <f t="shared" ref="N68" si="16">M68/I68</f>
        <v>-1.3125000000000004</v>
      </c>
    </row>
    <row r="69" spans="1:14" hidden="1" x14ac:dyDescent="0.25">
      <c r="A69" t="str">
        <f t="shared" si="0"/>
        <v>T-068</v>
      </c>
      <c r="B69" s="1">
        <v>46133</v>
      </c>
      <c r="C69" t="s">
        <v>78</v>
      </c>
      <c r="D69" t="s">
        <v>28</v>
      </c>
      <c r="E69" t="s">
        <v>62</v>
      </c>
      <c r="F69">
        <v>11.57</v>
      </c>
      <c r="G69">
        <v>10.93</v>
      </c>
      <c r="H69">
        <v>10</v>
      </c>
      <c r="I69">
        <f t="shared" si="11"/>
        <v>6.4000000000000057</v>
      </c>
      <c r="J69">
        <v>1</v>
      </c>
      <c r="K69">
        <f t="shared" si="15"/>
        <v>6.4000000000000057</v>
      </c>
      <c r="L69" t="s">
        <v>74</v>
      </c>
      <c r="M69">
        <f>SUMIF(Executions!B:B,A69,Executions!H:H)</f>
        <v>-7.5999999999999979</v>
      </c>
      <c r="N69">
        <f t="shared" ref="N69" si="17">M69/I69</f>
        <v>-1.1874999999999987</v>
      </c>
    </row>
    <row r="70" spans="1:14" x14ac:dyDescent="0.25">
      <c r="A70" t="str">
        <f t="shared" si="0"/>
        <v>T-069</v>
      </c>
      <c r="B70" s="1">
        <v>46133</v>
      </c>
      <c r="C70" t="s">
        <v>163</v>
      </c>
      <c r="D70" t="s">
        <v>28</v>
      </c>
      <c r="E70" t="s">
        <v>60</v>
      </c>
      <c r="F70">
        <v>67.010000000000005</v>
      </c>
      <c r="G70">
        <v>62.94</v>
      </c>
      <c r="H70">
        <v>3</v>
      </c>
      <c r="I70">
        <f>IF(D70="Long",(F70-G70)*H70,(G70-F70)*0)</f>
        <v>12.210000000000022</v>
      </c>
      <c r="J70">
        <v>1</v>
      </c>
      <c r="K70">
        <f t="shared" si="15"/>
        <v>12.210000000000022</v>
      </c>
      <c r="L70" t="s">
        <v>30</v>
      </c>
      <c r="M70">
        <f>SUMIF(Executions!B:B,A70,Executions!H:H)</f>
        <v>57.33</v>
      </c>
      <c r="N70">
        <f t="shared" ref="N70" si="18">M70/I70</f>
        <v>4.6953316953316868</v>
      </c>
    </row>
    <row r="71" spans="1:14" hidden="1" x14ac:dyDescent="0.25">
      <c r="A71" t="str">
        <f t="shared" si="0"/>
        <v>T-070</v>
      </c>
      <c r="B71" s="1">
        <v>46133</v>
      </c>
      <c r="C71" t="s">
        <v>204</v>
      </c>
      <c r="D71" t="s">
        <v>28</v>
      </c>
      <c r="E71" t="s">
        <v>60</v>
      </c>
      <c r="F71">
        <v>8.7799999999999994</v>
      </c>
      <c r="G71">
        <v>8.07</v>
      </c>
      <c r="H71">
        <v>10</v>
      </c>
      <c r="I71">
        <f t="shared" si="11"/>
        <v>7.0999999999999908</v>
      </c>
      <c r="J71">
        <v>1</v>
      </c>
      <c r="K71">
        <f t="shared" si="15"/>
        <v>7.0999999999999908</v>
      </c>
      <c r="L71" t="s">
        <v>74</v>
      </c>
      <c r="M71">
        <f>SUMIF(Executions!B:B,A71,Executions!H:H)</f>
        <v>-7.0999999999999908</v>
      </c>
      <c r="N71">
        <f t="shared" ref="N71:N72" si="19">M71/I71</f>
        <v>-1</v>
      </c>
    </row>
    <row r="72" spans="1:14" hidden="1" x14ac:dyDescent="0.25">
      <c r="A72" t="str">
        <f t="shared" si="0"/>
        <v>T-071</v>
      </c>
      <c r="B72" s="1">
        <v>46134</v>
      </c>
      <c r="C72" t="s">
        <v>208</v>
      </c>
      <c r="D72" t="s">
        <v>28</v>
      </c>
      <c r="E72" t="s">
        <v>121</v>
      </c>
      <c r="F72">
        <v>5.55</v>
      </c>
      <c r="G72">
        <v>5.05</v>
      </c>
      <c r="H72">
        <v>10</v>
      </c>
      <c r="I72">
        <f t="shared" si="11"/>
        <v>5</v>
      </c>
      <c r="J72">
        <v>1</v>
      </c>
      <c r="K72">
        <f t="shared" si="15"/>
        <v>5</v>
      </c>
      <c r="L72" t="s">
        <v>74</v>
      </c>
      <c r="M72">
        <f>SUMIF(Executions!B:B,A72,Executions!H:H)</f>
        <v>1.5000000000000036</v>
      </c>
      <c r="N72">
        <f t="shared" si="19"/>
        <v>0.30000000000000071</v>
      </c>
    </row>
    <row r="73" spans="1:14" hidden="1" x14ac:dyDescent="0.25">
      <c r="A73" t="str">
        <f t="shared" si="0"/>
        <v>T-072</v>
      </c>
      <c r="B73" s="1">
        <v>46134</v>
      </c>
      <c r="C73" t="s">
        <v>209</v>
      </c>
      <c r="D73" t="s">
        <v>28</v>
      </c>
      <c r="E73" t="s">
        <v>62</v>
      </c>
      <c r="F73">
        <v>29.15</v>
      </c>
      <c r="G73">
        <v>28.15</v>
      </c>
      <c r="H73">
        <v>10</v>
      </c>
      <c r="I73">
        <f t="shared" ref="I73:I81" si="20">IF(D73="Long",(F73-G73)*H73,(G73-F73)*0)</f>
        <v>10</v>
      </c>
      <c r="J73">
        <v>1</v>
      </c>
      <c r="K73">
        <f t="shared" si="15"/>
        <v>10</v>
      </c>
      <c r="L73" t="s">
        <v>74</v>
      </c>
      <c r="M73">
        <f>SUMIF(Executions!B:B,A73,Executions!H:H)</f>
        <v>-26.499999999999986</v>
      </c>
      <c r="N73">
        <f t="shared" ref="N73" si="21">M73/I73</f>
        <v>-2.6499999999999986</v>
      </c>
    </row>
    <row r="74" spans="1:14" hidden="1" x14ac:dyDescent="0.25">
      <c r="A74" t="str">
        <f t="shared" si="0"/>
        <v>T-073</v>
      </c>
      <c r="B74" s="1">
        <v>46134</v>
      </c>
      <c r="C74" t="s">
        <v>132</v>
      </c>
      <c r="D74" t="s">
        <v>28</v>
      </c>
      <c r="E74" t="s">
        <v>60</v>
      </c>
      <c r="F74">
        <v>288.49</v>
      </c>
      <c r="G74">
        <v>285.49</v>
      </c>
      <c r="H74">
        <v>2</v>
      </c>
      <c r="I74">
        <f t="shared" si="20"/>
        <v>6</v>
      </c>
      <c r="J74">
        <v>1</v>
      </c>
      <c r="K74">
        <f t="shared" si="15"/>
        <v>6</v>
      </c>
      <c r="L74" t="s">
        <v>74</v>
      </c>
      <c r="M74">
        <f>SUMIF(Executions!B:B,A74,Executions!H:H)</f>
        <v>15.159999999999968</v>
      </c>
      <c r="N74">
        <f t="shared" ref="N74" si="22">M74/I74</f>
        <v>2.5266666666666615</v>
      </c>
    </row>
    <row r="75" spans="1:14" hidden="1" x14ac:dyDescent="0.25">
      <c r="A75" t="str">
        <f t="shared" si="0"/>
        <v>T-074</v>
      </c>
      <c r="B75" s="1">
        <v>46134</v>
      </c>
      <c r="C75" t="s">
        <v>212</v>
      </c>
      <c r="D75" t="s">
        <v>28</v>
      </c>
      <c r="E75" t="s">
        <v>114</v>
      </c>
      <c r="F75">
        <v>7.43</v>
      </c>
      <c r="G75">
        <v>6.43</v>
      </c>
      <c r="H75">
        <v>4</v>
      </c>
      <c r="I75">
        <f t="shared" si="20"/>
        <v>4</v>
      </c>
      <c r="J75">
        <v>1</v>
      </c>
      <c r="K75">
        <f t="shared" si="15"/>
        <v>4</v>
      </c>
      <c r="L75" t="s">
        <v>74</v>
      </c>
      <c r="M75">
        <f>SUMIF(Executions!B:B,A75,Executions!H:H)</f>
        <v>0</v>
      </c>
      <c r="N75">
        <f t="shared" ref="N75:N76" si="23">M75/I75</f>
        <v>0</v>
      </c>
    </row>
    <row r="76" spans="1:14" hidden="1" x14ac:dyDescent="0.25">
      <c r="A76" t="str">
        <f t="shared" si="0"/>
        <v>T-075</v>
      </c>
      <c r="B76" s="1">
        <v>46134</v>
      </c>
      <c r="C76" t="s">
        <v>213</v>
      </c>
      <c r="D76" t="s">
        <v>28</v>
      </c>
      <c r="E76" t="s">
        <v>60</v>
      </c>
      <c r="F76">
        <v>13.47</v>
      </c>
      <c r="G76">
        <v>12.79</v>
      </c>
      <c r="H76">
        <v>10</v>
      </c>
      <c r="I76">
        <f t="shared" si="20"/>
        <v>6.8000000000000149</v>
      </c>
      <c r="J76">
        <v>1</v>
      </c>
      <c r="K76">
        <f t="shared" si="15"/>
        <v>6.8000000000000149</v>
      </c>
      <c r="L76" t="s">
        <v>74</v>
      </c>
      <c r="M76">
        <f>SUMIF(Executions!B:B,A76,Executions!H:H)</f>
        <v>-6.8800000000000061</v>
      </c>
      <c r="N76">
        <f t="shared" si="23"/>
        <v>-1.0117647058823516</v>
      </c>
    </row>
    <row r="77" spans="1:14" hidden="1" x14ac:dyDescent="0.25">
      <c r="A77" t="str">
        <f t="shared" si="0"/>
        <v>T-076</v>
      </c>
      <c r="B77" s="1">
        <v>46135</v>
      </c>
      <c r="C77" t="s">
        <v>215</v>
      </c>
      <c r="D77" t="s">
        <v>28</v>
      </c>
      <c r="E77" t="s">
        <v>53</v>
      </c>
      <c r="F77">
        <v>8.77</v>
      </c>
      <c r="G77">
        <v>7.77</v>
      </c>
      <c r="H77">
        <v>4</v>
      </c>
      <c r="I77">
        <f t="shared" si="20"/>
        <v>4</v>
      </c>
      <c r="J77">
        <v>1</v>
      </c>
      <c r="K77">
        <f t="shared" si="15"/>
        <v>4</v>
      </c>
      <c r="L77" t="s">
        <v>74</v>
      </c>
      <c r="M77">
        <f>SUMIF(Executions!B:B,A77,Executions!H:H)</f>
        <v>-3</v>
      </c>
      <c r="N77">
        <f t="shared" ref="N77" si="24">M77/I77</f>
        <v>-0.75</v>
      </c>
    </row>
    <row r="78" spans="1:14" hidden="1" x14ac:dyDescent="0.25">
      <c r="A78" t="str">
        <f t="shared" si="0"/>
        <v>T-077</v>
      </c>
      <c r="B78" s="1">
        <v>46135</v>
      </c>
      <c r="C78" t="s">
        <v>132</v>
      </c>
      <c r="D78" t="s">
        <v>28</v>
      </c>
      <c r="E78" t="s">
        <v>53</v>
      </c>
      <c r="F78">
        <v>306.27999999999997</v>
      </c>
      <c r="G78">
        <v>303.08</v>
      </c>
      <c r="H78">
        <v>3</v>
      </c>
      <c r="I78">
        <f t="shared" si="20"/>
        <v>9.5999999999999659</v>
      </c>
      <c r="J78">
        <v>1</v>
      </c>
      <c r="K78">
        <f t="shared" si="15"/>
        <v>9.5999999999999659</v>
      </c>
      <c r="L78" t="s">
        <v>74</v>
      </c>
      <c r="M78">
        <f>SUMIF(Executions!B:B,A78,Executions!H:H)</f>
        <v>-9.7799999999999727</v>
      </c>
      <c r="N78">
        <f t="shared" ref="N78:N80" si="25">M78/I78</f>
        <v>-1.0187500000000007</v>
      </c>
    </row>
    <row r="79" spans="1:14" hidden="1" x14ac:dyDescent="0.25">
      <c r="A79" t="str">
        <f t="shared" si="0"/>
        <v>T-078</v>
      </c>
      <c r="B79" s="1">
        <v>46136</v>
      </c>
      <c r="C79" t="s">
        <v>137</v>
      </c>
      <c r="D79" t="s">
        <v>28</v>
      </c>
      <c r="E79" t="s">
        <v>60</v>
      </c>
      <c r="F79">
        <v>227.76</v>
      </c>
      <c r="G79">
        <v>225.76</v>
      </c>
      <c r="H79">
        <v>4</v>
      </c>
      <c r="I79">
        <f t="shared" si="20"/>
        <v>8</v>
      </c>
      <c r="J79">
        <v>1</v>
      </c>
      <c r="K79">
        <f t="shared" ref="K79:K81" si="26">I79*J79</f>
        <v>8</v>
      </c>
      <c r="L79" t="s">
        <v>74</v>
      </c>
      <c r="M79">
        <f>SUMIF(Executions!B:B,A79,Executions!H:H)</f>
        <v>10.759999999999991</v>
      </c>
      <c r="N79">
        <f t="shared" si="25"/>
        <v>1.3449999999999989</v>
      </c>
    </row>
    <row r="80" spans="1:14" hidden="1" x14ac:dyDescent="0.25">
      <c r="A80" t="str">
        <f t="shared" si="0"/>
        <v>T-079</v>
      </c>
      <c r="B80" s="1">
        <v>46136</v>
      </c>
      <c r="C80" t="s">
        <v>225</v>
      </c>
      <c r="D80" t="s">
        <v>28</v>
      </c>
      <c r="E80" t="s">
        <v>121</v>
      </c>
      <c r="F80">
        <v>10.66</v>
      </c>
      <c r="G80">
        <v>10.199999999999999</v>
      </c>
      <c r="H80">
        <v>20</v>
      </c>
      <c r="I80">
        <f t="shared" si="20"/>
        <v>9.2000000000000171</v>
      </c>
      <c r="J80">
        <v>1</v>
      </c>
      <c r="K80">
        <f t="shared" si="26"/>
        <v>9.2000000000000171</v>
      </c>
      <c r="L80" t="s">
        <v>74</v>
      </c>
      <c r="M80">
        <f>SUMIF(Executions!B:B,A80,Executions!H:H)</f>
        <v>-25.800000000000018</v>
      </c>
      <c r="N80">
        <f t="shared" si="25"/>
        <v>-2.8043478260869534</v>
      </c>
    </row>
    <row r="81" spans="1:14" hidden="1" x14ac:dyDescent="0.25">
      <c r="A81" t="str">
        <f t="shared" si="0"/>
        <v>T-080</v>
      </c>
      <c r="B81" s="1">
        <v>46136</v>
      </c>
      <c r="C81" t="s">
        <v>189</v>
      </c>
      <c r="D81" t="s">
        <v>28</v>
      </c>
      <c r="E81" t="s">
        <v>121</v>
      </c>
      <c r="F81">
        <v>98.59</v>
      </c>
      <c r="G81">
        <v>96.49</v>
      </c>
      <c r="H81">
        <v>4</v>
      </c>
      <c r="I81">
        <f t="shared" si="20"/>
        <v>8.4000000000000341</v>
      </c>
      <c r="J81">
        <v>1</v>
      </c>
      <c r="K81">
        <f t="shared" si="26"/>
        <v>8.4000000000000341</v>
      </c>
      <c r="L81" t="s">
        <v>74</v>
      </c>
      <c r="M81">
        <f>SUMIF(Executions!B:B,A81,Executions!H:H)</f>
        <v>-8.5600000000000023</v>
      </c>
      <c r="N81">
        <f t="shared" ref="N81" si="27">M81/I81</f>
        <v>-1.0190476190476152</v>
      </c>
    </row>
    <row r="82" spans="1:14" hidden="1" x14ac:dyDescent="0.25">
      <c r="A82" t="str">
        <f t="shared" ref="A82:A90" si="28">"T-"&amp; TEXT(ROW()-1,"000")</f>
        <v>T-081</v>
      </c>
      <c r="B82" s="1">
        <v>46139</v>
      </c>
      <c r="C82" t="s">
        <v>78</v>
      </c>
      <c r="D82" t="s">
        <v>28</v>
      </c>
      <c r="E82" t="s">
        <v>62</v>
      </c>
      <c r="F82">
        <v>10.74</v>
      </c>
      <c r="G82">
        <v>10.02</v>
      </c>
      <c r="H82">
        <v>8</v>
      </c>
      <c r="I82">
        <f t="shared" ref="I82:I90" si="29">IF(D82="Long",(F82-G82)*H82,(G82-F82)*0)</f>
        <v>5.7600000000000051</v>
      </c>
      <c r="J82">
        <v>1</v>
      </c>
      <c r="K82">
        <f t="shared" ref="K82:K90" si="30">I82*J82</f>
        <v>5.7600000000000051</v>
      </c>
      <c r="L82" t="s">
        <v>74</v>
      </c>
      <c r="M82">
        <f>SUMIF(Executions!B:B,A82,Executions!H:H)</f>
        <v>-5.7600000000000051</v>
      </c>
      <c r="N82">
        <f t="shared" ref="N82:N90" si="31">M82/I82</f>
        <v>-1</v>
      </c>
    </row>
    <row r="83" spans="1:14" hidden="1" x14ac:dyDescent="0.25">
      <c r="A83" t="str">
        <f t="shared" si="28"/>
        <v>T-082</v>
      </c>
      <c r="B83" s="1">
        <v>46139</v>
      </c>
      <c r="C83" t="s">
        <v>209</v>
      </c>
      <c r="D83" t="s">
        <v>28</v>
      </c>
      <c r="E83" t="s">
        <v>62</v>
      </c>
      <c r="F83">
        <v>28.87</v>
      </c>
      <c r="G83">
        <v>27.63</v>
      </c>
      <c r="H83">
        <v>4</v>
      </c>
      <c r="I83">
        <f t="shared" si="29"/>
        <v>4.960000000000008</v>
      </c>
      <c r="J83">
        <v>1</v>
      </c>
      <c r="K83">
        <f t="shared" si="30"/>
        <v>4.960000000000008</v>
      </c>
      <c r="L83" t="s">
        <v>74</v>
      </c>
      <c r="M83">
        <f>SUMIF(Executions!B:B,A83,Executions!H:H)</f>
        <v>-4.960000000000008</v>
      </c>
      <c r="N83">
        <f t="shared" si="31"/>
        <v>-1</v>
      </c>
    </row>
    <row r="84" spans="1:14" hidden="1" x14ac:dyDescent="0.25">
      <c r="A84" t="str">
        <f t="shared" si="28"/>
        <v>T-083</v>
      </c>
      <c r="B84" s="1">
        <v>46139</v>
      </c>
      <c r="C84" t="s">
        <v>166</v>
      </c>
      <c r="D84" t="s">
        <v>28</v>
      </c>
      <c r="E84" t="s">
        <v>60</v>
      </c>
      <c r="F84">
        <v>209.45</v>
      </c>
      <c r="G84">
        <v>208.15</v>
      </c>
      <c r="H84">
        <v>3</v>
      </c>
      <c r="I84">
        <f t="shared" si="29"/>
        <v>3.8999999999999488</v>
      </c>
      <c r="J84">
        <v>1</v>
      </c>
      <c r="K84">
        <f t="shared" si="30"/>
        <v>3.8999999999999488</v>
      </c>
      <c r="L84" t="s">
        <v>74</v>
      </c>
      <c r="M84">
        <f>SUMIF(Executions!B:B,A84,Executions!H:H)</f>
        <v>-3.6899999999999693</v>
      </c>
      <c r="N84">
        <f t="shared" si="31"/>
        <v>-0.94615384615385068</v>
      </c>
    </row>
    <row r="85" spans="1:14" x14ac:dyDescent="0.25">
      <c r="A85" t="str">
        <f t="shared" si="28"/>
        <v>T-084</v>
      </c>
      <c r="B85" s="1">
        <v>46139</v>
      </c>
      <c r="C85" t="s">
        <v>183</v>
      </c>
      <c r="D85" t="s">
        <v>28</v>
      </c>
      <c r="E85" t="s">
        <v>62</v>
      </c>
      <c r="F85">
        <v>10.32</v>
      </c>
      <c r="G85">
        <v>9.82</v>
      </c>
      <c r="H85">
        <v>10</v>
      </c>
      <c r="I85">
        <f t="shared" si="29"/>
        <v>5</v>
      </c>
      <c r="J85">
        <v>1</v>
      </c>
      <c r="K85">
        <f t="shared" si="30"/>
        <v>5</v>
      </c>
      <c r="L85" t="s">
        <v>30</v>
      </c>
      <c r="M85">
        <f>SUMIF(Executions!B:B,A85,Executions!H:H)</f>
        <v>0</v>
      </c>
      <c r="N85">
        <f t="shared" si="31"/>
        <v>0</v>
      </c>
    </row>
    <row r="86" spans="1:14" hidden="1" x14ac:dyDescent="0.25">
      <c r="A86" t="str">
        <f t="shared" si="28"/>
        <v>T-085</v>
      </c>
      <c r="B86" s="1">
        <v>46139</v>
      </c>
      <c r="C86" t="s">
        <v>227</v>
      </c>
      <c r="D86" t="s">
        <v>28</v>
      </c>
      <c r="E86" t="s">
        <v>60</v>
      </c>
      <c r="F86">
        <v>155.94</v>
      </c>
      <c r="G86">
        <v>151.94</v>
      </c>
      <c r="H86">
        <v>4</v>
      </c>
      <c r="I86">
        <f t="shared" si="29"/>
        <v>16</v>
      </c>
      <c r="J86">
        <v>1</v>
      </c>
      <c r="K86">
        <f t="shared" si="30"/>
        <v>16</v>
      </c>
      <c r="L86" t="s">
        <v>74</v>
      </c>
      <c r="M86">
        <f>SUMIF(Executions!B:B,A86,Executions!H:H)</f>
        <v>-16</v>
      </c>
      <c r="N86">
        <f t="shared" si="31"/>
        <v>-1</v>
      </c>
    </row>
    <row r="87" spans="1:14" hidden="1" x14ac:dyDescent="0.25">
      <c r="A87" t="str">
        <f t="shared" si="28"/>
        <v>T-086</v>
      </c>
      <c r="B87" s="1">
        <v>46139</v>
      </c>
      <c r="C87" t="s">
        <v>227</v>
      </c>
      <c r="D87" t="s">
        <v>28</v>
      </c>
      <c r="E87" t="s">
        <v>60</v>
      </c>
      <c r="F87">
        <v>152.19</v>
      </c>
      <c r="G87">
        <v>151.32</v>
      </c>
      <c r="H87">
        <v>4</v>
      </c>
      <c r="I87">
        <f t="shared" si="29"/>
        <v>3.4800000000000182</v>
      </c>
      <c r="J87">
        <v>1</v>
      </c>
      <c r="K87">
        <f t="shared" si="30"/>
        <v>3.4800000000000182</v>
      </c>
      <c r="L87" t="s">
        <v>74</v>
      </c>
      <c r="M87">
        <f>SUMIF(Executions!B:B,A87,Executions!H:H)</f>
        <v>-3.4800000000000182</v>
      </c>
      <c r="N87">
        <f t="shared" si="31"/>
        <v>-1</v>
      </c>
    </row>
    <row r="88" spans="1:14" hidden="1" x14ac:dyDescent="0.25">
      <c r="A88" t="str">
        <f t="shared" si="28"/>
        <v>T-087</v>
      </c>
      <c r="B88" s="1">
        <v>46139</v>
      </c>
      <c r="C88" t="s">
        <v>227</v>
      </c>
      <c r="D88" t="s">
        <v>28</v>
      </c>
      <c r="E88" t="s">
        <v>60</v>
      </c>
      <c r="F88">
        <v>148.72999999999999</v>
      </c>
      <c r="G88">
        <v>147.72999999999999</v>
      </c>
      <c r="H88">
        <v>4</v>
      </c>
      <c r="I88">
        <f t="shared" si="29"/>
        <v>4</v>
      </c>
      <c r="J88">
        <v>1</v>
      </c>
      <c r="K88">
        <f t="shared" si="30"/>
        <v>4</v>
      </c>
      <c r="L88" t="s">
        <v>74</v>
      </c>
      <c r="M88">
        <f>SUMIF(Executions!B:B,A88,Executions!H:H)</f>
        <v>-3.9199999999999591</v>
      </c>
      <c r="N88">
        <f t="shared" si="31"/>
        <v>-0.97999999999998977</v>
      </c>
    </row>
    <row r="89" spans="1:14" hidden="1" x14ac:dyDescent="0.25">
      <c r="A89" t="str">
        <f t="shared" si="28"/>
        <v>T-088</v>
      </c>
      <c r="B89" s="1">
        <v>46139</v>
      </c>
      <c r="C89" t="s">
        <v>200</v>
      </c>
      <c r="D89" t="s">
        <v>28</v>
      </c>
      <c r="E89" t="s">
        <v>121</v>
      </c>
      <c r="F89">
        <v>75.95</v>
      </c>
      <c r="G89">
        <v>74.489999999999995</v>
      </c>
      <c r="H89">
        <v>4</v>
      </c>
      <c r="I89">
        <f t="shared" si="29"/>
        <v>5.8400000000000318</v>
      </c>
      <c r="J89">
        <v>1</v>
      </c>
      <c r="K89">
        <f t="shared" si="30"/>
        <v>5.8400000000000318</v>
      </c>
      <c r="L89" t="s">
        <v>74</v>
      </c>
      <c r="M89">
        <f>SUMIF(Executions!B:B,A89,Executions!H:H)</f>
        <v>10.120000000000005</v>
      </c>
      <c r="N89">
        <f t="shared" si="31"/>
        <v>1.7328767123287585</v>
      </c>
    </row>
    <row r="90" spans="1:14" hidden="1" x14ac:dyDescent="0.25">
      <c r="A90" t="str">
        <f t="shared" si="28"/>
        <v>T-089</v>
      </c>
      <c r="B90" s="1">
        <v>46139</v>
      </c>
      <c r="C90" t="s">
        <v>235</v>
      </c>
      <c r="D90" t="s">
        <v>28</v>
      </c>
      <c r="E90" t="s">
        <v>121</v>
      </c>
      <c r="F90">
        <v>424.93</v>
      </c>
      <c r="G90">
        <v>411.49</v>
      </c>
      <c r="H90">
        <v>1</v>
      </c>
      <c r="I90">
        <f t="shared" si="29"/>
        <v>13.439999999999998</v>
      </c>
      <c r="J90">
        <v>1</v>
      </c>
      <c r="K90">
        <f t="shared" si="30"/>
        <v>13.439999999999998</v>
      </c>
      <c r="L90" t="s">
        <v>74</v>
      </c>
      <c r="M90">
        <f>SUMIF(Executions!B:B,A90,Executions!H:H)</f>
        <v>-14.54000000000002</v>
      </c>
      <c r="N90">
        <f t="shared" si="31"/>
        <v>-1.0818452380952397</v>
      </c>
    </row>
    <row r="91" spans="1:14" hidden="1" x14ac:dyDescent="0.25">
      <c r="A91" t="str">
        <f t="shared" ref="A91:A100" si="32">"T-"&amp; TEXT(ROW()-1,"000")</f>
        <v>T-090</v>
      </c>
      <c r="B91" s="1">
        <v>46140</v>
      </c>
      <c r="C91" t="s">
        <v>236</v>
      </c>
      <c r="D91" t="s">
        <v>28</v>
      </c>
      <c r="E91" t="s">
        <v>121</v>
      </c>
      <c r="F91">
        <v>75</v>
      </c>
      <c r="G91">
        <v>71</v>
      </c>
      <c r="H91">
        <v>2</v>
      </c>
      <c r="I91">
        <f t="shared" ref="I91:I100" si="33">IF(D91="Long",(F91-G91)*H91,(G91-F91)*0)</f>
        <v>8</v>
      </c>
      <c r="J91">
        <v>1</v>
      </c>
      <c r="K91">
        <f t="shared" ref="K91:K100" si="34">I91*J91</f>
        <v>8</v>
      </c>
      <c r="L91" t="s">
        <v>74</v>
      </c>
      <c r="M91">
        <f>SUMIF(Executions!B:B,A91,Executions!H:H)</f>
        <v>-8</v>
      </c>
      <c r="N91">
        <f t="shared" ref="N91:N100" si="35">M91/I91</f>
        <v>-1</v>
      </c>
    </row>
    <row r="92" spans="1:14" hidden="1" x14ac:dyDescent="0.25">
      <c r="A92" t="str">
        <f t="shared" si="32"/>
        <v>T-091</v>
      </c>
      <c r="B92" s="1">
        <v>46140</v>
      </c>
      <c r="C92" t="s">
        <v>237</v>
      </c>
      <c r="D92" t="s">
        <v>28</v>
      </c>
      <c r="E92" t="s">
        <v>60</v>
      </c>
      <c r="F92">
        <v>207.69</v>
      </c>
      <c r="G92">
        <v>205.69</v>
      </c>
      <c r="H92">
        <v>4</v>
      </c>
      <c r="I92">
        <f t="shared" si="33"/>
        <v>8</v>
      </c>
      <c r="J92">
        <v>1</v>
      </c>
      <c r="K92">
        <f t="shared" si="34"/>
        <v>8</v>
      </c>
      <c r="L92" t="s">
        <v>74</v>
      </c>
      <c r="M92">
        <f>SUMIF(Executions!B:B,A92,Executions!H:H)</f>
        <v>-10.644000000000005</v>
      </c>
      <c r="N92">
        <f t="shared" si="35"/>
        <v>-1.3305000000000007</v>
      </c>
    </row>
    <row r="93" spans="1:14" hidden="1" x14ac:dyDescent="0.25">
      <c r="A93" t="str">
        <f t="shared" si="32"/>
        <v>T-092</v>
      </c>
      <c r="B93" s="1">
        <v>46140</v>
      </c>
      <c r="C93" t="s">
        <v>241</v>
      </c>
      <c r="D93" t="s">
        <v>28</v>
      </c>
      <c r="E93" t="s">
        <v>60</v>
      </c>
      <c r="F93">
        <v>73.11</v>
      </c>
      <c r="G93">
        <v>71.36</v>
      </c>
      <c r="H93">
        <v>6</v>
      </c>
      <c r="I93">
        <f t="shared" si="33"/>
        <v>10.5</v>
      </c>
      <c r="J93">
        <v>1</v>
      </c>
      <c r="K93">
        <f t="shared" si="34"/>
        <v>10.5</v>
      </c>
      <c r="L93" t="s">
        <v>74</v>
      </c>
      <c r="M93">
        <f>SUMIF(Executions!B:B,A93,Executions!H:H)</f>
        <v>4.9200000000000443</v>
      </c>
      <c r="N93">
        <f t="shared" si="35"/>
        <v>0.4685714285714328</v>
      </c>
    </row>
    <row r="94" spans="1:14" hidden="1" x14ac:dyDescent="0.25">
      <c r="A94" t="str">
        <f t="shared" si="32"/>
        <v>T-093</v>
      </c>
      <c r="B94" s="1">
        <v>46141</v>
      </c>
      <c r="C94" t="s">
        <v>175</v>
      </c>
      <c r="D94" t="s">
        <v>28</v>
      </c>
      <c r="E94" t="s">
        <v>60</v>
      </c>
      <c r="F94">
        <v>140.72999999999999</v>
      </c>
      <c r="G94">
        <v>137.38</v>
      </c>
      <c r="H94">
        <v>3</v>
      </c>
      <c r="I94">
        <f t="shared" si="33"/>
        <v>10.049999999999983</v>
      </c>
      <c r="J94">
        <v>1</v>
      </c>
      <c r="K94">
        <f t="shared" si="34"/>
        <v>10.049999999999983</v>
      </c>
      <c r="L94" t="s">
        <v>74</v>
      </c>
      <c r="M94">
        <f>SUMIF(Executions!B:B,A94,Executions!H:H)</f>
        <v>-10.049999999999983</v>
      </c>
      <c r="N94">
        <f t="shared" si="35"/>
        <v>-1</v>
      </c>
    </row>
    <row r="95" spans="1:14" hidden="1" x14ac:dyDescent="0.25">
      <c r="A95" t="str">
        <f t="shared" si="32"/>
        <v>T-094</v>
      </c>
      <c r="B95" s="1">
        <v>46141</v>
      </c>
      <c r="C95" t="s">
        <v>244</v>
      </c>
      <c r="D95" t="s">
        <v>28</v>
      </c>
      <c r="E95" t="s">
        <v>60</v>
      </c>
      <c r="F95">
        <v>4.26</v>
      </c>
      <c r="G95">
        <v>3.81</v>
      </c>
      <c r="H95">
        <v>6</v>
      </c>
      <c r="I95">
        <f t="shared" si="33"/>
        <v>2.6999999999999984</v>
      </c>
      <c r="J95">
        <v>1</v>
      </c>
      <c r="K95">
        <f t="shared" si="34"/>
        <v>2.6999999999999984</v>
      </c>
      <c r="L95" t="s">
        <v>74</v>
      </c>
      <c r="M95">
        <f>SUMIF(Executions!B:B,A95,Executions!H:H)</f>
        <v>-2.76</v>
      </c>
      <c r="N95">
        <f t="shared" si="35"/>
        <v>-1.0222222222222228</v>
      </c>
    </row>
    <row r="96" spans="1:14" hidden="1" x14ac:dyDescent="0.25">
      <c r="A96" t="str">
        <f t="shared" si="32"/>
        <v>T-095</v>
      </c>
      <c r="B96" s="1">
        <v>46141</v>
      </c>
      <c r="C96" t="s">
        <v>245</v>
      </c>
      <c r="D96" t="s">
        <v>28</v>
      </c>
      <c r="E96" t="s">
        <v>53</v>
      </c>
      <c r="F96">
        <v>335.32</v>
      </c>
      <c r="G96">
        <v>332.32</v>
      </c>
      <c r="H96">
        <v>2</v>
      </c>
      <c r="I96">
        <f t="shared" si="33"/>
        <v>6</v>
      </c>
      <c r="J96">
        <v>1</v>
      </c>
      <c r="K96">
        <f t="shared" si="34"/>
        <v>6</v>
      </c>
      <c r="L96" t="s">
        <v>74</v>
      </c>
      <c r="M96">
        <f>SUMIF(Executions!B:B,A96,Executions!H:H)</f>
        <v>-7.67999999999995</v>
      </c>
      <c r="N96">
        <f t="shared" si="35"/>
        <v>-1.2799999999999916</v>
      </c>
    </row>
    <row r="97" spans="1:14" hidden="1" x14ac:dyDescent="0.25">
      <c r="A97" t="str">
        <f t="shared" si="32"/>
        <v>T-096</v>
      </c>
      <c r="B97" s="1">
        <v>46141</v>
      </c>
      <c r="C97" t="s">
        <v>247</v>
      </c>
      <c r="D97" t="s">
        <v>28</v>
      </c>
      <c r="E97" t="s">
        <v>53</v>
      </c>
      <c r="F97">
        <v>667.39</v>
      </c>
      <c r="G97">
        <v>660.39</v>
      </c>
      <c r="H97">
        <v>1</v>
      </c>
      <c r="I97">
        <f t="shared" si="33"/>
        <v>7</v>
      </c>
      <c r="J97">
        <v>1</v>
      </c>
      <c r="K97">
        <f t="shared" si="34"/>
        <v>7</v>
      </c>
      <c r="L97" t="s">
        <v>74</v>
      </c>
      <c r="M97">
        <f>SUMIF(Executions!B:B,A97,Executions!H:H)</f>
        <v>-7.2999999999999545</v>
      </c>
      <c r="N97">
        <f t="shared" si="35"/>
        <v>-1.0428571428571363</v>
      </c>
    </row>
    <row r="98" spans="1:14" hidden="1" x14ac:dyDescent="0.25">
      <c r="A98" t="str">
        <f t="shared" si="32"/>
        <v>T-097</v>
      </c>
      <c r="B98" s="1">
        <v>46141</v>
      </c>
      <c r="C98" t="s">
        <v>247</v>
      </c>
      <c r="D98" t="s">
        <v>28</v>
      </c>
      <c r="E98" t="s">
        <v>53</v>
      </c>
      <c r="F98">
        <v>663.81</v>
      </c>
      <c r="G98">
        <v>657.81</v>
      </c>
      <c r="H98">
        <v>2</v>
      </c>
      <c r="I98">
        <f t="shared" si="33"/>
        <v>12</v>
      </c>
      <c r="J98">
        <v>1</v>
      </c>
      <c r="K98">
        <f t="shared" si="34"/>
        <v>12</v>
      </c>
      <c r="L98" t="s">
        <v>74</v>
      </c>
      <c r="M98">
        <f>SUMIF(Executions!B:B,A98,Executions!H:H)</f>
        <v>-10.899999999999864</v>
      </c>
      <c r="N98">
        <f t="shared" si="35"/>
        <v>-0.908333333333322</v>
      </c>
    </row>
    <row r="99" spans="1:14" hidden="1" x14ac:dyDescent="0.25">
      <c r="A99" t="str">
        <f t="shared" si="32"/>
        <v>T-098</v>
      </c>
      <c r="B99" s="1">
        <v>46141</v>
      </c>
      <c r="C99" t="s">
        <v>247</v>
      </c>
      <c r="D99" t="s">
        <v>28</v>
      </c>
      <c r="E99" t="s">
        <v>53</v>
      </c>
      <c r="F99">
        <v>655.42</v>
      </c>
      <c r="G99">
        <v>652.41999999999996</v>
      </c>
      <c r="H99">
        <v>2</v>
      </c>
      <c r="I99">
        <f t="shared" si="33"/>
        <v>6</v>
      </c>
      <c r="J99">
        <v>1</v>
      </c>
      <c r="K99">
        <f t="shared" si="34"/>
        <v>6</v>
      </c>
      <c r="L99" t="s">
        <v>74</v>
      </c>
      <c r="M99">
        <f>SUMIF(Executions!B:B,A99,Executions!H:H)</f>
        <v>-6.1999999999998181</v>
      </c>
      <c r="N99">
        <f t="shared" si="35"/>
        <v>-1.033333333333303</v>
      </c>
    </row>
    <row r="100" spans="1:14" hidden="1" x14ac:dyDescent="0.25">
      <c r="A100" t="str">
        <f t="shared" si="32"/>
        <v>T-099</v>
      </c>
      <c r="B100" s="1">
        <v>46141</v>
      </c>
      <c r="C100" t="s">
        <v>247</v>
      </c>
      <c r="D100" t="s">
        <v>28</v>
      </c>
      <c r="E100" t="s">
        <v>53</v>
      </c>
      <c r="F100">
        <v>638.92999999999995</v>
      </c>
      <c r="G100">
        <v>633.35</v>
      </c>
      <c r="H100">
        <v>1</v>
      </c>
      <c r="I100">
        <f t="shared" si="33"/>
        <v>5.5799999999999272</v>
      </c>
      <c r="J100">
        <v>1</v>
      </c>
      <c r="K100">
        <f t="shared" si="34"/>
        <v>5.5799999999999272</v>
      </c>
      <c r="L100" t="s">
        <v>74</v>
      </c>
      <c r="M100">
        <f>SUMIF(Executions!B:B,A100,Executions!H:H)</f>
        <v>-4.8099999999999454</v>
      </c>
      <c r="N100">
        <f t="shared" si="35"/>
        <v>-0.86200716845878278</v>
      </c>
    </row>
    <row r="101" spans="1:14" hidden="1" x14ac:dyDescent="0.25">
      <c r="A101" t="str">
        <f t="shared" ref="A101:A111" si="36">"T-"&amp; TEXT(ROW()-1,"000")</f>
        <v>T-100</v>
      </c>
      <c r="B101" s="1">
        <v>46142</v>
      </c>
      <c r="C101" t="s">
        <v>188</v>
      </c>
      <c r="D101" t="s">
        <v>28</v>
      </c>
      <c r="E101" t="s">
        <v>53</v>
      </c>
      <c r="F101">
        <v>266.35000000000002</v>
      </c>
      <c r="G101">
        <v>256.27999999999997</v>
      </c>
      <c r="H101">
        <v>8</v>
      </c>
      <c r="I101">
        <f t="shared" ref="I101:I111" si="37">IF(D101="Long",(F101-G101)*H101,(G101-F101)*0)</f>
        <v>80.5600000000004</v>
      </c>
      <c r="J101">
        <v>1</v>
      </c>
      <c r="K101">
        <f t="shared" ref="K101:K111" si="38">I101*J101</f>
        <v>80.5600000000004</v>
      </c>
      <c r="L101" t="s">
        <v>74</v>
      </c>
      <c r="M101">
        <f>SUMIF(Executions!B:B,A101,Executions!H:H)</f>
        <v>-80.5600000000004</v>
      </c>
      <c r="N101">
        <f t="shared" ref="N101:N111" si="39">M101/I101</f>
        <v>-1</v>
      </c>
    </row>
    <row r="102" spans="1:14" hidden="1" x14ac:dyDescent="0.25">
      <c r="A102" t="str">
        <f t="shared" si="36"/>
        <v>T-101</v>
      </c>
      <c r="B102" s="1">
        <v>46142</v>
      </c>
      <c r="C102" t="s">
        <v>156</v>
      </c>
      <c r="D102" t="s">
        <v>28</v>
      </c>
      <c r="E102" t="s">
        <v>53</v>
      </c>
      <c r="F102">
        <v>370.98</v>
      </c>
      <c r="G102">
        <v>362.56</v>
      </c>
      <c r="H102">
        <v>3</v>
      </c>
      <c r="I102">
        <f t="shared" si="37"/>
        <v>25.260000000000048</v>
      </c>
      <c r="J102">
        <v>1</v>
      </c>
      <c r="K102">
        <f t="shared" si="38"/>
        <v>25.260000000000048</v>
      </c>
      <c r="L102" t="s">
        <v>74</v>
      </c>
      <c r="M102">
        <f>SUMIF(Executions!B:B,A102,Executions!H:H)</f>
        <v>27.180000000000007</v>
      </c>
      <c r="N102">
        <f t="shared" si="39"/>
        <v>1.0760095011876467</v>
      </c>
    </row>
    <row r="103" spans="1:14" x14ac:dyDescent="0.25">
      <c r="A103" t="str">
        <f t="shared" si="36"/>
        <v>T-102</v>
      </c>
      <c r="B103" s="1">
        <v>46142</v>
      </c>
      <c r="C103" t="s">
        <v>188</v>
      </c>
      <c r="D103" t="s">
        <v>28</v>
      </c>
      <c r="E103" t="s">
        <v>53</v>
      </c>
      <c r="F103">
        <v>259.47000000000003</v>
      </c>
      <c r="G103">
        <v>255.58</v>
      </c>
      <c r="H103">
        <v>4</v>
      </c>
      <c r="I103">
        <f t="shared" si="37"/>
        <v>15.560000000000059</v>
      </c>
      <c r="J103">
        <v>1</v>
      </c>
      <c r="K103">
        <f t="shared" si="38"/>
        <v>15.560000000000059</v>
      </c>
      <c r="L103" t="s">
        <v>30</v>
      </c>
      <c r="M103">
        <f>SUMIF(Executions!B:B,A103,Executions!H:H)</f>
        <v>33.399999999999977</v>
      </c>
      <c r="N103">
        <f t="shared" si="39"/>
        <v>2.1465295629819954</v>
      </c>
    </row>
    <row r="104" spans="1:14" hidden="1" x14ac:dyDescent="0.25">
      <c r="A104" t="str">
        <f t="shared" si="36"/>
        <v>T-103</v>
      </c>
      <c r="B104" s="1">
        <v>46142</v>
      </c>
      <c r="C104" t="s">
        <v>256</v>
      </c>
      <c r="D104" t="s">
        <v>28</v>
      </c>
      <c r="E104" t="s">
        <v>60</v>
      </c>
      <c r="F104">
        <v>24.95</v>
      </c>
      <c r="G104">
        <v>23.04</v>
      </c>
      <c r="H104">
        <v>6</v>
      </c>
      <c r="I104">
        <f t="shared" si="37"/>
        <v>11.46</v>
      </c>
      <c r="J104">
        <v>1</v>
      </c>
      <c r="K104">
        <f t="shared" si="38"/>
        <v>11.46</v>
      </c>
      <c r="L104" t="s">
        <v>74</v>
      </c>
      <c r="M104">
        <f>SUMIF(Executions!B:B,A104,Executions!H:H)</f>
        <v>-10.64</v>
      </c>
      <c r="N104">
        <f t="shared" si="39"/>
        <v>-0.92844677137870857</v>
      </c>
    </row>
    <row r="105" spans="1:14" hidden="1" x14ac:dyDescent="0.25">
      <c r="A105" t="str">
        <f t="shared" si="36"/>
        <v>T-104</v>
      </c>
      <c r="B105" s="1">
        <v>46143</v>
      </c>
      <c r="C105" t="s">
        <v>213</v>
      </c>
      <c r="D105" t="s">
        <v>28</v>
      </c>
      <c r="E105" t="s">
        <v>121</v>
      </c>
      <c r="F105">
        <v>11.62</v>
      </c>
      <c r="G105">
        <v>10.51</v>
      </c>
      <c r="H105">
        <v>10</v>
      </c>
      <c r="I105">
        <f t="shared" si="37"/>
        <v>11.099999999999994</v>
      </c>
      <c r="J105">
        <v>1</v>
      </c>
      <c r="K105">
        <f t="shared" si="38"/>
        <v>11.099999999999994</v>
      </c>
      <c r="L105" t="s">
        <v>74</v>
      </c>
      <c r="M105">
        <f>SUMIF(Executions!B:B,A105,Executions!H:H)</f>
        <v>-11.099999999999994</v>
      </c>
      <c r="N105">
        <f t="shared" si="39"/>
        <v>-1</v>
      </c>
    </row>
    <row r="106" spans="1:14" hidden="1" x14ac:dyDescent="0.25">
      <c r="A106" t="str">
        <f t="shared" si="36"/>
        <v>T-105</v>
      </c>
      <c r="B106" s="1">
        <v>46143</v>
      </c>
      <c r="C106" t="s">
        <v>88</v>
      </c>
      <c r="D106" t="s">
        <v>28</v>
      </c>
      <c r="E106" t="s">
        <v>53</v>
      </c>
      <c r="F106">
        <v>126.8</v>
      </c>
      <c r="G106">
        <v>125.8</v>
      </c>
      <c r="H106">
        <v>4</v>
      </c>
      <c r="I106">
        <f t="shared" si="37"/>
        <v>4</v>
      </c>
      <c r="J106">
        <v>1</v>
      </c>
      <c r="K106">
        <f t="shared" si="38"/>
        <v>4</v>
      </c>
      <c r="L106" t="s">
        <v>74</v>
      </c>
      <c r="M106">
        <f>SUMIF(Executions!B:B,A106,Executions!H:H)</f>
        <v>-5.8799999999999955</v>
      </c>
      <c r="N106">
        <f t="shared" si="39"/>
        <v>-1.4699999999999989</v>
      </c>
    </row>
    <row r="107" spans="1:14" x14ac:dyDescent="0.25">
      <c r="A107" t="str">
        <f t="shared" si="36"/>
        <v>T-106</v>
      </c>
      <c r="B107" s="1">
        <v>46143</v>
      </c>
      <c r="C107" t="s">
        <v>209</v>
      </c>
      <c r="D107" t="s">
        <v>28</v>
      </c>
      <c r="E107" t="s">
        <v>60</v>
      </c>
      <c r="F107">
        <v>27.57</v>
      </c>
      <c r="G107">
        <v>25.34</v>
      </c>
      <c r="H107">
        <v>4</v>
      </c>
      <c r="I107">
        <f t="shared" si="37"/>
        <v>8.9200000000000017</v>
      </c>
      <c r="J107">
        <v>1</v>
      </c>
      <c r="K107">
        <f t="shared" si="38"/>
        <v>8.9200000000000017</v>
      </c>
      <c r="L107" t="s">
        <v>30</v>
      </c>
      <c r="M107">
        <f>SUMIF(Executions!B:B,A107,Executions!H:H)</f>
        <v>0</v>
      </c>
      <c r="N107">
        <f t="shared" si="39"/>
        <v>0</v>
      </c>
    </row>
    <row r="108" spans="1:14" hidden="1" x14ac:dyDescent="0.25">
      <c r="A108" t="str">
        <f t="shared" si="36"/>
        <v>T-107</v>
      </c>
      <c r="B108" s="1">
        <v>46143</v>
      </c>
      <c r="C108" t="s">
        <v>257</v>
      </c>
      <c r="D108" t="s">
        <v>28</v>
      </c>
      <c r="E108" t="s">
        <v>53</v>
      </c>
      <c r="F108">
        <v>279</v>
      </c>
      <c r="G108">
        <v>277.72000000000003</v>
      </c>
      <c r="H108">
        <v>4</v>
      </c>
      <c r="I108">
        <f t="shared" si="37"/>
        <v>5.1199999999998909</v>
      </c>
      <c r="J108">
        <v>1</v>
      </c>
      <c r="K108">
        <f t="shared" si="38"/>
        <v>5.1199999999998909</v>
      </c>
      <c r="L108" t="s">
        <v>74</v>
      </c>
      <c r="M108">
        <f>SUMIF(Executions!B:B,A108,Executions!H:H)</f>
        <v>20.400000000000091</v>
      </c>
      <c r="N108">
        <f t="shared" si="39"/>
        <v>3.9843750000001026</v>
      </c>
    </row>
    <row r="109" spans="1:14" hidden="1" x14ac:dyDescent="0.25">
      <c r="A109" t="str">
        <f t="shared" si="36"/>
        <v>T-108</v>
      </c>
      <c r="B109" s="1">
        <v>46143</v>
      </c>
      <c r="C109" t="s">
        <v>258</v>
      </c>
      <c r="D109" t="s">
        <v>28</v>
      </c>
      <c r="E109" t="s">
        <v>53</v>
      </c>
      <c r="F109">
        <v>84</v>
      </c>
      <c r="G109">
        <v>82.95</v>
      </c>
      <c r="H109">
        <v>1</v>
      </c>
      <c r="I109">
        <f t="shared" si="37"/>
        <v>1.0499999999999972</v>
      </c>
      <c r="J109">
        <v>1</v>
      </c>
      <c r="K109">
        <f t="shared" si="38"/>
        <v>1.0499999999999972</v>
      </c>
      <c r="L109" t="s">
        <v>74</v>
      </c>
      <c r="M109">
        <f>SUMIF(Executions!B:B,A109,Executions!H:H)</f>
        <v>-10.600000000000023</v>
      </c>
      <c r="N109">
        <f t="shared" si="39"/>
        <v>-10.095238095238145</v>
      </c>
    </row>
    <row r="110" spans="1:14" hidden="1" x14ac:dyDescent="0.25">
      <c r="A110" t="str">
        <f t="shared" si="36"/>
        <v>T-109</v>
      </c>
      <c r="B110" s="1">
        <v>46143</v>
      </c>
      <c r="C110" t="s">
        <v>156</v>
      </c>
      <c r="D110" t="s">
        <v>28</v>
      </c>
      <c r="E110" t="s">
        <v>60</v>
      </c>
      <c r="F110">
        <v>377.14</v>
      </c>
      <c r="G110">
        <v>374.54</v>
      </c>
      <c r="H110">
        <v>4</v>
      </c>
      <c r="I110">
        <f t="shared" si="37"/>
        <v>10.399999999999864</v>
      </c>
      <c r="J110">
        <v>1</v>
      </c>
      <c r="K110">
        <f t="shared" si="38"/>
        <v>10.399999999999864</v>
      </c>
      <c r="L110" t="s">
        <v>74</v>
      </c>
      <c r="M110">
        <f>SUMIF(Executions!B:B,A110,Executions!H:H)</f>
        <v>14.5</v>
      </c>
      <c r="N110">
        <f t="shared" si="39"/>
        <v>1.3942307692307876</v>
      </c>
    </row>
    <row r="111" spans="1:14" hidden="1" x14ac:dyDescent="0.25">
      <c r="A111" t="str">
        <f t="shared" si="36"/>
        <v>T-110</v>
      </c>
      <c r="B111" s="1">
        <v>46143</v>
      </c>
      <c r="C111" t="s">
        <v>263</v>
      </c>
      <c r="D111" t="s">
        <v>28</v>
      </c>
      <c r="E111" t="s">
        <v>60</v>
      </c>
      <c r="F111">
        <v>1.2</v>
      </c>
      <c r="G111">
        <v>1.03</v>
      </c>
      <c r="H111">
        <v>30</v>
      </c>
      <c r="I111">
        <f t="shared" si="37"/>
        <v>5.0999999999999979</v>
      </c>
      <c r="J111">
        <v>1</v>
      </c>
      <c r="K111">
        <f t="shared" si="38"/>
        <v>5.0999999999999979</v>
      </c>
      <c r="L111" t="s">
        <v>74</v>
      </c>
      <c r="M111">
        <f>SUMIF(Executions!B:B,A111,Executions!H:H)</f>
        <v>-1.5000000000000013</v>
      </c>
      <c r="N111">
        <f t="shared" si="39"/>
        <v>-0.29411764705882393</v>
      </c>
    </row>
    <row r="112" spans="1:14" hidden="1" x14ac:dyDescent="0.25">
      <c r="A112" t="str">
        <f t="shared" ref="A112:A118" si="40">"T-"&amp; TEXT(ROW()-1,"000")</f>
        <v>T-111</v>
      </c>
      <c r="B112" s="1">
        <v>46146</v>
      </c>
      <c r="C112" t="s">
        <v>235</v>
      </c>
      <c r="D112" t="s">
        <v>28</v>
      </c>
      <c r="E112" t="s">
        <v>60</v>
      </c>
      <c r="F112">
        <v>411.44</v>
      </c>
      <c r="G112">
        <v>409.05</v>
      </c>
      <c r="H112">
        <v>2</v>
      </c>
      <c r="I112">
        <f t="shared" ref="I112:I118" si="41">IF(D112="Long",(F112-G112)*H112,(G112-F112)*0)</f>
        <v>4.7799999999999727</v>
      </c>
      <c r="J112">
        <v>1</v>
      </c>
      <c r="K112">
        <f t="shared" ref="K112:K118" si="42">I112*J112</f>
        <v>4.7799999999999727</v>
      </c>
      <c r="L112" t="s">
        <v>74</v>
      </c>
      <c r="M112">
        <f>SUMIF(Executions!B:B,A112,Executions!H:H)</f>
        <v>10.960000000000036</v>
      </c>
      <c r="N112">
        <f t="shared" ref="N112:N118" si="43">M112/I112</f>
        <v>2.2928870292887238</v>
      </c>
    </row>
    <row r="113" spans="1:14" hidden="1" x14ac:dyDescent="0.25">
      <c r="A113" t="str">
        <f t="shared" si="40"/>
        <v>T-112</v>
      </c>
      <c r="B113" s="1">
        <v>46146</v>
      </c>
      <c r="C113" t="s">
        <v>166</v>
      </c>
      <c r="D113" t="s">
        <v>28</v>
      </c>
      <c r="E113" t="s">
        <v>51</v>
      </c>
      <c r="F113">
        <v>199.18</v>
      </c>
      <c r="G113">
        <v>195.49</v>
      </c>
      <c r="H113">
        <v>3</v>
      </c>
      <c r="I113">
        <f t="shared" si="41"/>
        <v>11.069999999999993</v>
      </c>
      <c r="J113">
        <v>1</v>
      </c>
      <c r="K113">
        <f t="shared" si="42"/>
        <v>11.069999999999993</v>
      </c>
      <c r="L113" t="s">
        <v>74</v>
      </c>
      <c r="M113">
        <f>SUMIF(Executions!B:B,A113,Executions!H:H)</f>
        <v>-11.100000000000051</v>
      </c>
      <c r="N113">
        <f t="shared" si="43"/>
        <v>-1.0027100271002762</v>
      </c>
    </row>
    <row r="114" spans="1:14" x14ac:dyDescent="0.25">
      <c r="A114" t="str">
        <f t="shared" si="40"/>
        <v>T-113</v>
      </c>
      <c r="B114" s="1">
        <v>46146</v>
      </c>
      <c r="C114" t="s">
        <v>76</v>
      </c>
      <c r="D114" t="s">
        <v>28</v>
      </c>
      <c r="E114" t="s">
        <v>121</v>
      </c>
      <c r="F114">
        <v>7.86</v>
      </c>
      <c r="G114">
        <v>7.37</v>
      </c>
      <c r="H114">
        <v>10</v>
      </c>
      <c r="I114">
        <f t="shared" si="41"/>
        <v>4.9000000000000021</v>
      </c>
      <c r="J114">
        <v>1</v>
      </c>
      <c r="K114">
        <f t="shared" si="42"/>
        <v>4.9000000000000021</v>
      </c>
      <c r="L114" t="s">
        <v>30</v>
      </c>
      <c r="M114">
        <f>SUMIF(Executions!B:B,A114,Executions!H:H)</f>
        <v>0</v>
      </c>
      <c r="N114">
        <f t="shared" si="43"/>
        <v>0</v>
      </c>
    </row>
    <row r="115" spans="1:14" x14ac:dyDescent="0.25">
      <c r="A115" t="str">
        <f t="shared" si="40"/>
        <v>T-114</v>
      </c>
      <c r="B115" s="1">
        <v>46146</v>
      </c>
      <c r="C115" t="s">
        <v>264</v>
      </c>
      <c r="D115" t="s">
        <v>28</v>
      </c>
      <c r="E115" t="s">
        <v>121</v>
      </c>
      <c r="F115">
        <v>6.44</v>
      </c>
      <c r="G115">
        <v>5.93</v>
      </c>
      <c r="H115">
        <v>14</v>
      </c>
      <c r="I115">
        <f t="shared" si="41"/>
        <v>7.1400000000000095</v>
      </c>
      <c r="J115">
        <v>1</v>
      </c>
      <c r="K115">
        <f t="shared" si="42"/>
        <v>7.1400000000000095</v>
      </c>
      <c r="L115" t="s">
        <v>30</v>
      </c>
      <c r="M115">
        <f>SUMIF(Executions!B:B,A115,Executions!H:H)</f>
        <v>0</v>
      </c>
      <c r="N115">
        <f t="shared" si="43"/>
        <v>0</v>
      </c>
    </row>
    <row r="116" spans="1:14" hidden="1" x14ac:dyDescent="0.25">
      <c r="A116" t="str">
        <f t="shared" si="40"/>
        <v>T-115</v>
      </c>
      <c r="B116" s="1">
        <v>46146</v>
      </c>
      <c r="C116" t="s">
        <v>266</v>
      </c>
      <c r="D116" t="s">
        <v>28</v>
      </c>
      <c r="E116" t="s">
        <v>60</v>
      </c>
      <c r="F116">
        <v>108.61</v>
      </c>
      <c r="G116">
        <v>107.61</v>
      </c>
      <c r="H116">
        <v>4</v>
      </c>
      <c r="I116">
        <f t="shared" si="41"/>
        <v>4</v>
      </c>
      <c r="J116">
        <v>1</v>
      </c>
      <c r="K116">
        <f t="shared" si="42"/>
        <v>4</v>
      </c>
      <c r="L116" t="s">
        <v>74</v>
      </c>
      <c r="M116">
        <f>SUMIF(Executions!B:B,A116,Executions!H:H)</f>
        <v>10.360000000000014</v>
      </c>
      <c r="N116">
        <f t="shared" si="43"/>
        <v>2.5900000000000034</v>
      </c>
    </row>
    <row r="117" spans="1:14" hidden="1" x14ac:dyDescent="0.25">
      <c r="A117" t="str">
        <f t="shared" si="40"/>
        <v>T-116</v>
      </c>
      <c r="B117" s="1">
        <v>46146</v>
      </c>
      <c r="C117" t="s">
        <v>175</v>
      </c>
      <c r="D117" t="s">
        <v>28</v>
      </c>
      <c r="E117" t="s">
        <v>60</v>
      </c>
      <c r="F117">
        <v>145.58000000000001</v>
      </c>
      <c r="G117">
        <v>144.61000000000001</v>
      </c>
      <c r="H117">
        <v>4</v>
      </c>
      <c r="I117">
        <f t="shared" si="41"/>
        <v>3.8799999999999955</v>
      </c>
      <c r="J117">
        <v>1</v>
      </c>
      <c r="K117">
        <f t="shared" si="42"/>
        <v>3.8799999999999955</v>
      </c>
      <c r="L117" t="s">
        <v>74</v>
      </c>
      <c r="M117">
        <f>SUMIF(Executions!B:B,A117,Executions!H:H)</f>
        <v>4.7199999999999136</v>
      </c>
      <c r="N117">
        <f t="shared" si="43"/>
        <v>1.216494845360804</v>
      </c>
    </row>
    <row r="118" spans="1:14" x14ac:dyDescent="0.25">
      <c r="A118" t="str">
        <f t="shared" si="40"/>
        <v>T-117</v>
      </c>
      <c r="B118" s="1">
        <v>46146</v>
      </c>
      <c r="C118" t="s">
        <v>271</v>
      </c>
      <c r="D118" t="s">
        <v>28</v>
      </c>
      <c r="E118" t="s">
        <v>62</v>
      </c>
      <c r="F118">
        <v>7.38</v>
      </c>
      <c r="G118">
        <v>6.67</v>
      </c>
      <c r="H118">
        <v>13</v>
      </c>
      <c r="I118">
        <f t="shared" si="41"/>
        <v>9.23</v>
      </c>
      <c r="J118">
        <v>1</v>
      </c>
      <c r="K118">
        <f t="shared" si="42"/>
        <v>9.23</v>
      </c>
      <c r="L118" t="s">
        <v>30</v>
      </c>
      <c r="M118">
        <f>SUMIF(Executions!B:B,A118,Executions!H:H)</f>
        <v>0</v>
      </c>
      <c r="N118">
        <f t="shared" si="43"/>
        <v>0</v>
      </c>
    </row>
    <row r="119" spans="1:14" hidden="1" x14ac:dyDescent="0.25">
      <c r="A119" t="str">
        <f t="shared" ref="A119:A132" si="44">"T-"&amp; TEXT(ROW()-1,"000")</f>
        <v>T-118</v>
      </c>
      <c r="B119" s="1">
        <v>46147</v>
      </c>
      <c r="C119" t="s">
        <v>273</v>
      </c>
      <c r="D119" t="s">
        <v>28</v>
      </c>
      <c r="E119" t="s">
        <v>60</v>
      </c>
      <c r="F119">
        <v>403.55</v>
      </c>
      <c r="G119">
        <v>401.88</v>
      </c>
      <c r="H119">
        <v>3</v>
      </c>
      <c r="I119">
        <f t="shared" ref="I119:I132" si="45">IF(D119="Long",(F119-G119)*H119,(G119-F119)*0)</f>
        <v>5.0100000000000477</v>
      </c>
      <c r="J119">
        <v>1</v>
      </c>
      <c r="K119">
        <f t="shared" ref="K119:K132" si="46">I119*J119</f>
        <v>5.0100000000000477</v>
      </c>
      <c r="L119" t="s">
        <v>74</v>
      </c>
      <c r="M119">
        <f>SUMIF(Executions!B:B,A119,Executions!H:H)</f>
        <v>-5.25</v>
      </c>
      <c r="N119">
        <f t="shared" ref="N119:N132" si="47">M119/I119</f>
        <v>-1.0479041916167564</v>
      </c>
    </row>
    <row r="120" spans="1:14" hidden="1" x14ac:dyDescent="0.25">
      <c r="A120" t="str">
        <f t="shared" si="44"/>
        <v>T-119</v>
      </c>
      <c r="B120" s="1">
        <v>46147</v>
      </c>
      <c r="C120" t="s">
        <v>235</v>
      </c>
      <c r="D120" t="s">
        <v>28</v>
      </c>
      <c r="E120" t="s">
        <v>60</v>
      </c>
      <c r="F120">
        <v>415.18</v>
      </c>
      <c r="G120">
        <v>411.75</v>
      </c>
      <c r="H120">
        <v>3</v>
      </c>
      <c r="I120">
        <f t="shared" si="45"/>
        <v>10.29000000000002</v>
      </c>
      <c r="J120">
        <v>1</v>
      </c>
      <c r="K120">
        <f t="shared" si="46"/>
        <v>10.29000000000002</v>
      </c>
      <c r="L120" t="s">
        <v>74</v>
      </c>
      <c r="M120">
        <f>SUMIF(Executions!B:B,A120,Executions!H:H)</f>
        <v>-10.470000000000027</v>
      </c>
      <c r="N120">
        <f t="shared" si="47"/>
        <v>-1.017492711370263</v>
      </c>
    </row>
    <row r="121" spans="1:14" hidden="1" x14ac:dyDescent="0.25">
      <c r="A121" t="str">
        <f t="shared" si="44"/>
        <v>T-120</v>
      </c>
      <c r="B121" s="1">
        <v>46147</v>
      </c>
      <c r="C121" t="s">
        <v>175</v>
      </c>
      <c r="D121" t="s">
        <v>28</v>
      </c>
      <c r="E121" t="s">
        <v>53</v>
      </c>
      <c r="F121">
        <v>139.11000000000001</v>
      </c>
      <c r="G121">
        <v>138.11000000000001</v>
      </c>
      <c r="H121">
        <v>6</v>
      </c>
      <c r="I121">
        <f t="shared" si="45"/>
        <v>6</v>
      </c>
      <c r="J121">
        <v>1</v>
      </c>
      <c r="K121">
        <f t="shared" si="46"/>
        <v>6</v>
      </c>
      <c r="L121" t="s">
        <v>74</v>
      </c>
      <c r="M121">
        <f>SUMIF(Executions!B:B,A121,Executions!H:H)</f>
        <v>-6.1800000000000068</v>
      </c>
      <c r="N121">
        <f t="shared" si="47"/>
        <v>-1.0300000000000011</v>
      </c>
    </row>
    <row r="122" spans="1:14" hidden="1" x14ac:dyDescent="0.25">
      <c r="A122" t="str">
        <f t="shared" si="44"/>
        <v>T-121</v>
      </c>
      <c r="B122" s="1">
        <v>46147</v>
      </c>
      <c r="C122" t="s">
        <v>175</v>
      </c>
      <c r="D122" t="s">
        <v>28</v>
      </c>
      <c r="E122" t="s">
        <v>53</v>
      </c>
      <c r="F122">
        <v>138.35</v>
      </c>
      <c r="G122">
        <v>137.4</v>
      </c>
      <c r="H122">
        <v>4</v>
      </c>
      <c r="I122">
        <f t="shared" si="45"/>
        <v>3.7999999999999545</v>
      </c>
      <c r="J122">
        <v>1</v>
      </c>
      <c r="K122">
        <f t="shared" si="46"/>
        <v>3.7999999999999545</v>
      </c>
      <c r="L122" t="s">
        <v>74</v>
      </c>
      <c r="M122">
        <f>SUMIF(Executions!B:B,A122,Executions!H:H)</f>
        <v>-4.1599999999999682</v>
      </c>
      <c r="N122">
        <f t="shared" si="47"/>
        <v>-1.0947368421052679</v>
      </c>
    </row>
    <row r="123" spans="1:14" hidden="1" x14ac:dyDescent="0.25">
      <c r="A123" t="str">
        <f t="shared" si="44"/>
        <v>T-122</v>
      </c>
      <c r="B123" s="1">
        <v>46147</v>
      </c>
      <c r="C123" t="s">
        <v>235</v>
      </c>
      <c r="D123" t="s">
        <v>28</v>
      </c>
      <c r="E123" t="s">
        <v>60</v>
      </c>
      <c r="F123">
        <v>410.11</v>
      </c>
      <c r="G123">
        <v>409.11</v>
      </c>
      <c r="H123">
        <v>3</v>
      </c>
      <c r="I123">
        <f t="shared" si="45"/>
        <v>3</v>
      </c>
      <c r="J123">
        <v>1</v>
      </c>
      <c r="K123">
        <f t="shared" si="46"/>
        <v>3</v>
      </c>
      <c r="L123" t="s">
        <v>74</v>
      </c>
      <c r="M123">
        <f>SUMIF(Executions!B:B,A123,Executions!H:H)</f>
        <v>-3.2099999999999795</v>
      </c>
      <c r="N123">
        <f t="shared" si="47"/>
        <v>-1.0699999999999932</v>
      </c>
    </row>
    <row r="124" spans="1:14" hidden="1" x14ac:dyDescent="0.25">
      <c r="A124" t="str">
        <f t="shared" si="44"/>
        <v>T-123</v>
      </c>
      <c r="B124" s="1">
        <v>46148</v>
      </c>
      <c r="C124" t="s">
        <v>281</v>
      </c>
      <c r="D124" t="s">
        <v>28</v>
      </c>
      <c r="E124" t="s">
        <v>60</v>
      </c>
      <c r="F124">
        <v>660.62</v>
      </c>
      <c r="G124">
        <v>657.11</v>
      </c>
      <c r="H124">
        <v>2</v>
      </c>
      <c r="I124">
        <f t="shared" si="45"/>
        <v>7.0199999999999818</v>
      </c>
      <c r="J124">
        <v>1</v>
      </c>
      <c r="K124">
        <f t="shared" si="46"/>
        <v>7.0199999999999818</v>
      </c>
      <c r="L124" t="s">
        <v>74</v>
      </c>
      <c r="M124">
        <f>SUMIF(Executions!B:B,A124,Executions!H:H)</f>
        <v>-7.0199999999999818</v>
      </c>
      <c r="N124">
        <f t="shared" si="47"/>
        <v>-1</v>
      </c>
    </row>
    <row r="125" spans="1:14" hidden="1" x14ac:dyDescent="0.25">
      <c r="A125" t="str">
        <f t="shared" si="44"/>
        <v>T-124</v>
      </c>
      <c r="B125" s="1">
        <v>46148</v>
      </c>
      <c r="C125" t="s">
        <v>137</v>
      </c>
      <c r="D125" t="s">
        <v>28</v>
      </c>
      <c r="E125" t="s">
        <v>53</v>
      </c>
      <c r="F125">
        <v>229.5</v>
      </c>
      <c r="G125">
        <v>227.5</v>
      </c>
      <c r="H125">
        <v>4</v>
      </c>
      <c r="I125">
        <f t="shared" si="45"/>
        <v>8</v>
      </c>
      <c r="J125">
        <v>1</v>
      </c>
      <c r="K125">
        <f t="shared" si="46"/>
        <v>8</v>
      </c>
      <c r="L125" t="s">
        <v>74</v>
      </c>
      <c r="M125">
        <f>SUMIF(Executions!B:B,A125,Executions!H:H)</f>
        <v>-8</v>
      </c>
      <c r="N125">
        <f t="shared" si="47"/>
        <v>-1</v>
      </c>
    </row>
    <row r="126" spans="1:14" hidden="1" x14ac:dyDescent="0.25">
      <c r="A126" t="str">
        <f t="shared" si="44"/>
        <v>T-125</v>
      </c>
      <c r="B126" s="1">
        <v>46148</v>
      </c>
      <c r="C126" t="s">
        <v>132</v>
      </c>
      <c r="D126" t="s">
        <v>28</v>
      </c>
      <c r="E126" t="s">
        <v>53</v>
      </c>
      <c r="F126">
        <v>405.7</v>
      </c>
      <c r="G126">
        <v>403.82</v>
      </c>
      <c r="H126">
        <v>2</v>
      </c>
      <c r="I126">
        <f t="shared" si="45"/>
        <v>3.7599999999999909</v>
      </c>
      <c r="J126">
        <v>1</v>
      </c>
      <c r="K126">
        <f t="shared" si="46"/>
        <v>3.7599999999999909</v>
      </c>
      <c r="L126" t="s">
        <v>74</v>
      </c>
      <c r="M126">
        <f>SUMIF(Executions!B:B,A126,Executions!H:H)</f>
        <v>33.980000000000018</v>
      </c>
      <c r="N126">
        <f t="shared" si="47"/>
        <v>9.0372340425532176</v>
      </c>
    </row>
    <row r="127" spans="1:14" hidden="1" x14ac:dyDescent="0.25">
      <c r="A127" t="str">
        <f t="shared" si="44"/>
        <v>T-126</v>
      </c>
      <c r="B127" s="1">
        <v>46148</v>
      </c>
      <c r="C127" t="s">
        <v>156</v>
      </c>
      <c r="D127" t="s">
        <v>28</v>
      </c>
      <c r="E127" t="s">
        <v>60</v>
      </c>
      <c r="F127">
        <v>389.3</v>
      </c>
      <c r="G127">
        <v>387.3</v>
      </c>
      <c r="H127">
        <v>2</v>
      </c>
      <c r="I127">
        <f t="shared" si="45"/>
        <v>4</v>
      </c>
      <c r="J127">
        <v>1</v>
      </c>
      <c r="K127">
        <f t="shared" si="46"/>
        <v>4</v>
      </c>
      <c r="L127" t="s">
        <v>74</v>
      </c>
      <c r="M127">
        <f>SUMIF(Executions!B:B,A127,Executions!H:H)</f>
        <v>-3.9600000000000364</v>
      </c>
      <c r="N127">
        <f t="shared" si="47"/>
        <v>-0.99000000000000909</v>
      </c>
    </row>
    <row r="128" spans="1:14" hidden="1" x14ac:dyDescent="0.25">
      <c r="A128" t="str">
        <f t="shared" si="44"/>
        <v>T-127</v>
      </c>
      <c r="B128" s="1">
        <v>46148</v>
      </c>
      <c r="C128" t="s">
        <v>281</v>
      </c>
      <c r="D128" t="s">
        <v>28</v>
      </c>
      <c r="E128" t="s">
        <v>60</v>
      </c>
      <c r="F128">
        <v>650.44000000000005</v>
      </c>
      <c r="G128">
        <v>647.44000000000005</v>
      </c>
      <c r="H128">
        <v>2</v>
      </c>
      <c r="I128">
        <f t="shared" si="45"/>
        <v>6</v>
      </c>
      <c r="J128">
        <v>1</v>
      </c>
      <c r="K128">
        <f t="shared" si="46"/>
        <v>6</v>
      </c>
      <c r="L128" t="s">
        <v>74</v>
      </c>
      <c r="M128">
        <f>SUMIF(Executions!B:B,A128,Executions!H:H)</f>
        <v>11.319999999999936</v>
      </c>
      <c r="N128">
        <f t="shared" si="47"/>
        <v>1.8866666666666561</v>
      </c>
    </row>
    <row r="129" spans="1:14" hidden="1" x14ac:dyDescent="0.25">
      <c r="A129" t="str">
        <f t="shared" si="44"/>
        <v>T-128</v>
      </c>
      <c r="B129" s="1">
        <v>46148</v>
      </c>
      <c r="C129" t="s">
        <v>281</v>
      </c>
      <c r="D129" t="s">
        <v>28</v>
      </c>
      <c r="E129" t="s">
        <v>60</v>
      </c>
      <c r="F129">
        <v>629.32000000000005</v>
      </c>
      <c r="G129">
        <v>625.32000000000005</v>
      </c>
      <c r="H129">
        <v>2</v>
      </c>
      <c r="I129">
        <f t="shared" si="45"/>
        <v>8</v>
      </c>
      <c r="J129">
        <v>1</v>
      </c>
      <c r="K129">
        <f t="shared" si="46"/>
        <v>8</v>
      </c>
      <c r="L129" t="s">
        <v>74</v>
      </c>
      <c r="M129">
        <f>SUMIF(Executions!B:B,A129,Executions!H:H)</f>
        <v>53.559999999999945</v>
      </c>
      <c r="N129">
        <f t="shared" si="47"/>
        <v>6.6949999999999932</v>
      </c>
    </row>
    <row r="130" spans="1:14" x14ac:dyDescent="0.25">
      <c r="A130" t="str">
        <f t="shared" si="44"/>
        <v>T-129</v>
      </c>
      <c r="B130" s="1">
        <v>46148</v>
      </c>
      <c r="C130" t="s">
        <v>155</v>
      </c>
      <c r="D130" t="s">
        <v>28</v>
      </c>
      <c r="E130" t="s">
        <v>121</v>
      </c>
      <c r="F130">
        <v>1.5</v>
      </c>
      <c r="G130">
        <v>1.29</v>
      </c>
      <c r="H130">
        <v>20</v>
      </c>
      <c r="I130">
        <f t="shared" si="45"/>
        <v>4.1999999999999993</v>
      </c>
      <c r="J130">
        <v>1</v>
      </c>
      <c r="K130">
        <f t="shared" si="46"/>
        <v>4.1999999999999993</v>
      </c>
      <c r="L130" t="s">
        <v>30</v>
      </c>
      <c r="M130">
        <f>SUMIF(Executions!B:B,A130,Executions!H:H)</f>
        <v>0</v>
      </c>
      <c r="N130">
        <f t="shared" si="47"/>
        <v>0</v>
      </c>
    </row>
    <row r="131" spans="1:14" x14ac:dyDescent="0.25">
      <c r="A131" t="str">
        <f t="shared" si="44"/>
        <v>T-130</v>
      </c>
      <c r="B131" s="1">
        <v>46148</v>
      </c>
      <c r="C131" t="s">
        <v>103</v>
      </c>
      <c r="D131" t="s">
        <v>28</v>
      </c>
      <c r="E131" t="s">
        <v>121</v>
      </c>
      <c r="F131">
        <v>3.97</v>
      </c>
      <c r="G131">
        <v>3.72</v>
      </c>
      <c r="H131">
        <v>20</v>
      </c>
      <c r="I131">
        <f t="shared" si="45"/>
        <v>5</v>
      </c>
      <c r="J131">
        <v>1</v>
      </c>
      <c r="K131">
        <f t="shared" si="46"/>
        <v>5</v>
      </c>
      <c r="L131" t="s">
        <v>30</v>
      </c>
      <c r="M131">
        <f>SUMIF(Executions!B:B,A131,Executions!H:H)</f>
        <v>0</v>
      </c>
      <c r="N131">
        <f t="shared" si="47"/>
        <v>0</v>
      </c>
    </row>
    <row r="132" spans="1:14" hidden="1" x14ac:dyDescent="0.25">
      <c r="A132" t="str">
        <f t="shared" si="44"/>
        <v>T-131</v>
      </c>
      <c r="B132" s="1">
        <v>46148</v>
      </c>
      <c r="C132" t="s">
        <v>289</v>
      </c>
      <c r="D132" t="s">
        <v>28</v>
      </c>
      <c r="E132" t="s">
        <v>121</v>
      </c>
      <c r="F132">
        <v>14.88</v>
      </c>
      <c r="G132">
        <v>13.4</v>
      </c>
      <c r="H132">
        <v>6</v>
      </c>
      <c r="I132">
        <f t="shared" si="45"/>
        <v>8.8800000000000026</v>
      </c>
      <c r="J132">
        <v>1</v>
      </c>
      <c r="K132">
        <f t="shared" si="46"/>
        <v>8.8800000000000026</v>
      </c>
      <c r="L132" t="s">
        <v>74</v>
      </c>
      <c r="M132">
        <f>SUMIF(Executions!B:B,A132,Executions!H:H)</f>
        <v>-3.0600000000000094</v>
      </c>
      <c r="N132">
        <f t="shared" si="47"/>
        <v>-0.34459459459459557</v>
      </c>
    </row>
    <row r="133" spans="1:14" x14ac:dyDescent="0.25">
      <c r="A133" t="str">
        <f>"T-"&amp; TEXT(ROW()-1,"000")</f>
        <v>T-132</v>
      </c>
      <c r="B133" s="1">
        <v>46149</v>
      </c>
      <c r="C133" t="s">
        <v>179</v>
      </c>
      <c r="D133" t="s">
        <v>28</v>
      </c>
      <c r="E133" t="s">
        <v>121</v>
      </c>
      <c r="F133">
        <v>33.409999999999997</v>
      </c>
      <c r="G133">
        <v>32.33</v>
      </c>
      <c r="H133">
        <v>4</v>
      </c>
      <c r="I133">
        <f>IF(D133="Long",(F133-G133)*H133,(G133-F133)*0)</f>
        <v>4.3199999999999932</v>
      </c>
      <c r="J133">
        <v>1</v>
      </c>
      <c r="K133">
        <f>I133*J133</f>
        <v>4.3199999999999932</v>
      </c>
      <c r="L133" t="s">
        <v>30</v>
      </c>
      <c r="M133">
        <f>SUMIF(Executions!B:B,A133,Executions!H:H)</f>
        <v>0</v>
      </c>
      <c r="N133">
        <f>M133/I133</f>
        <v>0</v>
      </c>
    </row>
    <row r="134" spans="1:14" x14ac:dyDescent="0.25">
      <c r="A134" t="str">
        <f>"T-"&amp; TEXT(ROW()-1,"000")</f>
        <v>T-133</v>
      </c>
      <c r="B134" s="1">
        <v>46149</v>
      </c>
      <c r="C134" t="s">
        <v>235</v>
      </c>
      <c r="D134" t="s">
        <v>28</v>
      </c>
      <c r="E134" t="s">
        <v>60</v>
      </c>
      <c r="F134">
        <v>419</v>
      </c>
      <c r="G134">
        <v>417.33</v>
      </c>
      <c r="H134">
        <v>3</v>
      </c>
      <c r="I134">
        <f>IF(D134="Long",(F134-G134)*H134,(G134-F134)*0)</f>
        <v>5.0100000000000477</v>
      </c>
      <c r="J134">
        <v>1</v>
      </c>
      <c r="K134">
        <f>I134*J134</f>
        <v>5.0100000000000477</v>
      </c>
      <c r="L134" t="s">
        <v>74</v>
      </c>
      <c r="M134">
        <f>SUMIF(Executions!B:B,A134,Executions!H:H)</f>
        <v>14.910000000000082</v>
      </c>
      <c r="N134">
        <f>M134/I134</f>
        <v>2.9760479041916046</v>
      </c>
    </row>
    <row r="135" spans="1:14" hidden="1" x14ac:dyDescent="0.25">
      <c r="A135" t="str">
        <f>"T-"&amp; TEXT(ROW()-1,"000")</f>
        <v>T-134</v>
      </c>
      <c r="B135" s="1">
        <v>46149</v>
      </c>
      <c r="C135" t="s">
        <v>292</v>
      </c>
      <c r="D135" t="s">
        <v>28</v>
      </c>
      <c r="E135" t="s">
        <v>53</v>
      </c>
      <c r="F135">
        <v>253</v>
      </c>
      <c r="G135">
        <v>252</v>
      </c>
      <c r="H135">
        <v>4</v>
      </c>
      <c r="I135">
        <f>IF(D135="Long",(F135-G135)*H135,(G135-F135)*0)</f>
        <v>4</v>
      </c>
      <c r="J135">
        <v>1</v>
      </c>
      <c r="K135">
        <f>I135*J135</f>
        <v>4</v>
      </c>
      <c r="L135" t="s">
        <v>74</v>
      </c>
      <c r="M135">
        <f>SUMIF(Executions!B:B,A135,Executions!H:H)</f>
        <v>0.55999999999994543</v>
      </c>
      <c r="N135">
        <f>M135/I135</f>
        <v>0.13999999999998636</v>
      </c>
    </row>
    <row r="136" spans="1:14" hidden="1" x14ac:dyDescent="0.25">
      <c r="A136" t="str">
        <f>"T-"&amp; TEXT(ROW()-1,"000")</f>
        <v>T-135</v>
      </c>
      <c r="B136" s="1">
        <v>46149</v>
      </c>
      <c r="C136" t="s">
        <v>292</v>
      </c>
      <c r="D136" t="s">
        <v>28</v>
      </c>
      <c r="E136" t="s">
        <v>53</v>
      </c>
      <c r="F136">
        <v>250.11</v>
      </c>
      <c r="G136">
        <v>248.11</v>
      </c>
      <c r="H136">
        <v>4</v>
      </c>
      <c r="I136">
        <f>IF(D136="Long",(F136-G136)*H136,(G136-F136)*0)</f>
        <v>8</v>
      </c>
      <c r="J136">
        <v>1</v>
      </c>
      <c r="K136">
        <f>I136*J136</f>
        <v>8</v>
      </c>
      <c r="L136" t="s">
        <v>74</v>
      </c>
      <c r="M136">
        <f>SUMIF(Executions!B:B,A136,Executions!H:H)</f>
        <v>25.960000000000036</v>
      </c>
      <c r="N136">
        <f>M136/I136</f>
        <v>3.2450000000000045</v>
      </c>
    </row>
    <row r="137" spans="1:14" x14ac:dyDescent="0.25">
      <c r="A137" t="str">
        <f>"T-"&amp; TEXT(ROW()-1,"000")</f>
        <v>T-136</v>
      </c>
      <c r="B137" s="1">
        <v>46149</v>
      </c>
      <c r="C137" t="s">
        <v>131</v>
      </c>
      <c r="D137" t="s">
        <v>28</v>
      </c>
      <c r="E137" t="s">
        <v>53</v>
      </c>
      <c r="F137">
        <v>55.5</v>
      </c>
      <c r="G137">
        <v>54.5</v>
      </c>
      <c r="H137">
        <v>4</v>
      </c>
      <c r="I137">
        <f>IF(D137="Long",(F137-G137)*H137,(G137-F137)*0)</f>
        <v>4</v>
      </c>
      <c r="J137">
        <v>1</v>
      </c>
      <c r="K137">
        <f>I137*J137</f>
        <v>4</v>
      </c>
      <c r="L137" t="s">
        <v>30</v>
      </c>
      <c r="M137">
        <f>SUMIF(Executions!B:B,A137,Executions!H:H)</f>
        <v>0</v>
      </c>
      <c r="N137">
        <f>M137/I137</f>
        <v>0</v>
      </c>
    </row>
    <row r="138" spans="1:14" hidden="1" x14ac:dyDescent="0.25">
      <c r="A138" t="str">
        <f>"T-"&amp; TEXT(ROW()-1,"000")</f>
        <v>T-137</v>
      </c>
      <c r="B138" s="1">
        <v>46149</v>
      </c>
      <c r="C138" t="s">
        <v>281</v>
      </c>
      <c r="D138" t="s">
        <v>28</v>
      </c>
      <c r="E138" t="s">
        <v>121</v>
      </c>
      <c r="F138">
        <v>660.83</v>
      </c>
      <c r="G138">
        <v>657.83</v>
      </c>
      <c r="H138">
        <v>2</v>
      </c>
      <c r="I138">
        <f>IF(D138="Long",(F138-G138)*H138,(G138-F138)*0)</f>
        <v>6</v>
      </c>
      <c r="J138">
        <v>1</v>
      </c>
      <c r="K138">
        <f>I138*J138</f>
        <v>6</v>
      </c>
      <c r="L138" t="s">
        <v>74</v>
      </c>
      <c r="M138">
        <f>SUMIF(Executions!B:B,A138,Executions!H:H)</f>
        <v>-6.0199999999999818</v>
      </c>
      <c r="N138">
        <f>M138/I138</f>
        <v>-1.0033333333333303</v>
      </c>
    </row>
    <row r="139" spans="1:14" x14ac:dyDescent="0.25">
      <c r="A139" t="str">
        <f>"T-"&amp; TEXT(ROW()-1,"000")</f>
        <v>T-138</v>
      </c>
      <c r="B139" s="1">
        <v>46149</v>
      </c>
      <c r="C139" t="s">
        <v>296</v>
      </c>
      <c r="D139" t="s">
        <v>28</v>
      </c>
      <c r="E139" t="s">
        <v>60</v>
      </c>
      <c r="F139">
        <v>194.41</v>
      </c>
      <c r="G139">
        <v>193.16</v>
      </c>
      <c r="H139">
        <v>4</v>
      </c>
      <c r="I139">
        <f>IF(D139="Long",(F139-G139)*H139,(G139-F139)*0)</f>
        <v>5</v>
      </c>
      <c r="J139">
        <v>1</v>
      </c>
      <c r="K139">
        <f>I139*J139</f>
        <v>5</v>
      </c>
      <c r="L139" t="s">
        <v>74</v>
      </c>
      <c r="M139">
        <f>SUMIF(Executions!B:B,A139,Executions!H:H)</f>
        <v>-5.3199999999999363</v>
      </c>
      <c r="N139">
        <f>M139/I139</f>
        <v>-1.0639999999999872</v>
      </c>
    </row>
    <row r="140" spans="1:14" x14ac:dyDescent="0.25">
      <c r="A140" t="str">
        <f>"T-"&amp; TEXT(ROW()-1,"000")</f>
        <v>T-139</v>
      </c>
      <c r="B140" s="1">
        <v>46149</v>
      </c>
      <c r="C140" t="s">
        <v>227</v>
      </c>
      <c r="D140" t="s">
        <v>28</v>
      </c>
      <c r="E140" t="s">
        <v>60</v>
      </c>
      <c r="F140">
        <v>206.45</v>
      </c>
      <c r="G140">
        <v>205.92</v>
      </c>
      <c r="H140">
        <v>3</v>
      </c>
      <c r="I140">
        <f>IF(D140="Long",(F140-G140)*H140,(G140-F140)*0)</f>
        <v>1.5900000000000034</v>
      </c>
      <c r="J140">
        <v>1</v>
      </c>
      <c r="K140">
        <f>I140*J140</f>
        <v>1.5900000000000034</v>
      </c>
      <c r="L140" t="s">
        <v>74</v>
      </c>
      <c r="M140">
        <f>SUMIF(Executions!B:B,A140,Executions!H:H)</f>
        <v>-1.5900000000000034</v>
      </c>
      <c r="N140">
        <f>M140/I140</f>
        <v>-1</v>
      </c>
    </row>
    <row r="141" spans="1:14" x14ac:dyDescent="0.25">
      <c r="A141" t="str">
        <f>"T-"&amp; TEXT(ROW()-1,"000")</f>
        <v>T-140</v>
      </c>
      <c r="B141" s="1">
        <v>46149</v>
      </c>
      <c r="C141" t="s">
        <v>302</v>
      </c>
      <c r="D141" t="s">
        <v>28</v>
      </c>
      <c r="E141" t="s">
        <v>53</v>
      </c>
      <c r="F141">
        <v>180.75</v>
      </c>
      <c r="G141">
        <v>180.01</v>
      </c>
      <c r="H141">
        <v>3</v>
      </c>
      <c r="I141">
        <f>IF(D141="Long",(F141-G141)*H141,(G141-F141)*0)</f>
        <v>2.2200000000000273</v>
      </c>
      <c r="J141">
        <v>1</v>
      </c>
      <c r="K141">
        <f>I141*J141</f>
        <v>2.2200000000000273</v>
      </c>
      <c r="L141" t="s">
        <v>74</v>
      </c>
      <c r="M141">
        <f>SUMIF(Executions!B:B,A141,Executions!H:H)</f>
        <v>-2.1899999999999693</v>
      </c>
      <c r="N141">
        <f>M141/I141</f>
        <v>-0.98648648648646053</v>
      </c>
    </row>
  </sheetData>
  <conditionalFormatting sqref="M2:M141">
    <cfRule type="cellIs" dxfId="3" priority="1" operator="equal">
      <formula>0</formula>
    </cfRule>
    <cfRule type="cellIs" dxfId="2" priority="2" operator="lessThan">
      <formula>0</formula>
    </cfRule>
    <cfRule type="cellIs" dxfId="1" priority="3" operator="greaterThan">
      <formula>K2</formula>
    </cfRule>
    <cfRule type="cellIs" dxfId="0" priority="4" operator="lessThan">
      <formula>K2</formula>
    </cfRule>
  </conditionalFormatting>
  <dataValidations count="3">
    <dataValidation type="list" allowBlank="1" showInputMessage="1" showErrorMessage="1" sqref="E1 E142:E1048576" xr:uid="{184E1B61-3233-4303-B854-3059829C2393}">
      <formula1>"Breakout,Pullback,Range Break,Reversal,Earning Play, A+ Setup,Buy the Dip, Other"</formula1>
    </dataValidation>
    <dataValidation type="list" allowBlank="1" showInputMessage="1" showErrorMessage="1" sqref="L2:L1048576" xr:uid="{F4069621-A7E8-45FE-9BEB-689DCD314A70}">
      <formula1>"Open,Closed"</formula1>
    </dataValidation>
    <dataValidation type="list" allowBlank="1" showInputMessage="1" showErrorMessage="1" sqref="D2:D1048576" xr:uid="{7CC3C28F-4F55-4478-BFCD-3E2D4B39BBC5}">
      <formula1>"Long,Short"</formula1>
    </dataValidation>
  </dataValidations>
  <pageMargins left="0.7" right="0.7" top="0.75" bottom="0.75" header="0.3" footer="0.3"/>
  <pageSetup orientation="portrait" horizontalDpi="360" verticalDpi="360" r:id="rId1"/>
  <tableParts count="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35AFC476-A1FB-4896-88D9-082697747CAE}">
          <x14:formula1>
            <xm:f>Setups!$A$2:$A$14</xm:f>
          </x14:formula1>
          <xm:sqref>E2</xm:sqref>
        </x14:dataValidation>
        <x14:dataValidation type="list" allowBlank="1" showInputMessage="1" showErrorMessage="1" xr:uid="{F958648C-BDD0-4279-9367-17373A7E8527}">
          <x14:formula1>
            <xm:f>Setups!$A$2:$A$13</xm:f>
          </x14:formula1>
          <xm:sqref>E3:E141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56475-86FC-4B41-8DB1-3EDC95E09B14}">
  <dimension ref="A1:I138"/>
  <sheetViews>
    <sheetView workbookViewId="0">
      <pane ySplit="1" topLeftCell="A120" activePane="bottomLeft" state="frozen"/>
      <selection pane="bottomLeft" activeCell="G139" sqref="G139"/>
    </sheetView>
  </sheetViews>
  <sheetFormatPr baseColWidth="10" defaultRowHeight="15" x14ac:dyDescent="0.25"/>
  <cols>
    <col min="5" max="5" width="10.28515625" bestFit="1" customWidth="1"/>
    <col min="6" max="6" width="17.140625" customWidth="1"/>
    <col min="7" max="7" width="16.140625" customWidth="1"/>
    <col min="9" max="9" width="16.42578125" customWidth="1"/>
  </cols>
  <sheetData>
    <row r="1" spans="1:9" x14ac:dyDescent="0.25">
      <c r="A1" t="s">
        <v>7</v>
      </c>
      <c r="B1" t="s">
        <v>0</v>
      </c>
      <c r="C1" t="s">
        <v>1</v>
      </c>
      <c r="D1" t="s">
        <v>2</v>
      </c>
      <c r="E1" t="s">
        <v>31</v>
      </c>
      <c r="F1" t="s">
        <v>40</v>
      </c>
      <c r="G1" t="s">
        <v>33</v>
      </c>
      <c r="H1" t="s">
        <v>8</v>
      </c>
      <c r="I1" t="s">
        <v>9</v>
      </c>
    </row>
    <row r="2" spans="1:9" x14ac:dyDescent="0.25">
      <c r="A2">
        <f>ROW()-1</f>
        <v>1</v>
      </c>
      <c r="B2" t="s">
        <v>72</v>
      </c>
      <c r="C2" s="1">
        <v>46077</v>
      </c>
      <c r="D2" t="str">
        <f>VLOOKUP(B2,Trades!A$1:M100059,3,FALSE)</f>
        <v>ONDS</v>
      </c>
      <c r="E2" t="s">
        <v>63</v>
      </c>
      <c r="F2">
        <v>9.81</v>
      </c>
      <c r="G2">
        <v>18</v>
      </c>
      <c r="H2">
        <f>IF(VLOOKUP(B2,Trades!A:M,4,FALSE)="Long",(F2-VLOOKUP(B2,Trades!A:M,6,FALSE))*G2,(VLOOKUP(B2,Trades!A:M,6,FALSE)-F2)*G2)</f>
        <v>-23.399999999999981</v>
      </c>
      <c r="I2">
        <f>H2/Trades!I2</f>
        <v>-1</v>
      </c>
    </row>
    <row r="3" spans="1:9" x14ac:dyDescent="0.25">
      <c r="A3">
        <f t="shared" ref="A3:A72" si="0">ROW()-1</f>
        <v>2</v>
      </c>
      <c r="B3" t="s">
        <v>77</v>
      </c>
      <c r="C3" s="1">
        <v>46077</v>
      </c>
      <c r="D3" t="str">
        <f>VLOOKUP(B3,Trades!A$1:M100060,3,FALSE)</f>
        <v>NG</v>
      </c>
      <c r="E3" t="s">
        <v>63</v>
      </c>
      <c r="F3">
        <v>11.765000000000001</v>
      </c>
      <c r="G3">
        <v>18</v>
      </c>
      <c r="H3">
        <f>IF(VLOOKUP(B3,Trades!A:M,4,FALSE)="Long",(F3-VLOOKUP(B3,Trades!A:M,6,FALSE))*G3,(VLOOKUP(B3,Trades!A:M,6,FALSE)-F3)*G3)</f>
        <v>25.110000000000024</v>
      </c>
      <c r="I3">
        <f>H3/Trades!I3</f>
        <v>1.143442622950821</v>
      </c>
    </row>
    <row r="4" spans="1:9" x14ac:dyDescent="0.25">
      <c r="A4">
        <f t="shared" si="0"/>
        <v>3</v>
      </c>
      <c r="B4" t="s">
        <v>79</v>
      </c>
      <c r="C4" s="1">
        <v>46078</v>
      </c>
      <c r="D4" t="str">
        <f>VLOOKUP(B4,Trades!A$1:M100061,3,FALSE)</f>
        <v>DNN</v>
      </c>
      <c r="E4" t="s">
        <v>63</v>
      </c>
      <c r="F4">
        <v>4.29</v>
      </c>
      <c r="G4">
        <v>61</v>
      </c>
      <c r="H4">
        <f>IF(VLOOKUP(B4,Trades!A:M,4,FALSE)="Long",(F4-VLOOKUP(B4,Trades!A:M,6,FALSE))*G4,(VLOOKUP(B4,Trades!A:M,6,FALSE)-F4)*G4)</f>
        <v>6.7100000000000195</v>
      </c>
      <c r="I4">
        <f>H4/Trades!I4</f>
        <v>0.23153899240855838</v>
      </c>
    </row>
    <row r="5" spans="1:9" x14ac:dyDescent="0.25">
      <c r="A5">
        <f t="shared" si="0"/>
        <v>4</v>
      </c>
      <c r="B5" t="s">
        <v>98</v>
      </c>
      <c r="C5" s="1">
        <v>46083</v>
      </c>
      <c r="D5" t="str">
        <f>VLOOKUP(B5,Trades!A$1:M100062,3,FALSE)</f>
        <v>MNST</v>
      </c>
      <c r="E5" t="s">
        <v>63</v>
      </c>
      <c r="F5">
        <v>82.37</v>
      </c>
      <c r="G5">
        <v>12</v>
      </c>
      <c r="H5">
        <f>IF(VLOOKUP(B5,Trades!A:M,4,FALSE)="Long",(F5-VLOOKUP(B5,Trades!A:M,6,FALSE))*G5,(VLOOKUP(B5,Trades!A:M,6,FALSE)-F5)*G5)</f>
        <v>80.400000000000034</v>
      </c>
      <c r="I5">
        <f>H5/Trades!I5</f>
        <v>2.427536231884059</v>
      </c>
    </row>
    <row r="6" spans="1:9" x14ac:dyDescent="0.25">
      <c r="A6">
        <f t="shared" si="0"/>
        <v>5</v>
      </c>
      <c r="B6" t="s">
        <v>77</v>
      </c>
      <c r="C6" s="1">
        <v>46084</v>
      </c>
      <c r="D6" t="str">
        <f>VLOOKUP(B6,Trades!A$1:M100063,3,FALSE)</f>
        <v>NG</v>
      </c>
      <c r="E6" t="s">
        <v>63</v>
      </c>
      <c r="F6">
        <v>12.27</v>
      </c>
      <c r="G6">
        <v>18</v>
      </c>
      <c r="H6">
        <f>IF(VLOOKUP(B6,Trades!A:M,4,FALSE)="Long",(F6-VLOOKUP(B6,Trades!A:M,6,FALSE))*G6,(VLOOKUP(B6,Trades!A:M,6,FALSE)-F6)*G6)</f>
        <v>34.200000000000003</v>
      </c>
      <c r="I6">
        <f>H6/Trades!I6</f>
        <v>1.8</v>
      </c>
    </row>
    <row r="7" spans="1:9" x14ac:dyDescent="0.25">
      <c r="A7">
        <f t="shared" si="0"/>
        <v>6</v>
      </c>
      <c r="B7" t="s">
        <v>101</v>
      </c>
      <c r="C7" s="1">
        <v>46084</v>
      </c>
      <c r="D7" t="str">
        <f>VLOOKUP(B7,Trades!A$1:M100064,3,FALSE)</f>
        <v>TJX</v>
      </c>
      <c r="E7" t="s">
        <v>63</v>
      </c>
      <c r="F7">
        <v>156.24</v>
      </c>
      <c r="G7">
        <v>6</v>
      </c>
      <c r="H7">
        <f>IF(VLOOKUP(B7,Trades!A:M,4,FALSE)="Long",(F7-VLOOKUP(B7,Trades!A:M,6,FALSE))*G7,(VLOOKUP(B7,Trades!A:M,6,FALSE)-F7)*G7)</f>
        <v>24.42000000000013</v>
      </c>
      <c r="I7">
        <f>H7/Trades!I7</f>
        <v>1.4908424908425004</v>
      </c>
    </row>
    <row r="8" spans="1:9" x14ac:dyDescent="0.25">
      <c r="A8">
        <f t="shared" si="0"/>
        <v>7</v>
      </c>
      <c r="B8" t="s">
        <v>106</v>
      </c>
      <c r="C8" s="1">
        <v>46085</v>
      </c>
      <c r="D8" t="str">
        <f>VLOOKUP(B8,Trades!A$1:M100065,3,FALSE)</f>
        <v>ATEC</v>
      </c>
      <c r="E8" t="s">
        <v>63</v>
      </c>
      <c r="F8">
        <v>12.832000000000001</v>
      </c>
      <c r="G8">
        <v>19</v>
      </c>
      <c r="H8">
        <f>IF(VLOOKUP(B8,Trades!A:M,4,FALSE)="Long",(F8-VLOOKUP(B8,Trades!A:M,6,FALSE))*G8,(VLOOKUP(B8,Trades!A:M,6,FALSE)-F8)*G8)</f>
        <v>-10.601999999999997</v>
      </c>
      <c r="I8">
        <f>H8/Trades!I8</f>
        <v>-0.37918454935622331</v>
      </c>
    </row>
    <row r="9" spans="1:9" x14ac:dyDescent="0.25">
      <c r="A9">
        <f t="shared" si="0"/>
        <v>8</v>
      </c>
      <c r="B9" t="s">
        <v>108</v>
      </c>
      <c r="C9" s="1">
        <v>46087</v>
      </c>
      <c r="D9" t="str">
        <f>VLOOKUP(B9,Trades!A$1:M100066,3,FALSE)</f>
        <v>LULU</v>
      </c>
      <c r="E9" t="s">
        <v>63</v>
      </c>
      <c r="F9">
        <v>166.62</v>
      </c>
      <c r="G9">
        <v>2</v>
      </c>
      <c r="H9">
        <f>IF(VLOOKUP(B9,Trades!A:M,4,FALSE)="Long",(F9-VLOOKUP(B9,Trades!A:M,6,FALSE))*G9,(VLOOKUP(B9,Trades!A:M,6,FALSE)-F9)*G9)</f>
        <v>-21.71999999999997</v>
      </c>
      <c r="I9">
        <f>H9/Trades!I9</f>
        <v>-0.71825396825396837</v>
      </c>
    </row>
    <row r="10" spans="1:9" x14ac:dyDescent="0.25">
      <c r="A10">
        <f t="shared" si="0"/>
        <v>9</v>
      </c>
      <c r="B10" t="s">
        <v>109</v>
      </c>
      <c r="C10" s="1">
        <v>46087</v>
      </c>
      <c r="D10" t="str">
        <f>VLOOKUP(B10,Trades!A$1:M100067,3,FALSE)</f>
        <v>UUUU</v>
      </c>
      <c r="E10" t="s">
        <v>63</v>
      </c>
      <c r="F10">
        <v>18.824999999999999</v>
      </c>
      <c r="G10">
        <v>7</v>
      </c>
      <c r="H10">
        <f>IF(VLOOKUP(B10,Trades!A:M,4,FALSE)="Long",(F10-VLOOKUP(B10,Trades!A:M,6,FALSE))*G10,(VLOOKUP(B10,Trades!A:M,6,FALSE)-F10)*G10)</f>
        <v>-25.445000000000011</v>
      </c>
      <c r="I10">
        <f>H10/Trades!I10</f>
        <v>-1.1688102893890682</v>
      </c>
    </row>
    <row r="11" spans="1:9" x14ac:dyDescent="0.25">
      <c r="A11">
        <f t="shared" si="0"/>
        <v>10</v>
      </c>
      <c r="B11" t="s">
        <v>110</v>
      </c>
      <c r="C11" s="1">
        <v>46087</v>
      </c>
      <c r="D11" t="str">
        <f>VLOOKUP(B11,Trades!A$1:M100068,3,FALSE)</f>
        <v>OKLO</v>
      </c>
      <c r="E11" t="s">
        <v>63</v>
      </c>
      <c r="F11">
        <v>58.43</v>
      </c>
      <c r="G11">
        <v>3</v>
      </c>
      <c r="H11">
        <f>IF(VLOOKUP(B11,Trades!A:M,4,FALSE)="Long",(F11-VLOOKUP(B11,Trades!A:M,6,FALSE))*G11,(VLOOKUP(B11,Trades!A:M,6,FALSE)-F11)*G11)</f>
        <v>-28.16999999999998</v>
      </c>
      <c r="I11">
        <f>H11/Trades!I11</f>
        <v>-1.2570281124497982</v>
      </c>
    </row>
    <row r="12" spans="1:9" x14ac:dyDescent="0.25">
      <c r="A12">
        <f t="shared" si="0"/>
        <v>11</v>
      </c>
      <c r="B12" t="s">
        <v>111</v>
      </c>
      <c r="C12" s="1">
        <v>46090</v>
      </c>
      <c r="D12" t="str">
        <f>VLOOKUP(B12,Trades!A$1:M100069,3,FALSE)</f>
        <v>TMDX</v>
      </c>
      <c r="E12" t="s">
        <v>63</v>
      </c>
      <c r="F12">
        <v>125.27</v>
      </c>
      <c r="G12">
        <v>3</v>
      </c>
      <c r="H12">
        <f>IF(VLOOKUP(B12,Trades!A:M,4,FALSE)="Long",(F12-VLOOKUP(B12,Trades!A:M,6,FALSE))*G12,(VLOOKUP(B12,Trades!A:M,6,FALSE)-F12)*G12)</f>
        <v>-35.010000000000005</v>
      </c>
      <c r="I12">
        <f>H12/Trades!I12</f>
        <v>-3.4526627218934962</v>
      </c>
    </row>
    <row r="13" spans="1:9" x14ac:dyDescent="0.25">
      <c r="A13">
        <f t="shared" si="0"/>
        <v>12</v>
      </c>
      <c r="B13" t="s">
        <v>115</v>
      </c>
      <c r="C13" s="1">
        <v>46093</v>
      </c>
      <c r="D13" t="str">
        <f>VLOOKUP(B13,Trades!A$1:M100070,3,FALSE)</f>
        <v>APPS</v>
      </c>
      <c r="E13" t="s">
        <v>63</v>
      </c>
      <c r="F13">
        <v>3.68</v>
      </c>
      <c r="G13">
        <v>42</v>
      </c>
      <c r="H13">
        <f>IF(VLOOKUP(B13,Trades!A:M,4,FALSE)="Long",(F13-VLOOKUP(B13,Trades!A:M,6,FALSE))*G13,(VLOOKUP(B13,Trades!A:M,6,FALSE)-F13)*G13)</f>
        <v>-24.779999999999976</v>
      </c>
      <c r="I13">
        <f>H13/Trades!I13</f>
        <v>-1.1346153846153844</v>
      </c>
    </row>
    <row r="14" spans="1:9" x14ac:dyDescent="0.25">
      <c r="A14">
        <f t="shared" si="0"/>
        <v>13</v>
      </c>
      <c r="B14" t="s">
        <v>116</v>
      </c>
      <c r="C14" s="1">
        <v>46098</v>
      </c>
      <c r="D14" t="str">
        <f>VLOOKUP(B14,Trades!A$1:M100071,3,FALSE)</f>
        <v>IHS</v>
      </c>
      <c r="E14" t="s">
        <v>63</v>
      </c>
      <c r="F14">
        <v>8.18</v>
      </c>
      <c r="G14">
        <v>50</v>
      </c>
      <c r="H14">
        <f>IF(VLOOKUP(B14,Trades!A:M,4,FALSE)="Long",(F14-VLOOKUP(B14,Trades!A:M,6,FALSE))*G14,(VLOOKUP(B14,Trades!A:M,6,FALSE)-F14)*G14)</f>
        <v>0.99999999999997868</v>
      </c>
      <c r="I14">
        <f>H14/Trades!I14</f>
        <v>4.3687199650501496E-2</v>
      </c>
    </row>
    <row r="15" spans="1:9" x14ac:dyDescent="0.25">
      <c r="A15">
        <f t="shared" si="0"/>
        <v>14</v>
      </c>
      <c r="B15" t="s">
        <v>123</v>
      </c>
      <c r="C15" s="1">
        <v>46099</v>
      </c>
      <c r="D15" t="str">
        <f>VLOOKUP(B15,Trades!A$1:M100072,3,FALSE)</f>
        <v>QBTS</v>
      </c>
      <c r="E15" t="s">
        <v>63</v>
      </c>
      <c r="F15">
        <v>16.91</v>
      </c>
      <c r="G15">
        <v>8</v>
      </c>
      <c r="H15">
        <f>IF(VLOOKUP(B15,Trades!A:M,4,FALSE)="Long",(F15-VLOOKUP(B15,Trades!A:M,6,FALSE))*G15,(VLOOKUP(B15,Trades!A:M,6,FALSE)-F15)*G15)</f>
        <v>-31.359999999999985</v>
      </c>
      <c r="I15">
        <f>H15/Trades!I15</f>
        <v>-1.4723004694835706</v>
      </c>
    </row>
    <row r="16" spans="1:9" x14ac:dyDescent="0.25">
      <c r="A16">
        <f t="shared" si="0"/>
        <v>15</v>
      </c>
      <c r="B16" t="s">
        <v>124</v>
      </c>
      <c r="C16" s="1">
        <v>46100</v>
      </c>
      <c r="D16" t="str">
        <f>VLOOKUP(B16,Trades!A$1:M100073,3,FALSE)</f>
        <v>AVBP</v>
      </c>
      <c r="E16" t="s">
        <v>63</v>
      </c>
      <c r="F16">
        <v>22.49</v>
      </c>
      <c r="G16">
        <v>4</v>
      </c>
      <c r="H16">
        <f>IF(VLOOKUP(B16,Trades!A:M,4,FALSE)="Long",(F16-VLOOKUP(B16,Trades!A:M,6,FALSE))*G16,(VLOOKUP(B16,Trades!A:M,6,FALSE)-F16)*G16)</f>
        <v>-9.5600000000000023</v>
      </c>
      <c r="I16">
        <f>H16/Trades!I16</f>
        <v>-0.59749999999999959</v>
      </c>
    </row>
    <row r="17" spans="1:9" x14ac:dyDescent="0.25">
      <c r="A17">
        <f t="shared" si="0"/>
        <v>16</v>
      </c>
      <c r="B17" t="s">
        <v>126</v>
      </c>
      <c r="C17" s="1">
        <v>46101</v>
      </c>
      <c r="D17" t="str">
        <f>VLOOKUP(B17,Trades!A$1:M100074,3,FALSE)</f>
        <v>BDX</v>
      </c>
      <c r="E17" t="s">
        <v>63</v>
      </c>
      <c r="F17">
        <v>155.91</v>
      </c>
      <c r="G17">
        <v>3</v>
      </c>
      <c r="H17">
        <f>IF(VLOOKUP(B17,Trades!A:M,4,FALSE)="Long",(F17-VLOOKUP(B17,Trades!A:M,6,FALSE))*G17,(VLOOKUP(B17,Trades!A:M,6,FALSE)-F17)*G17)</f>
        <v>-19.70999999999998</v>
      </c>
      <c r="I17">
        <f>H17/Trades!I17</f>
        <v>-1.9173151750972741</v>
      </c>
    </row>
    <row r="18" spans="1:9" x14ac:dyDescent="0.25">
      <c r="A18">
        <f t="shared" si="0"/>
        <v>17</v>
      </c>
      <c r="B18" t="s">
        <v>128</v>
      </c>
      <c r="C18" s="1">
        <v>46105</v>
      </c>
      <c r="D18" t="str">
        <f>VLOOKUP(B18,Trades!A$1:M100075,3,FALSE)</f>
        <v>KTOS</v>
      </c>
      <c r="E18" t="s">
        <v>63</v>
      </c>
      <c r="F18">
        <v>80.77</v>
      </c>
      <c r="G18">
        <v>3</v>
      </c>
      <c r="H18">
        <f>IF(VLOOKUP(B18,Trades!A:M,4,FALSE)="Long",(F18-VLOOKUP(B18,Trades!A:M,6,FALSE))*G18,(VLOOKUP(B18,Trades!A:M,6,FALSE)-F18)*G18)</f>
        <v>-23.430000000000007</v>
      </c>
      <c r="I18">
        <f>H18/Trades!I18</f>
        <v>-0.41249999999999964</v>
      </c>
    </row>
    <row r="19" spans="1:9" x14ac:dyDescent="0.25">
      <c r="A19">
        <f t="shared" si="0"/>
        <v>18</v>
      </c>
      <c r="B19" t="s">
        <v>129</v>
      </c>
      <c r="C19" s="1">
        <v>46105</v>
      </c>
      <c r="D19" t="str">
        <f>VLOOKUP(B19,Trades!A$1:M100076,3,FALSE)</f>
        <v>MNST</v>
      </c>
      <c r="E19" t="s">
        <v>63</v>
      </c>
      <c r="F19">
        <v>72.959999999999994</v>
      </c>
      <c r="G19">
        <v>20</v>
      </c>
      <c r="H19">
        <f>IF(VLOOKUP(B19,Trades!A:M,4,FALSE)="Long",(F19-VLOOKUP(B19,Trades!A:M,6,FALSE))*G19,(VLOOKUP(B19,Trades!A:M,6,FALSE)-F19)*G19)</f>
        <v>-83.800000000000239</v>
      </c>
      <c r="I19">
        <f>H19/Trades!I19</f>
        <v>-4.5126548196015221</v>
      </c>
    </row>
    <row r="20" spans="1:9" x14ac:dyDescent="0.25">
      <c r="A20">
        <f t="shared" si="0"/>
        <v>19</v>
      </c>
      <c r="B20" t="s">
        <v>133</v>
      </c>
      <c r="C20" s="1">
        <v>46106</v>
      </c>
      <c r="D20" t="str">
        <f>VLOOKUP(B20,Trades!A$1:M100077,3,FALSE)</f>
        <v>AMD</v>
      </c>
      <c r="E20" t="s">
        <v>63</v>
      </c>
      <c r="F20">
        <v>219.5</v>
      </c>
      <c r="G20">
        <v>2</v>
      </c>
      <c r="H20">
        <f>IF(VLOOKUP(B20,Trades!A:M,4,FALSE)="Long",(F20-VLOOKUP(B20,Trades!A:M,6,FALSE))*G20,(VLOOKUP(B20,Trades!A:M,6,FALSE)-F20)*G20)</f>
        <v>3.9800000000000182</v>
      </c>
      <c r="I20">
        <f>H20/Trades!I20</f>
        <v>0.1269132653061231</v>
      </c>
    </row>
    <row r="21" spans="1:9" x14ac:dyDescent="0.25">
      <c r="A21">
        <f t="shared" si="0"/>
        <v>20</v>
      </c>
      <c r="B21" t="s">
        <v>134</v>
      </c>
      <c r="C21" s="1">
        <v>46106</v>
      </c>
      <c r="D21" t="str">
        <f>VLOOKUP(B21,Trades!A$1:M100078,3,FALSE)</f>
        <v>FROG</v>
      </c>
      <c r="E21" t="s">
        <v>63</v>
      </c>
      <c r="F21">
        <v>47.87</v>
      </c>
      <c r="G21">
        <v>2</v>
      </c>
      <c r="H21">
        <f>IF(VLOOKUP(B21,Trades!A:M,4,FALSE)="Long",(F21-VLOOKUP(B21,Trades!A:M,6,FALSE))*G21,(VLOOKUP(B21,Trades!A:M,6,FALSE)-F21)*G21)</f>
        <v>2.5799999999999983</v>
      </c>
      <c r="I21">
        <f>H21/Trades!I21</f>
        <v>0.40062111801242223</v>
      </c>
    </row>
    <row r="22" spans="1:9" x14ac:dyDescent="0.25">
      <c r="A22">
        <f t="shared" si="0"/>
        <v>21</v>
      </c>
      <c r="B22" t="s">
        <v>136</v>
      </c>
      <c r="C22" s="1">
        <v>46107</v>
      </c>
      <c r="D22" t="str">
        <f>VLOOKUP(B22,Trades!A$1:M100079,3,FALSE)</f>
        <v>BBY</v>
      </c>
      <c r="E22" t="s">
        <v>63</v>
      </c>
      <c r="F22">
        <v>63.71</v>
      </c>
      <c r="G22">
        <v>3</v>
      </c>
      <c r="H22">
        <f>IF(VLOOKUP(B22,Trades!A:M,4,FALSE)="Long",(F22-VLOOKUP(B22,Trades!A:M,6,FALSE))*G22,(VLOOKUP(B22,Trades!A:M,6,FALSE)-F22)*G22)</f>
        <v>-2.5500000000000043</v>
      </c>
      <c r="I22">
        <f>H22/Trades!I22</f>
        <v>-0.18888888888888922</v>
      </c>
    </row>
    <row r="23" spans="1:9" x14ac:dyDescent="0.25">
      <c r="A23">
        <f t="shared" si="0"/>
        <v>22</v>
      </c>
      <c r="B23" t="s">
        <v>139</v>
      </c>
      <c r="C23" s="1">
        <v>46107</v>
      </c>
      <c r="D23" t="str">
        <f>VLOOKUP(B23,Trades!A$1:M100080,3,FALSE)</f>
        <v>ARM</v>
      </c>
      <c r="E23" t="s">
        <v>63</v>
      </c>
      <c r="F23">
        <v>157.15</v>
      </c>
      <c r="G23">
        <v>2</v>
      </c>
      <c r="H23">
        <f>IF(VLOOKUP(B23,Trades!A:M,4,FALSE)="Long",(F23-VLOOKUP(B23,Trades!A:M,6,FALSE))*G23,(VLOOKUP(B23,Trades!A:M,6,FALSE)-F23)*G23)</f>
        <v>-4.8799999999999955</v>
      </c>
      <c r="I23">
        <f>H23/Trades!I23</f>
        <v>-2.5025641025641057</v>
      </c>
    </row>
    <row r="24" spans="1:9" x14ac:dyDescent="0.25">
      <c r="A24">
        <f t="shared" si="0"/>
        <v>23</v>
      </c>
      <c r="B24" t="s">
        <v>141</v>
      </c>
      <c r="C24" s="1">
        <v>46107</v>
      </c>
      <c r="D24" t="str">
        <f>VLOOKUP(B24,Trades!A$1:M100081,3,FALSE)</f>
        <v>ARM</v>
      </c>
      <c r="E24" t="s">
        <v>63</v>
      </c>
      <c r="F24">
        <v>155.78</v>
      </c>
      <c r="G24">
        <v>2</v>
      </c>
      <c r="H24">
        <f>IF(VLOOKUP(B24,Trades!A:M,4,FALSE)="Long",(F24-VLOOKUP(B24,Trades!A:M,6,FALSE))*G24,(VLOOKUP(B24,Trades!A:M,6,FALSE)-F24)*G24)</f>
        <v>-3.3799999999999955</v>
      </c>
      <c r="I24">
        <f>H24/Trades!I24</f>
        <v>-1.1266666666666652</v>
      </c>
    </row>
    <row r="25" spans="1:9" x14ac:dyDescent="0.25">
      <c r="A25">
        <f t="shared" si="0"/>
        <v>24</v>
      </c>
      <c r="B25" t="s">
        <v>142</v>
      </c>
      <c r="C25" s="1">
        <v>46108</v>
      </c>
      <c r="D25" t="str">
        <f>VLOOKUP(B25,Trades!A$1:M100082,3,FALSE)</f>
        <v>ROKU</v>
      </c>
      <c r="E25" t="s">
        <v>63</v>
      </c>
      <c r="F25">
        <v>87.72</v>
      </c>
      <c r="G25">
        <v>3</v>
      </c>
      <c r="H25">
        <f>IF(VLOOKUP(B25,Trades!A:M,4,FALSE)="Long",(F25-VLOOKUP(B25,Trades!A:M,6,FALSE))*G25,(VLOOKUP(B25,Trades!A:M,6,FALSE)-F25)*G25)</f>
        <v>-14.309999999999988</v>
      </c>
      <c r="I25">
        <f>H25/Trades!I25</f>
        <v>-5.4827586206896219</v>
      </c>
    </row>
    <row r="26" spans="1:9" x14ac:dyDescent="0.25">
      <c r="A26">
        <f t="shared" si="0"/>
        <v>25</v>
      </c>
      <c r="B26" t="s">
        <v>144</v>
      </c>
      <c r="C26" s="1">
        <v>46108</v>
      </c>
      <c r="D26" t="str">
        <f>VLOOKUP(B26,Trades!A$1:M100083,3,FALSE)</f>
        <v>LGN</v>
      </c>
      <c r="E26" t="s">
        <v>63</v>
      </c>
      <c r="F26">
        <v>53.26</v>
      </c>
      <c r="G26">
        <v>4</v>
      </c>
      <c r="H26">
        <f>IF(VLOOKUP(B26,Trades!A:M,4,FALSE)="Long",(F26-VLOOKUP(B26,Trades!A:M,6,FALSE))*G26,(VLOOKUP(B26,Trades!A:M,6,FALSE)-F26)*G26)</f>
        <v>-4.7199999999999989</v>
      </c>
      <c r="I26">
        <f>H26/Trades!I26</f>
        <v>-0.94023904382470436</v>
      </c>
    </row>
    <row r="27" spans="1:9" x14ac:dyDescent="0.25">
      <c r="A27">
        <f t="shared" si="0"/>
        <v>26</v>
      </c>
      <c r="B27" t="s">
        <v>146</v>
      </c>
      <c r="C27" s="1">
        <v>46108</v>
      </c>
      <c r="D27" t="str">
        <f>VLOOKUP(B27,Trades!A$1:M100084,3,FALSE)</f>
        <v>AGX</v>
      </c>
      <c r="E27" t="s">
        <v>63</v>
      </c>
      <c r="F27">
        <v>530.64</v>
      </c>
      <c r="G27">
        <v>2</v>
      </c>
      <c r="H27">
        <f>IF(VLOOKUP(B27,Trades!A:M,4,FALSE)="Long",(F27-VLOOKUP(B27,Trades!A:M,6,FALSE))*G27,(VLOOKUP(B27,Trades!A:M,6,FALSE)-F27)*G27)</f>
        <v>-26.839999999999918</v>
      </c>
      <c r="I27">
        <f>H27/Trades!I27</f>
        <v>-6.829516539440208</v>
      </c>
    </row>
    <row r="28" spans="1:9" x14ac:dyDescent="0.25">
      <c r="A28">
        <f t="shared" si="0"/>
        <v>27</v>
      </c>
      <c r="B28" t="s">
        <v>148</v>
      </c>
      <c r="C28" s="1">
        <v>46108</v>
      </c>
      <c r="D28" t="str">
        <f>VLOOKUP(B28,Trades!A$1:M100085,3,FALSE)</f>
        <v>NRT</v>
      </c>
      <c r="E28" t="s">
        <v>63</v>
      </c>
      <c r="F28">
        <v>9.14</v>
      </c>
      <c r="G28">
        <v>27</v>
      </c>
      <c r="H28">
        <f>IF(VLOOKUP(B28,Trades!A:M,4,FALSE)="Long",(F28-VLOOKUP(B28,Trades!A:M,6,FALSE))*G28,(VLOOKUP(B28,Trades!A:M,6,FALSE)-F28)*G28)</f>
        <v>4.0500000000000096</v>
      </c>
      <c r="I28">
        <f>H28/Trades!I28</f>
        <v>0.28125000000000111</v>
      </c>
    </row>
    <row r="29" spans="1:9" x14ac:dyDescent="0.25">
      <c r="A29">
        <f t="shared" si="0"/>
        <v>28</v>
      </c>
      <c r="B29" t="s">
        <v>150</v>
      </c>
      <c r="C29" s="1">
        <v>46111</v>
      </c>
      <c r="D29" t="str">
        <f>VLOOKUP(B29,Trades!A$1:M100086,3,FALSE)</f>
        <v>XLE</v>
      </c>
      <c r="E29" t="s">
        <v>63</v>
      </c>
      <c r="F29">
        <v>61.86</v>
      </c>
      <c r="G29">
        <v>12</v>
      </c>
      <c r="H29">
        <f>IF(VLOOKUP(B29,Trades!A:M,4,FALSE)="Long",(F29-VLOOKUP(B29,Trades!A:M,6,FALSE))*G29,(VLOOKUP(B29,Trades!A:M,6,FALSE)-F29)*G29)</f>
        <v>36.119999999999976</v>
      </c>
      <c r="I29">
        <f>H29/Trades!I29</f>
        <v>7.4016393442622972</v>
      </c>
    </row>
    <row r="30" spans="1:9" x14ac:dyDescent="0.25">
      <c r="A30">
        <f t="shared" si="0"/>
        <v>29</v>
      </c>
      <c r="B30" t="s">
        <v>151</v>
      </c>
      <c r="C30" s="1">
        <v>46112</v>
      </c>
      <c r="D30" t="str">
        <f>VLOOKUP(B30,Trades!A$1:M100087,3,FALSE)</f>
        <v>AA</v>
      </c>
      <c r="E30" t="s">
        <v>63</v>
      </c>
      <c r="F30">
        <v>65.58</v>
      </c>
      <c r="G30">
        <v>3</v>
      </c>
      <c r="H30">
        <f>IF(VLOOKUP(B30,Trades!A:M,4,FALSE)="Long",(F30-VLOOKUP(B30,Trades!A:M,6,FALSE))*G30,(VLOOKUP(B30,Trades!A:M,6,FALSE)-F30)*G30)</f>
        <v>7.9799999999999898</v>
      </c>
      <c r="I30">
        <f>H30/Trades!I30</f>
        <v>1.9752475247524766</v>
      </c>
    </row>
    <row r="31" spans="1:9" x14ac:dyDescent="0.25">
      <c r="A31">
        <f t="shared" si="0"/>
        <v>30</v>
      </c>
      <c r="B31" t="s">
        <v>154</v>
      </c>
      <c r="C31" s="1">
        <v>46112</v>
      </c>
      <c r="D31" t="str">
        <f>VLOOKUP(B31,Trades!A$1:M100088,3,FALSE)</f>
        <v>CENX</v>
      </c>
      <c r="E31" t="s">
        <v>63</v>
      </c>
      <c r="F31">
        <v>57.55</v>
      </c>
      <c r="G31">
        <v>4</v>
      </c>
      <c r="H31">
        <f>IF(VLOOKUP(B31,Trades!A:M,4,FALSE)="Long",(F31-VLOOKUP(B31,Trades!A:M,6,FALSE))*G31,(VLOOKUP(B31,Trades!A:M,6,FALSE)-F31)*G31)</f>
        <v>-3.9200000000000159</v>
      </c>
      <c r="I31">
        <f>H31/Trades!I31</f>
        <v>-0.23529411764706185</v>
      </c>
    </row>
    <row r="32" spans="1:9" x14ac:dyDescent="0.25">
      <c r="A32">
        <f t="shared" si="0"/>
        <v>31</v>
      </c>
      <c r="B32" t="s">
        <v>157</v>
      </c>
      <c r="C32" s="1">
        <v>46113</v>
      </c>
      <c r="D32" t="str">
        <f>VLOOKUP(B32,Trades!A$1:M100089,3,FALSE)</f>
        <v>GOOG</v>
      </c>
      <c r="E32" t="s">
        <v>63</v>
      </c>
      <c r="F32">
        <v>294.67</v>
      </c>
      <c r="G32">
        <v>2</v>
      </c>
      <c r="H32">
        <f>IF(VLOOKUP(B32,Trades!A:M,4,FALSE)="Long",(F32-VLOOKUP(B32,Trades!A:M,6,FALSE))*G32,(VLOOKUP(B32,Trades!A:M,6,FALSE)-F32)*G32)</f>
        <v>4.32000000000005</v>
      </c>
      <c r="I32">
        <f>H32/Trades!I32</f>
        <v>0.63716814159292634</v>
      </c>
    </row>
    <row r="33" spans="1:9" x14ac:dyDescent="0.25">
      <c r="A33">
        <f t="shared" si="0"/>
        <v>32</v>
      </c>
      <c r="B33" t="s">
        <v>158</v>
      </c>
      <c r="C33" s="1">
        <v>46113</v>
      </c>
      <c r="D33" t="str">
        <f>VLOOKUP(B33,Trades!A$1:M100090,3,FALSE)</f>
        <v>TSN</v>
      </c>
      <c r="E33" t="s">
        <v>63</v>
      </c>
      <c r="F33">
        <v>64.06</v>
      </c>
      <c r="G33">
        <v>3</v>
      </c>
      <c r="H33">
        <f>IF(VLOOKUP(B33,Trades!A:M,4,FALSE)="Long",(F33-VLOOKUP(B33,Trades!A:M,6,FALSE))*G33,(VLOOKUP(B33,Trades!A:M,6,FALSE)-F33)*G33)</f>
        <v>3.1500000000000128</v>
      </c>
      <c r="I33">
        <f>H33/Trades!I33</f>
        <v>1.0500000000000043</v>
      </c>
    </row>
    <row r="34" spans="1:9" x14ac:dyDescent="0.25">
      <c r="A34">
        <f t="shared" si="0"/>
        <v>33</v>
      </c>
      <c r="B34" t="s">
        <v>160</v>
      </c>
      <c r="C34" s="1">
        <v>46114</v>
      </c>
      <c r="D34" t="str">
        <f>VLOOKUP(B34,Trades!A$1:M100091,3,FALSE)</f>
        <v>XOM</v>
      </c>
      <c r="E34" t="s">
        <v>63</v>
      </c>
      <c r="F34">
        <v>163.58000000000001</v>
      </c>
      <c r="G34">
        <v>2</v>
      </c>
      <c r="H34">
        <f>IF(VLOOKUP(B34,Trades!A:M,4,FALSE)="Long",(F34-VLOOKUP(B34,Trades!A:M,6,FALSE))*G34,(VLOOKUP(B34,Trades!A:M,6,FALSE)-F34)*G34)</f>
        <v>-4</v>
      </c>
      <c r="I34">
        <f>H34/Trades!I34</f>
        <v>-0.34423407917383819</v>
      </c>
    </row>
    <row r="35" spans="1:9" x14ac:dyDescent="0.25">
      <c r="A35">
        <f t="shared" si="0"/>
        <v>34</v>
      </c>
      <c r="B35" t="s">
        <v>162</v>
      </c>
      <c r="C35" s="1">
        <v>46118</v>
      </c>
      <c r="D35" t="str">
        <f>VLOOKUP(B35,Trades!A$1:M100092,3,FALSE)</f>
        <v>BDX</v>
      </c>
      <c r="E35" t="s">
        <v>63</v>
      </c>
      <c r="F35">
        <v>152.93</v>
      </c>
      <c r="G35">
        <v>3</v>
      </c>
      <c r="H35">
        <f>IF(VLOOKUP(B35,Trades!A:M,4,FALSE)="Long",(F35-VLOOKUP(B35,Trades!A:M,6,FALSE))*G35,(VLOOKUP(B35,Trades!A:M,6,FALSE)-F35)*G35)</f>
        <v>-11.04000000000002</v>
      </c>
      <c r="I35">
        <f>H35/Trades!I35</f>
        <v>-2.7600000000000051</v>
      </c>
    </row>
    <row r="36" spans="1:9" x14ac:dyDescent="0.25">
      <c r="A36">
        <f t="shared" si="0"/>
        <v>35</v>
      </c>
      <c r="B36" t="s">
        <v>164</v>
      </c>
      <c r="C36" s="1">
        <v>46118</v>
      </c>
      <c r="D36" t="str">
        <f>VLOOKUP(B36,Trades!A$1:M100093,3,FALSE)</f>
        <v>INTC</v>
      </c>
      <c r="E36" t="s">
        <v>63</v>
      </c>
      <c r="F36">
        <v>50.62</v>
      </c>
      <c r="G36">
        <v>4</v>
      </c>
      <c r="H36">
        <f>IF(VLOOKUP(B36,Trades!A:M,4,FALSE)="Long",(F36-VLOOKUP(B36,Trades!A:M,6,FALSE))*G36,(VLOOKUP(B36,Trades!A:M,6,FALSE)-F36)*G36)</f>
        <v>-4.4000000000000057</v>
      </c>
      <c r="I36">
        <f>H36/Trades!I36</f>
        <v>-0.40740740740740539</v>
      </c>
    </row>
    <row r="37" spans="1:9" x14ac:dyDescent="0.25">
      <c r="A37">
        <f t="shared" si="0"/>
        <v>36</v>
      </c>
      <c r="B37" t="s">
        <v>165</v>
      </c>
      <c r="C37" s="1">
        <v>46118</v>
      </c>
      <c r="D37" t="str">
        <f>VLOOKUP(B37,Trades!A$1:M100094,3,FALSE)</f>
        <v>INTC</v>
      </c>
      <c r="E37" t="s">
        <v>63</v>
      </c>
      <c r="F37">
        <v>49.98</v>
      </c>
      <c r="G37">
        <v>4</v>
      </c>
      <c r="H37">
        <f>IF(VLOOKUP(B37,Trades!A:M,4,FALSE)="Long",(F37-VLOOKUP(B37,Trades!A:M,6,FALSE))*G37,(VLOOKUP(B37,Trades!A:M,6,FALSE)-F37)*G37)</f>
        <v>-2.960000000000008</v>
      </c>
      <c r="I37">
        <f>H37/Trades!I37</f>
        <v>-0.2690909090909101</v>
      </c>
    </row>
    <row r="38" spans="1:9" x14ac:dyDescent="0.25">
      <c r="A38">
        <f t="shared" si="0"/>
        <v>37</v>
      </c>
      <c r="B38" t="s">
        <v>167</v>
      </c>
      <c r="C38" s="1">
        <v>46120</v>
      </c>
      <c r="D38" t="str">
        <f>VLOOKUP(B38,Trades!A$1:M100095,3,FALSE)</f>
        <v>NVDA</v>
      </c>
      <c r="E38" t="s">
        <v>63</v>
      </c>
      <c r="F38">
        <v>181.68</v>
      </c>
      <c r="G38">
        <v>3</v>
      </c>
      <c r="H38">
        <f>IF(VLOOKUP(B38,Trades!A:M,4,FALSE)="Long",(F38-VLOOKUP(B38,Trades!A:M,6,FALSE))*G38,(VLOOKUP(B38,Trades!A:M,6,FALSE)-F38)*G38)</f>
        <v>-9.0299999999999727</v>
      </c>
      <c r="I38">
        <f>H38/Trades!I38</f>
        <v>-3.0302013422818517</v>
      </c>
    </row>
    <row r="39" spans="1:9" x14ac:dyDescent="0.25">
      <c r="A39">
        <f t="shared" si="0"/>
        <v>38</v>
      </c>
      <c r="B39" t="s">
        <v>168</v>
      </c>
      <c r="C39" s="1">
        <v>46120</v>
      </c>
      <c r="D39" t="str">
        <f>VLOOKUP(B39,Trades!A$1:M100096,3,FALSE)</f>
        <v>NVDA</v>
      </c>
      <c r="E39" t="s">
        <v>63</v>
      </c>
      <c r="F39">
        <v>181.08</v>
      </c>
      <c r="G39">
        <v>3</v>
      </c>
      <c r="H39">
        <f>IF(VLOOKUP(B39,Trades!A:M,4,FALSE)="Long",(F39-VLOOKUP(B39,Trades!A:M,6,FALSE))*G39,(VLOOKUP(B39,Trades!A:M,6,FALSE)-F39)*G39)</f>
        <v>-3.1499999999999488</v>
      </c>
      <c r="I39">
        <f>H39/Trades!I39</f>
        <v>-0.78749999999998721</v>
      </c>
    </row>
    <row r="40" spans="1:9" x14ac:dyDescent="0.25">
      <c r="A40">
        <f t="shared" si="0"/>
        <v>39</v>
      </c>
      <c r="B40" t="s">
        <v>170</v>
      </c>
      <c r="C40" s="1">
        <v>46121</v>
      </c>
      <c r="D40" t="str">
        <f>VLOOKUP(B40,Trades!A$1:M100097,3,FALSE)</f>
        <v>ROST</v>
      </c>
      <c r="E40" t="s">
        <v>63</v>
      </c>
      <c r="F40">
        <v>223.51</v>
      </c>
      <c r="G40">
        <v>2</v>
      </c>
      <c r="H40">
        <f>IF(VLOOKUP(B40,Trades!A:M,4,FALSE)="Long",(F40-VLOOKUP(B40,Trades!A:M,6,FALSE))*G40,(VLOOKUP(B40,Trades!A:M,6,FALSE)-F40)*G40)</f>
        <v>15.620000000000005</v>
      </c>
      <c r="I40">
        <f>H40/Trades!I40</f>
        <v>2.9305816135084428</v>
      </c>
    </row>
    <row r="41" spans="1:9" x14ac:dyDescent="0.25">
      <c r="A41">
        <f t="shared" si="0"/>
        <v>40</v>
      </c>
      <c r="B41" t="s">
        <v>172</v>
      </c>
      <c r="C41" s="1">
        <v>46121</v>
      </c>
      <c r="D41" t="str">
        <f>VLOOKUP(B41,Trades!A$1:M100098,3,FALSE)</f>
        <v>NVDA</v>
      </c>
      <c r="E41" t="s">
        <v>63</v>
      </c>
      <c r="F41">
        <v>188.46</v>
      </c>
      <c r="G41">
        <v>3</v>
      </c>
      <c r="H41">
        <f>IF(VLOOKUP(B41,Trades!A:M,4,FALSE)="Long",(F41-VLOOKUP(B41,Trades!A:M,6,FALSE))*G41,(VLOOKUP(B41,Trades!A:M,6,FALSE)-F41)*G41)</f>
        <v>20.670000000000044</v>
      </c>
      <c r="I41">
        <f>H41/Trades!I41</f>
        <v>2.4432624113475043</v>
      </c>
    </row>
    <row r="42" spans="1:9" x14ac:dyDescent="0.25">
      <c r="A42">
        <f t="shared" si="0"/>
        <v>41</v>
      </c>
      <c r="B42" t="s">
        <v>173</v>
      </c>
      <c r="C42" s="1">
        <v>46121</v>
      </c>
      <c r="D42" t="str">
        <f>VLOOKUP(B42,Trades!A$1:M100099,3,FALSE)</f>
        <v>LEXX</v>
      </c>
      <c r="E42" t="s">
        <v>63</v>
      </c>
      <c r="F42">
        <v>0.88</v>
      </c>
      <c r="G42">
        <v>50</v>
      </c>
      <c r="H42">
        <f>IF(VLOOKUP(B42,Trades!A:M,4,FALSE)="Long",(F42-VLOOKUP(B42,Trades!A:M,6,FALSE))*G42,(VLOOKUP(B42,Trades!A:M,6,FALSE)-F42)*G42)</f>
        <v>-6</v>
      </c>
      <c r="I42">
        <f>H42/Trades!I42</f>
        <v>-1.363636363636362</v>
      </c>
    </row>
    <row r="43" spans="1:9" x14ac:dyDescent="0.25">
      <c r="A43">
        <f t="shared" si="0"/>
        <v>42</v>
      </c>
      <c r="B43" t="s">
        <v>174</v>
      </c>
      <c r="C43" s="1">
        <v>46125</v>
      </c>
      <c r="D43" t="str">
        <f>VLOOKUP(B43,Trades!A$1:M100100,3,FALSE)</f>
        <v>AMD</v>
      </c>
      <c r="E43" t="s">
        <v>63</v>
      </c>
      <c r="F43">
        <v>243.02</v>
      </c>
      <c r="G43">
        <v>2</v>
      </c>
      <c r="H43">
        <f>IF(VLOOKUP(B43,Trades!A:M,4,FALSE)="Long",(F43-VLOOKUP(B43,Trades!A:M,6,FALSE))*G43,(VLOOKUP(B43,Trades!A:M,6,FALSE)-F43)*G43)</f>
        <v>-6.0600000000000023</v>
      </c>
      <c r="I43">
        <f>H43/Trades!I43</f>
        <v>-2.1338028169014067</v>
      </c>
    </row>
    <row r="44" spans="1:9" x14ac:dyDescent="0.25">
      <c r="A44">
        <f t="shared" si="0"/>
        <v>43</v>
      </c>
      <c r="B44" t="s">
        <v>177</v>
      </c>
      <c r="C44" s="1">
        <v>46126</v>
      </c>
      <c r="D44" t="str">
        <f>VLOOKUP(B44,Trades!A$1:M100101,3,FALSE)</f>
        <v>NVDA</v>
      </c>
      <c r="E44" t="s">
        <v>63</v>
      </c>
      <c r="F44">
        <v>193.51</v>
      </c>
      <c r="G44">
        <v>2</v>
      </c>
      <c r="H44">
        <f>IF(VLOOKUP(B44,Trades!A:M,4,FALSE)="Long",(F44-VLOOKUP(B44,Trades!A:M,6,FALSE))*G44,(VLOOKUP(B44,Trades!A:M,6,FALSE)-F44)*G44)</f>
        <v>5.2799999999999727</v>
      </c>
      <c r="I44">
        <f>H44/Trades!I44</f>
        <v>0.58666666666666367</v>
      </c>
    </row>
    <row r="45" spans="1:9" x14ac:dyDescent="0.25">
      <c r="A45">
        <f t="shared" si="0"/>
        <v>44</v>
      </c>
      <c r="B45" t="s">
        <v>178</v>
      </c>
      <c r="C45" s="1">
        <v>46126</v>
      </c>
      <c r="D45" t="str">
        <f>VLOOKUP(B45,Trades!A$1:M100102,3,FALSE)</f>
        <v>NUE</v>
      </c>
      <c r="E45" t="s">
        <v>63</v>
      </c>
      <c r="F45">
        <v>189.82</v>
      </c>
      <c r="G45">
        <v>2</v>
      </c>
      <c r="H45">
        <f>IF(VLOOKUP(B45,Trades!A:M,4,FALSE)="Long",(F45-VLOOKUP(B45,Trades!A:M,6,FALSE))*G45,(VLOOKUP(B45,Trades!A:M,6,FALSE)-F45)*G45)</f>
        <v>45.740000000000009</v>
      </c>
      <c r="I45">
        <f>H45/Trades!I45</f>
        <v>14.660256410256526</v>
      </c>
    </row>
    <row r="46" spans="1:9" x14ac:dyDescent="0.25">
      <c r="A46">
        <f t="shared" si="0"/>
        <v>45</v>
      </c>
      <c r="B46" t="s">
        <v>180</v>
      </c>
      <c r="C46" s="1">
        <v>46127</v>
      </c>
      <c r="D46" t="str">
        <f>VLOOKUP(B46,Trades!A$1:M100103,3,FALSE)</f>
        <v>NVDA</v>
      </c>
      <c r="E46" t="s">
        <v>63</v>
      </c>
      <c r="F46">
        <v>196.2</v>
      </c>
      <c r="G46">
        <v>2</v>
      </c>
      <c r="H46">
        <f>IF(VLOOKUP(B46,Trades!A:M,4,FALSE)="Long",(F46-VLOOKUP(B46,Trades!A:M,6,FALSE))*G46,(VLOOKUP(B46,Trades!A:M,6,FALSE)-F46)*G46)</f>
        <v>-3.0200000000000387</v>
      </c>
      <c r="I46">
        <f>H46/Trades!I46</f>
        <v>-0.71904761904762537</v>
      </c>
    </row>
    <row r="47" spans="1:9" x14ac:dyDescent="0.25">
      <c r="A47">
        <f t="shared" si="0"/>
        <v>46</v>
      </c>
      <c r="B47" t="s">
        <v>182</v>
      </c>
      <c r="C47" s="1">
        <v>46128</v>
      </c>
      <c r="D47" t="str">
        <f>VLOOKUP(B47,Trades!A$1:M100104,3,FALSE)</f>
        <v>SNOW</v>
      </c>
      <c r="E47" t="s">
        <v>63</v>
      </c>
      <c r="F47">
        <v>146.69</v>
      </c>
      <c r="G47">
        <v>2</v>
      </c>
      <c r="H47">
        <f>IF(VLOOKUP(B47,Trades!A:M,4,FALSE)="Long",(F47-VLOOKUP(B47,Trades!A:M,6,FALSE))*G47,(VLOOKUP(B47,Trades!A:M,6,FALSE)-F47)*G47)</f>
        <v>-4.1999999999999886</v>
      </c>
      <c r="I47">
        <f>H47/Trades!I47</f>
        <v>-0.21874999999999922</v>
      </c>
    </row>
    <row r="48" spans="1:9" x14ac:dyDescent="0.25">
      <c r="A48">
        <f t="shared" si="0"/>
        <v>47</v>
      </c>
      <c r="B48" t="s">
        <v>184</v>
      </c>
      <c r="C48" s="1">
        <v>46128</v>
      </c>
      <c r="D48" t="str">
        <f>VLOOKUP(B48,Trades!A$1:M100105,3,FALSE)</f>
        <v>ATEC</v>
      </c>
      <c r="E48" t="s">
        <v>63</v>
      </c>
      <c r="F48">
        <v>11.11</v>
      </c>
      <c r="G48">
        <v>30</v>
      </c>
      <c r="H48">
        <f>IF(VLOOKUP(B48,Trades!A:M,4,FALSE)="Long",(F48-VLOOKUP(B48,Trades!A:M,6,FALSE))*G48,(VLOOKUP(B48,Trades!A:M,6,FALSE)-F48)*G48)</f>
        <v>-9.3000000000000149</v>
      </c>
      <c r="I48">
        <f>H48/Trades!I48</f>
        <v>-0.69506726457399204</v>
      </c>
    </row>
    <row r="49" spans="1:9" x14ac:dyDescent="0.25">
      <c r="A49">
        <f t="shared" si="0"/>
        <v>48</v>
      </c>
      <c r="B49" t="s">
        <v>185</v>
      </c>
      <c r="C49" s="1">
        <v>46128</v>
      </c>
      <c r="D49" t="str">
        <f>VLOOKUP(B49,Trades!A$1:M100106,3,FALSE)</f>
        <v>WMT</v>
      </c>
      <c r="E49" t="s">
        <v>63</v>
      </c>
      <c r="F49">
        <v>124.31</v>
      </c>
      <c r="G49">
        <v>3</v>
      </c>
      <c r="H49">
        <f>IF(VLOOKUP(B49,Trades!A:M,4,FALSE)="Long",(F49-VLOOKUP(B49,Trades!A:M,6,FALSE))*G49,(VLOOKUP(B49,Trades!A:M,6,FALSE)-F49)*G49)</f>
        <v>3.1800000000000068</v>
      </c>
      <c r="I49">
        <f>H49/Trades!I49</f>
        <v>0.53000000000000114</v>
      </c>
    </row>
    <row r="50" spans="1:9" x14ac:dyDescent="0.25">
      <c r="A50">
        <f t="shared" si="0"/>
        <v>49</v>
      </c>
      <c r="B50" t="s">
        <v>186</v>
      </c>
      <c r="C50" s="1">
        <v>46128</v>
      </c>
      <c r="D50" t="str">
        <f>VLOOKUP(B50,Trades!A$1:M100107,3,FALSE)</f>
        <v>UEC</v>
      </c>
      <c r="E50" t="s">
        <v>63</v>
      </c>
      <c r="F50">
        <v>15.22</v>
      </c>
      <c r="G50">
        <v>7</v>
      </c>
      <c r="H50">
        <f>IF(VLOOKUP(B50,Trades!A:M,4,FALSE)="Long",(F50-VLOOKUP(B50,Trades!A:M,6,FALSE))*G50,(VLOOKUP(B50,Trades!A:M,6,FALSE)-F50)*G50)</f>
        <v>15.050000000000002</v>
      </c>
      <c r="I50">
        <f>H50/Trades!I50</f>
        <v>2.6403508771929838</v>
      </c>
    </row>
    <row r="51" spans="1:9" x14ac:dyDescent="0.25">
      <c r="A51">
        <f t="shared" si="0"/>
        <v>50</v>
      </c>
      <c r="B51" t="s">
        <v>187</v>
      </c>
      <c r="C51" s="1">
        <v>46129</v>
      </c>
      <c r="D51" t="str">
        <f>VLOOKUP(B51,Trades!A$1:M100108,3,FALSE)</f>
        <v>GILD</v>
      </c>
      <c r="E51" t="s">
        <v>63</v>
      </c>
      <c r="F51">
        <v>136.91</v>
      </c>
      <c r="G51">
        <v>4</v>
      </c>
      <c r="H51">
        <f>IF(VLOOKUP(B51,Trades!A:M,4,FALSE)="Long",(F51-VLOOKUP(B51,Trades!A:M,6,FALSE))*G51,(VLOOKUP(B51,Trades!A:M,6,FALSE)-F51)*G51)</f>
        <v>-12.960000000000036</v>
      </c>
      <c r="I51">
        <f>H51/Trades!I51</f>
        <v>-3.2400000000000091</v>
      </c>
    </row>
    <row r="52" spans="1:9" x14ac:dyDescent="0.25">
      <c r="A52">
        <f t="shared" si="0"/>
        <v>51</v>
      </c>
      <c r="B52" t="s">
        <v>190</v>
      </c>
      <c r="C52" s="1">
        <v>46129</v>
      </c>
      <c r="D52" t="str">
        <f>VLOOKUP(B52,Trades!A$1:M100109,3,FALSE)</f>
        <v>PATH</v>
      </c>
      <c r="E52" t="s">
        <v>63</v>
      </c>
      <c r="F52">
        <v>10.39</v>
      </c>
      <c r="G52">
        <v>30</v>
      </c>
      <c r="H52">
        <f>IF(VLOOKUP(B52,Trades!A:M,4,FALSE)="Long",(F52-VLOOKUP(B52,Trades!A:M,6,FALSE))*G52,(VLOOKUP(B52,Trades!A:M,6,FALSE)-F52)*G52)</f>
        <v>-13.799999999999972</v>
      </c>
      <c r="I52">
        <f>H52/Trades!I52</f>
        <v>-1.5935334872979137</v>
      </c>
    </row>
    <row r="53" spans="1:9" x14ac:dyDescent="0.25">
      <c r="A53">
        <f t="shared" si="0"/>
        <v>52</v>
      </c>
      <c r="B53" t="s">
        <v>191</v>
      </c>
      <c r="C53" s="1">
        <v>46129</v>
      </c>
      <c r="D53" t="str">
        <f>VLOOKUP(B53,Trades!A$1:M100110,3,FALSE)</f>
        <v>AMZN</v>
      </c>
      <c r="E53" t="s">
        <v>63</v>
      </c>
      <c r="F53">
        <v>251.83</v>
      </c>
      <c r="G53">
        <v>4</v>
      </c>
      <c r="H53">
        <f>IF(VLOOKUP(B53,Trades!A:M,4,FALSE)="Long",(F53-VLOOKUP(B53,Trades!A:M,6,FALSE))*G53,(VLOOKUP(B53,Trades!A:M,6,FALSE)-F53)*G53)</f>
        <v>-8.6399999999999864</v>
      </c>
      <c r="I53">
        <f>H53/Trades!I53</f>
        <v>-1.8382978723404202</v>
      </c>
    </row>
    <row r="54" spans="1:9" x14ac:dyDescent="0.25">
      <c r="A54">
        <f t="shared" si="0"/>
        <v>53</v>
      </c>
      <c r="B54" t="s">
        <v>192</v>
      </c>
      <c r="C54" s="1">
        <v>46132</v>
      </c>
      <c r="D54" t="str">
        <f>VLOOKUP(B54,Trades!A$1:M100111,3,FALSE)</f>
        <v>CLX</v>
      </c>
      <c r="E54" t="s">
        <v>63</v>
      </c>
      <c r="F54">
        <v>102.95</v>
      </c>
      <c r="G54">
        <v>6</v>
      </c>
      <c r="H54">
        <f>IF(VLOOKUP(B54,Trades!A:M,4,FALSE)="Long",(F54-VLOOKUP(B54,Trades!A:M,6,FALSE))*G54,(VLOOKUP(B54,Trades!A:M,6,FALSE)-F54)*G54)</f>
        <v>-13.380000000000024</v>
      </c>
      <c r="I54">
        <f>H54/Trades!I54</f>
        <v>-1.0356037151702746</v>
      </c>
    </row>
    <row r="55" spans="1:9" x14ac:dyDescent="0.25">
      <c r="A55">
        <f t="shared" si="0"/>
        <v>54</v>
      </c>
      <c r="B55" t="s">
        <v>193</v>
      </c>
      <c r="C55" s="1">
        <v>46132</v>
      </c>
      <c r="D55" t="str">
        <f>VLOOKUP(B55,Trades!A$1:M100112,3,FALSE)</f>
        <v>APPS</v>
      </c>
      <c r="E55" t="s">
        <v>63</v>
      </c>
      <c r="F55">
        <v>3.67</v>
      </c>
      <c r="G55">
        <v>30</v>
      </c>
      <c r="H55">
        <f>IF(VLOOKUP(B55,Trades!A:M,4,FALSE)="Long",(F55-VLOOKUP(B55,Trades!A:M,6,FALSE))*G55,(VLOOKUP(B55,Trades!A:M,6,FALSE)-F55)*G55)</f>
        <v>22.799999999999994</v>
      </c>
      <c r="I55">
        <f>H55/Trades!I55</f>
        <v>7.6510067114093472</v>
      </c>
    </row>
    <row r="56" spans="1:9" x14ac:dyDescent="0.25">
      <c r="A56">
        <f t="shared" si="0"/>
        <v>55</v>
      </c>
      <c r="B56" t="s">
        <v>194</v>
      </c>
      <c r="C56" s="1">
        <v>46132</v>
      </c>
      <c r="D56" t="str">
        <f>VLOOKUP(B56,Trades!A$1:M100113,3,FALSE)</f>
        <v>APLD</v>
      </c>
      <c r="E56" t="s">
        <v>63</v>
      </c>
      <c r="F56">
        <v>30.93</v>
      </c>
      <c r="G56">
        <v>6</v>
      </c>
      <c r="H56">
        <f>IF(VLOOKUP(B56,Trades!A:M,4,FALSE)="Long",(F56-VLOOKUP(B56,Trades!A:M,6,FALSE))*G56,(VLOOKUP(B56,Trades!A:M,6,FALSE)-F56)*G56)</f>
        <v>22.5</v>
      </c>
      <c r="I56">
        <f>H56/Trades!I56</f>
        <v>3.571428571428569</v>
      </c>
    </row>
    <row r="57" spans="1:9" x14ac:dyDescent="0.25">
      <c r="A57">
        <f t="shared" si="0"/>
        <v>56</v>
      </c>
      <c r="B57" t="s">
        <v>196</v>
      </c>
      <c r="C57" s="1">
        <v>46132</v>
      </c>
      <c r="D57" t="str">
        <f>VLOOKUP(B57,Trades!A$1:M100114,3,FALSE)</f>
        <v>CELH</v>
      </c>
      <c r="E57" t="s">
        <v>63</v>
      </c>
      <c r="F57">
        <v>33.299999999999997</v>
      </c>
      <c r="G57">
        <v>3</v>
      </c>
      <c r="H57">
        <f>IF(VLOOKUP(B57,Trades!A:M,4,FALSE)="Long",(F57-VLOOKUP(B57,Trades!A:M,6,FALSE))*G57,(VLOOKUP(B57,Trades!A:M,6,FALSE)-F57)*G57)</f>
        <v>-5.6400000000000077</v>
      </c>
      <c r="I57">
        <f>H57/Trades!I57</f>
        <v>-1.9183673469387796</v>
      </c>
    </row>
    <row r="58" spans="1:9" x14ac:dyDescent="0.25">
      <c r="A58">
        <f t="shared" si="0"/>
        <v>57</v>
      </c>
      <c r="B58" t="s">
        <v>197</v>
      </c>
      <c r="C58" s="1">
        <v>46132</v>
      </c>
      <c r="D58" t="str">
        <f>VLOOKUP(B58,Trades!A$1:M100115,3,FALSE)</f>
        <v>MRVL</v>
      </c>
      <c r="E58" t="s">
        <v>63</v>
      </c>
      <c r="F58">
        <v>144.76</v>
      </c>
      <c r="G58">
        <v>6</v>
      </c>
      <c r="H58">
        <f>IF(VLOOKUP(B58,Trades!A:M,4,FALSE)="Long",(F58-VLOOKUP(B58,Trades!A:M,6,FALSE))*G58,(VLOOKUP(B58,Trades!A:M,6,FALSE)-F58)*G58)</f>
        <v>-6.6600000000000819</v>
      </c>
      <c r="I58">
        <f>H58/Trades!I58</f>
        <v>-0.71612903225807212</v>
      </c>
    </row>
    <row r="59" spans="1:9" x14ac:dyDescent="0.25">
      <c r="A59">
        <f t="shared" si="0"/>
        <v>58</v>
      </c>
      <c r="B59" t="s">
        <v>186</v>
      </c>
      <c r="C59" s="1">
        <v>46132</v>
      </c>
      <c r="D59" t="str">
        <f>VLOOKUP(B59,Trades!A$1:M100116,3,FALSE)</f>
        <v>UEC</v>
      </c>
      <c r="E59" t="s">
        <v>63</v>
      </c>
      <c r="F59">
        <v>14.91</v>
      </c>
      <c r="G59">
        <v>7</v>
      </c>
      <c r="H59">
        <f>IF(VLOOKUP(B59,Trades!A:M,4,FALSE)="Long",(F59-VLOOKUP(B59,Trades!A:M,6,FALSE))*G59,(VLOOKUP(B59,Trades!A:M,6,FALSE)-F59)*G59)</f>
        <v>12.879999999999999</v>
      </c>
      <c r="I59">
        <f>H59/Trades!I59</f>
        <v>2.0444444444444496</v>
      </c>
    </row>
    <row r="60" spans="1:9" x14ac:dyDescent="0.25">
      <c r="A60">
        <f t="shared" si="0"/>
        <v>59</v>
      </c>
      <c r="B60" t="s">
        <v>198</v>
      </c>
      <c r="C60" s="1">
        <v>46132</v>
      </c>
      <c r="D60" t="str">
        <f>VLOOKUP(B60,Trades!A$1:M100117,3,FALSE)</f>
        <v>MRVL</v>
      </c>
      <c r="E60" t="s">
        <v>63</v>
      </c>
      <c r="F60">
        <v>144.35</v>
      </c>
      <c r="G60">
        <v>6</v>
      </c>
      <c r="H60">
        <f>IF(VLOOKUP(B60,Trades!A:M,4,FALSE)="Long",(F60-VLOOKUP(B60,Trades!A:M,6,FALSE))*G60,(VLOOKUP(B60,Trades!A:M,6,FALSE)-F60)*G60)</f>
        <v>-7.2000000000001023</v>
      </c>
      <c r="I60">
        <f>H60/Trades!I60</f>
        <v>-0.52173913043479103</v>
      </c>
    </row>
    <row r="61" spans="1:9" x14ac:dyDescent="0.25">
      <c r="A61">
        <f t="shared" si="0"/>
        <v>60</v>
      </c>
      <c r="B61" t="s">
        <v>201</v>
      </c>
      <c r="C61" s="1">
        <v>46132</v>
      </c>
      <c r="D61" t="str">
        <f>VLOOKUP(B61,Trades!A$1:M100118,3,FALSE)</f>
        <v>MDT</v>
      </c>
      <c r="E61" t="s">
        <v>63</v>
      </c>
      <c r="F61">
        <v>85.18</v>
      </c>
      <c r="G61">
        <v>6</v>
      </c>
      <c r="H61">
        <f>IF(VLOOKUP(B61,Trades!A:M,4,FALSE)="Long",(F61-VLOOKUP(B61,Trades!A:M,6,FALSE))*G61,(VLOOKUP(B61,Trades!A:M,6,FALSE)-F61)*G61)</f>
        <v>-8.9399999999999693</v>
      </c>
      <c r="I61">
        <f>H61/Trades!I61</f>
        <v>-0.89399999999999691</v>
      </c>
    </row>
    <row r="62" spans="1:9" x14ac:dyDescent="0.25">
      <c r="A62">
        <f t="shared" si="0"/>
        <v>61</v>
      </c>
      <c r="B62" t="s">
        <v>205</v>
      </c>
      <c r="C62" s="1">
        <v>46133</v>
      </c>
      <c r="D62" t="str">
        <f>VLOOKUP(B62,Trades!A$1:M100119,3,FALSE)</f>
        <v>KO</v>
      </c>
      <c r="E62" t="s">
        <v>63</v>
      </c>
      <c r="F62">
        <v>74.989999999999995</v>
      </c>
      <c r="G62">
        <v>10</v>
      </c>
      <c r="H62">
        <f>IF(VLOOKUP(B62,Trades!A:M,4,FALSE)="Long",(F62-VLOOKUP(B62,Trades!A:M,6,FALSE))*G62,(VLOOKUP(B62,Trades!A:M,6,FALSE)-F62)*G62)</f>
        <v>-6.9000000000001194</v>
      </c>
      <c r="I62">
        <f>H62/Trades!I62</f>
        <v>-0.51569506726458203</v>
      </c>
    </row>
    <row r="63" spans="1:9" x14ac:dyDescent="0.25">
      <c r="A63">
        <f t="shared" si="0"/>
        <v>62</v>
      </c>
      <c r="B63" t="s">
        <v>206</v>
      </c>
      <c r="C63" s="1">
        <v>46133</v>
      </c>
      <c r="D63" t="str">
        <f>VLOOKUP(B63,Trades!A$1:M100120,3,FALSE)</f>
        <v>SOUN</v>
      </c>
      <c r="E63" t="s">
        <v>63</v>
      </c>
      <c r="F63">
        <v>8.07</v>
      </c>
      <c r="G63">
        <v>10</v>
      </c>
      <c r="H63">
        <f>IF(VLOOKUP(B63,Trades!A:M,4,FALSE)="Long",(F63-VLOOKUP(B63,Trades!A:M,6,FALSE))*G63,(VLOOKUP(B63,Trades!A:M,6,FALSE)-F63)*G63)</f>
        <v>-7.0999999999999908</v>
      </c>
      <c r="I63">
        <f>H63/Trades!I63</f>
        <v>-1.095679012345665</v>
      </c>
    </row>
    <row r="64" spans="1:9" x14ac:dyDescent="0.25">
      <c r="A64">
        <f t="shared" si="0"/>
        <v>63</v>
      </c>
      <c r="B64" t="s">
        <v>207</v>
      </c>
      <c r="C64" s="1">
        <v>46133</v>
      </c>
      <c r="D64" t="str">
        <f>VLOOKUP(B64,Trades!A$1:M100121,3,FALSE)</f>
        <v>ATEC</v>
      </c>
      <c r="E64" t="s">
        <v>63</v>
      </c>
      <c r="F64">
        <v>10.81</v>
      </c>
      <c r="G64">
        <v>10</v>
      </c>
      <c r="H64">
        <f>IF(VLOOKUP(B64,Trades!A:M,4,FALSE)="Long",(F64-VLOOKUP(B64,Trades!A:M,6,FALSE))*G64,(VLOOKUP(B64,Trades!A:M,6,FALSE)-F64)*G64)</f>
        <v>-7.5999999999999979</v>
      </c>
      <c r="I64">
        <f>H64/Trades!I64</f>
        <v>-1.2179487179486936</v>
      </c>
    </row>
    <row r="65" spans="1:9" x14ac:dyDescent="0.25">
      <c r="A65">
        <f t="shared" si="0"/>
        <v>64</v>
      </c>
      <c r="B65" t="s">
        <v>210</v>
      </c>
      <c r="C65" s="1">
        <v>46134</v>
      </c>
      <c r="D65" t="str">
        <f>VLOOKUP(B65,Trades!A$1:M100122,3,FALSE)</f>
        <v>AMD</v>
      </c>
      <c r="E65" t="s">
        <v>63</v>
      </c>
      <c r="F65">
        <v>296.07</v>
      </c>
      <c r="G65">
        <v>2</v>
      </c>
      <c r="H65">
        <f>IF(VLOOKUP(B65,Trades!A:M,4,FALSE)="Long",(F65-VLOOKUP(B65,Trades!A:M,6,FALSE))*G65,(VLOOKUP(B65,Trades!A:M,6,FALSE)-F65)*G65)</f>
        <v>15.159999999999968</v>
      </c>
      <c r="I65">
        <f>H65/Trades!I65</f>
        <v>1.695749440715886</v>
      </c>
    </row>
    <row r="66" spans="1:9" x14ac:dyDescent="0.25">
      <c r="A66">
        <f t="shared" si="0"/>
        <v>65</v>
      </c>
      <c r="B66" t="s">
        <v>211</v>
      </c>
      <c r="C66" s="1">
        <v>46134</v>
      </c>
      <c r="D66" t="str">
        <f>VLOOKUP(B66,Trades!A$1:M100123,3,FALSE)</f>
        <v>PLTR</v>
      </c>
      <c r="E66" t="s">
        <v>63</v>
      </c>
      <c r="F66">
        <v>151.35</v>
      </c>
      <c r="G66">
        <v>1</v>
      </c>
      <c r="H66">
        <f>IF(VLOOKUP(B66,Trades!A:M,4,FALSE)="Long",(F66-VLOOKUP(B66,Trades!A:M,6,FALSE))*G66,(VLOOKUP(B66,Trades!A:M,6,FALSE)-F66)*G66)</f>
        <v>18.849999999999994</v>
      </c>
      <c r="I66">
        <f>H66/Trades!I66</f>
        <v>2.7318840579709662</v>
      </c>
    </row>
    <row r="67" spans="1:9" x14ac:dyDescent="0.25">
      <c r="A67">
        <f t="shared" si="0"/>
        <v>66</v>
      </c>
      <c r="B67" t="s">
        <v>214</v>
      </c>
      <c r="C67" s="1">
        <v>46135</v>
      </c>
      <c r="D67" t="str">
        <f>VLOOKUP(B67,Trades!A$1:M100124,3,FALSE)</f>
        <v>SMCI</v>
      </c>
      <c r="E67" t="s">
        <v>63</v>
      </c>
      <c r="F67">
        <v>26.5</v>
      </c>
      <c r="G67">
        <v>10</v>
      </c>
      <c r="H67">
        <f>IF(VLOOKUP(B67,Trades!A:M,4,FALSE)="Long",(F67-VLOOKUP(B67,Trades!A:M,6,FALSE))*G67,(VLOOKUP(B67,Trades!A:M,6,FALSE)-F67)*G67)</f>
        <v>-26.499999999999986</v>
      </c>
      <c r="I67">
        <f>H67/Trades!I67</f>
        <v>-6.3095238095238075</v>
      </c>
    </row>
    <row r="68" spans="1:9" x14ac:dyDescent="0.25">
      <c r="A68">
        <f t="shared" si="0"/>
        <v>67</v>
      </c>
      <c r="B68" t="s">
        <v>216</v>
      </c>
      <c r="C68" s="1">
        <v>46135</v>
      </c>
      <c r="D68" t="str">
        <f>VLOOKUP(B68,Trades!A$1:M100125,3,FALSE)</f>
        <v>PATH</v>
      </c>
      <c r="E68" t="s">
        <v>63</v>
      </c>
      <c r="F68">
        <v>10.15</v>
      </c>
      <c r="G68">
        <v>10</v>
      </c>
      <c r="H68">
        <f>IF(VLOOKUP(B68,Trades!A:M,4,FALSE)="Long",(F68-VLOOKUP(B68,Trades!A:M,6,FALSE))*G68,(VLOOKUP(B68,Trades!A:M,6,FALSE)-F68)*G68)</f>
        <v>-4.2999999999999972</v>
      </c>
      <c r="I68">
        <f>H68/Trades!I68</f>
        <v>-0.67187499999999989</v>
      </c>
    </row>
    <row r="69" spans="1:9" x14ac:dyDescent="0.25">
      <c r="A69">
        <f t="shared" si="0"/>
        <v>68</v>
      </c>
      <c r="B69" t="s">
        <v>217</v>
      </c>
      <c r="C69" s="1">
        <v>46135</v>
      </c>
      <c r="D69" t="str">
        <f>VLOOKUP(B69,Trades!A$1:M100126,3,FALSE)</f>
        <v>ONDS</v>
      </c>
      <c r="E69" t="s">
        <v>63</v>
      </c>
      <c r="F69">
        <v>10.45</v>
      </c>
      <c r="G69">
        <v>10</v>
      </c>
      <c r="H69">
        <f>IF(VLOOKUP(B69,Trades!A:M,4,FALSE)="Long",(F69-VLOOKUP(B69,Trades!A:M,6,FALSE))*G69,(VLOOKUP(B69,Trades!A:M,6,FALSE)-F69)*G69)</f>
        <v>8.0999999999999872</v>
      </c>
      <c r="I69">
        <f>H69/Trades!I69</f>
        <v>1.2656249999999969</v>
      </c>
    </row>
    <row r="70" spans="1:9" x14ac:dyDescent="0.25">
      <c r="A70">
        <f t="shared" si="0"/>
        <v>69</v>
      </c>
      <c r="B70" t="s">
        <v>218</v>
      </c>
      <c r="C70" s="1">
        <v>46135</v>
      </c>
      <c r="D70" t="str">
        <f>VLOOKUP(B70,Trades!A$1:M100127,3,FALSE)</f>
        <v>RCAT</v>
      </c>
      <c r="E70" t="s">
        <v>63</v>
      </c>
      <c r="F70">
        <v>12.782</v>
      </c>
      <c r="G70">
        <v>10</v>
      </c>
      <c r="H70">
        <f>IF(VLOOKUP(B70,Trades!A:M,4,FALSE)="Long",(F70-VLOOKUP(B70,Trades!A:M,6,FALSE))*G70,(VLOOKUP(B70,Trades!A:M,6,FALSE)-F70)*G70)</f>
        <v>-6.8800000000000061</v>
      </c>
      <c r="I70">
        <f>H70/Trades!I70</f>
        <v>-0.56347256347256292</v>
      </c>
    </row>
    <row r="71" spans="1:9" x14ac:dyDescent="0.25">
      <c r="A71">
        <f t="shared" si="0"/>
        <v>70</v>
      </c>
      <c r="B71" t="s">
        <v>211</v>
      </c>
      <c r="C71" s="1">
        <v>46135</v>
      </c>
      <c r="D71" t="str">
        <f>VLOOKUP(B71,Trades!A$1:M100128,3,FALSE)</f>
        <v>PLTR</v>
      </c>
      <c r="E71" t="s">
        <v>63</v>
      </c>
      <c r="F71">
        <v>142.31</v>
      </c>
      <c r="G71">
        <v>2</v>
      </c>
      <c r="H71">
        <f>IF(VLOOKUP(B71,Trades!A:M,4,FALSE)="Long",(F71-VLOOKUP(B71,Trades!A:M,6,FALSE))*G71,(VLOOKUP(B71,Trades!A:M,6,FALSE)-F71)*G71)</f>
        <v>19.620000000000005</v>
      </c>
      <c r="I71">
        <f>H71/Trades!I71</f>
        <v>2.7633802816901452</v>
      </c>
    </row>
    <row r="72" spans="1:9" x14ac:dyDescent="0.25">
      <c r="A72">
        <f t="shared" si="0"/>
        <v>71</v>
      </c>
      <c r="B72" t="s">
        <v>219</v>
      </c>
      <c r="C72" s="1">
        <v>46135</v>
      </c>
      <c r="D72" t="str">
        <f>VLOOKUP(B72,Trades!A$1:M100129,3,FALSE)</f>
        <v>QS</v>
      </c>
      <c r="E72" t="s">
        <v>63</v>
      </c>
      <c r="F72">
        <v>7.77</v>
      </c>
      <c r="G72">
        <v>3</v>
      </c>
      <c r="H72">
        <f>IF(VLOOKUP(B72,Trades!A:M,4,FALSE)="Long",(F72-VLOOKUP(B72,Trades!A:M,6,FALSE))*G72,(VLOOKUP(B72,Trades!A:M,6,FALSE)-F72)*G72)</f>
        <v>-3</v>
      </c>
      <c r="I72">
        <f>H72/Trades!I72</f>
        <v>-0.6</v>
      </c>
    </row>
    <row r="73" spans="1:9" x14ac:dyDescent="0.25">
      <c r="A73">
        <f t="shared" ref="A73:A78" si="1">ROW()-1</f>
        <v>72</v>
      </c>
      <c r="B73" t="s">
        <v>220</v>
      </c>
      <c r="C73" s="1">
        <v>46135</v>
      </c>
      <c r="D73" t="str">
        <f>VLOOKUP(B73,Trades!A$1:M100130,3,FALSE)</f>
        <v>AMD</v>
      </c>
      <c r="E73" t="s">
        <v>63</v>
      </c>
      <c r="F73">
        <v>303.02</v>
      </c>
      <c r="G73">
        <v>3</v>
      </c>
      <c r="H73">
        <f>IF(VLOOKUP(B73,Trades!A:M,4,FALSE)="Long",(F73-VLOOKUP(B73,Trades!A:M,6,FALSE))*G73,(VLOOKUP(B73,Trades!A:M,6,FALSE)-F73)*G73)</f>
        <v>-9.7799999999999727</v>
      </c>
      <c r="I73">
        <f>H73/Trades!I73</f>
        <v>-0.97799999999999732</v>
      </c>
    </row>
    <row r="74" spans="1:9" x14ac:dyDescent="0.25">
      <c r="A74">
        <f t="shared" si="1"/>
        <v>73</v>
      </c>
      <c r="B74" t="s">
        <v>221</v>
      </c>
      <c r="C74" s="1">
        <v>46136</v>
      </c>
      <c r="D74" t="str">
        <f>VLOOKUP(B74,Trades!A$1:M100131,3,FALSE)</f>
        <v>APPS</v>
      </c>
      <c r="E74" t="s">
        <v>63</v>
      </c>
      <c r="F74">
        <v>3.39</v>
      </c>
      <c r="G74">
        <v>20</v>
      </c>
      <c r="H74">
        <f>IF(VLOOKUP(B74,Trades!A:M,4,FALSE)="Long",(F74-VLOOKUP(B74,Trades!A:M,6,FALSE))*G74,(VLOOKUP(B74,Trades!A:M,6,FALSE)-F74)*G74)</f>
        <v>-8.3999999999999986</v>
      </c>
      <c r="I74">
        <f>H74/Trades!I74</f>
        <v>-1.3999999999999997</v>
      </c>
    </row>
    <row r="75" spans="1:9" x14ac:dyDescent="0.25">
      <c r="A75">
        <f t="shared" si="1"/>
        <v>74</v>
      </c>
      <c r="B75" t="s">
        <v>222</v>
      </c>
      <c r="C75" s="1">
        <v>46136</v>
      </c>
      <c r="D75" t="str">
        <f>VLOOKUP(B75,Trades!A$1:M100132,3,FALSE)</f>
        <v>ARM</v>
      </c>
      <c r="E75" t="s">
        <v>63</v>
      </c>
      <c r="F75">
        <v>230.45</v>
      </c>
      <c r="G75">
        <v>4</v>
      </c>
      <c r="H75">
        <f>IF(VLOOKUP(B75,Trades!A:M,4,FALSE)="Long",(F75-VLOOKUP(B75,Trades!A:M,6,FALSE))*G75,(VLOOKUP(B75,Trades!A:M,6,FALSE)-F75)*G75)</f>
        <v>10.759999999999991</v>
      </c>
      <c r="I75">
        <f>H75/Trades!I75</f>
        <v>2.6899999999999977</v>
      </c>
    </row>
    <row r="76" spans="1:9" x14ac:dyDescent="0.25">
      <c r="A76">
        <f t="shared" si="1"/>
        <v>75</v>
      </c>
      <c r="B76" t="s">
        <v>223</v>
      </c>
      <c r="C76" s="1">
        <v>46136</v>
      </c>
      <c r="D76" t="str">
        <f>VLOOKUP(B76,Trades!A$1:M100133,3,FALSE)</f>
        <v>MNST</v>
      </c>
      <c r="E76" t="s">
        <v>63</v>
      </c>
      <c r="F76">
        <v>77.66</v>
      </c>
      <c r="G76">
        <v>2</v>
      </c>
      <c r="H76">
        <f>IF(VLOOKUP(B76,Trades!A:M,4,FALSE)="Long",(F76-VLOOKUP(B76,Trades!A:M,6,FALSE))*G76,(VLOOKUP(B76,Trades!A:M,6,FALSE)-F76)*G76)</f>
        <v>10.95999999999998</v>
      </c>
      <c r="I76">
        <f>H76/Trades!I76</f>
        <v>1.6117647058823463</v>
      </c>
    </row>
    <row r="77" spans="1:9" x14ac:dyDescent="0.25">
      <c r="A77">
        <f t="shared" si="1"/>
        <v>76</v>
      </c>
      <c r="B77" t="s">
        <v>224</v>
      </c>
      <c r="C77" s="1">
        <v>46136</v>
      </c>
      <c r="D77" t="str">
        <f>VLOOKUP(B77,Trades!A$1:M100134,3,FALSE)</f>
        <v>INTC</v>
      </c>
      <c r="E77" t="s">
        <v>63</v>
      </c>
      <c r="F77">
        <v>82.48</v>
      </c>
      <c r="G77">
        <v>1</v>
      </c>
      <c r="H77">
        <f>IF(VLOOKUP(B77,Trades!A:M,4,FALSE)="Long",(F77-VLOOKUP(B77,Trades!A:M,6,FALSE))*G77,(VLOOKUP(B77,Trades!A:M,6,FALSE)-F77)*G77)</f>
        <v>15.469999999999999</v>
      </c>
      <c r="I77">
        <f>H77/Trades!I77</f>
        <v>3.8674999999999997</v>
      </c>
    </row>
    <row r="78" spans="1:9" x14ac:dyDescent="0.25">
      <c r="A78">
        <f t="shared" si="1"/>
        <v>77</v>
      </c>
      <c r="B78" t="s">
        <v>226</v>
      </c>
      <c r="C78" s="1">
        <v>46136</v>
      </c>
      <c r="D78" t="str">
        <f>VLOOKUP(B78,Trades!A$1:M100135,3,FALSE)</f>
        <v>BDX</v>
      </c>
      <c r="E78" t="s">
        <v>63</v>
      </c>
      <c r="F78">
        <v>152.47</v>
      </c>
      <c r="G78">
        <v>2</v>
      </c>
      <c r="H78">
        <f>IF(VLOOKUP(B78,Trades!A:M,4,FALSE)="Long",(F78-VLOOKUP(B78,Trades!A:M,6,FALSE))*G78,(VLOOKUP(B78,Trades!A:M,6,FALSE)-F78)*G78)</f>
        <v>-4</v>
      </c>
      <c r="I78">
        <f>H78/Trades!I78</f>
        <v>-0.41666666666666813</v>
      </c>
    </row>
    <row r="79" spans="1:9" x14ac:dyDescent="0.25">
      <c r="A79">
        <f t="shared" ref="A79:A85" si="2">ROW()-1</f>
        <v>78</v>
      </c>
      <c r="B79" t="s">
        <v>228</v>
      </c>
      <c r="C79" s="1">
        <v>46139</v>
      </c>
      <c r="D79" t="str">
        <f>VLOOKUP(B79,Trades!A$1:M100136,3,FALSE)</f>
        <v>QCOM</v>
      </c>
      <c r="E79" t="s">
        <v>63</v>
      </c>
      <c r="F79">
        <v>151.94</v>
      </c>
      <c r="G79">
        <v>4</v>
      </c>
      <c r="H79">
        <f>IF(VLOOKUP(B79,Trades!A:M,4,FALSE)="Long",(F79-VLOOKUP(B79,Trades!A:M,6,FALSE))*G79,(VLOOKUP(B79,Trades!A:M,6,FALSE)-F79)*G79)</f>
        <v>-16</v>
      </c>
      <c r="I79">
        <f>H79/Trades!I79</f>
        <v>-2</v>
      </c>
    </row>
    <row r="80" spans="1:9" x14ac:dyDescent="0.25">
      <c r="A80">
        <f t="shared" si="2"/>
        <v>79</v>
      </c>
      <c r="B80" t="s">
        <v>229</v>
      </c>
      <c r="C80" s="1">
        <v>46139</v>
      </c>
      <c r="D80" t="str">
        <f>VLOOKUP(B80,Trades!A$1:M100137,3,FALSE)</f>
        <v>QCOM</v>
      </c>
      <c r="E80" t="s">
        <v>63</v>
      </c>
      <c r="F80">
        <v>151.32</v>
      </c>
      <c r="G80">
        <v>4</v>
      </c>
      <c r="H80">
        <f>IF(VLOOKUP(B80,Trades!A:M,4,FALSE)="Long",(F80-VLOOKUP(B80,Trades!A:M,6,FALSE))*G80,(VLOOKUP(B80,Trades!A:M,6,FALSE)-F80)*G80)</f>
        <v>-3.4800000000000182</v>
      </c>
      <c r="I80">
        <f>H80/Trades!I80</f>
        <v>-0.37826086956521865</v>
      </c>
    </row>
    <row r="81" spans="1:9" x14ac:dyDescent="0.25">
      <c r="A81">
        <f t="shared" si="2"/>
        <v>80</v>
      </c>
      <c r="B81" t="s">
        <v>230</v>
      </c>
      <c r="C81" s="1">
        <v>46139</v>
      </c>
      <c r="D81" t="str">
        <f>VLOOKUP(B81,Trades!A$1:M100138,3,FALSE)</f>
        <v>NVDA</v>
      </c>
      <c r="E81" t="s">
        <v>63</v>
      </c>
      <c r="F81">
        <v>208.22</v>
      </c>
      <c r="G81">
        <v>3</v>
      </c>
      <c r="H81">
        <f>IF(VLOOKUP(B81,Trades!A:M,4,FALSE)="Long",(F81-VLOOKUP(B81,Trades!A:M,6,FALSE))*G81,(VLOOKUP(B81,Trades!A:M,6,FALSE)-F81)*G81)</f>
        <v>-3.6899999999999693</v>
      </c>
      <c r="I81">
        <f>H81/Trades!I81</f>
        <v>-0.43928571428570884</v>
      </c>
    </row>
    <row r="82" spans="1:9" x14ac:dyDescent="0.25">
      <c r="A82">
        <f t="shared" si="2"/>
        <v>81</v>
      </c>
      <c r="B82" t="s">
        <v>231</v>
      </c>
      <c r="C82" s="1">
        <v>46139</v>
      </c>
      <c r="D82" t="str">
        <f>VLOOKUP(B82,Trades!A$1:M100139,3,FALSE)</f>
        <v>QCOM</v>
      </c>
      <c r="E82" t="s">
        <v>63</v>
      </c>
      <c r="F82">
        <v>147.75</v>
      </c>
      <c r="G82">
        <v>4</v>
      </c>
      <c r="H82">
        <f>IF(VLOOKUP(B82,Trades!A:M,4,FALSE)="Long",(F82-VLOOKUP(B82,Trades!A:M,6,FALSE))*G82,(VLOOKUP(B82,Trades!A:M,6,FALSE)-F82)*G82)</f>
        <v>-3.9199999999999591</v>
      </c>
      <c r="I82">
        <f>H82/Trades!I82</f>
        <v>-0.68055555555554781</v>
      </c>
    </row>
    <row r="83" spans="1:9" x14ac:dyDescent="0.25">
      <c r="A83">
        <f t="shared" si="2"/>
        <v>82</v>
      </c>
      <c r="B83" t="s">
        <v>232</v>
      </c>
      <c r="C83" s="1">
        <v>46139</v>
      </c>
      <c r="D83" t="str">
        <f>VLOOKUP(B83,Trades!A$1:M100140,3,FALSE)</f>
        <v>SMCI</v>
      </c>
      <c r="E83" t="s">
        <v>63</v>
      </c>
      <c r="F83">
        <v>27.63</v>
      </c>
      <c r="G83">
        <v>4</v>
      </c>
      <c r="H83">
        <f>IF(VLOOKUP(B83,Trades!A:M,4,FALSE)="Long",(F83-VLOOKUP(B83,Trades!A:M,6,FALSE))*G83,(VLOOKUP(B83,Trades!A:M,6,FALSE)-F83)*G83)</f>
        <v>-4.960000000000008</v>
      </c>
      <c r="I83">
        <f>H83/Trades!I83</f>
        <v>-1</v>
      </c>
    </row>
    <row r="84" spans="1:9" x14ac:dyDescent="0.25">
      <c r="A84">
        <f t="shared" si="2"/>
        <v>83</v>
      </c>
      <c r="B84" t="s">
        <v>233</v>
      </c>
      <c r="C84" s="1">
        <v>46139</v>
      </c>
      <c r="D84" t="str">
        <f>VLOOKUP(B84,Trades!A$1:M100141,3,FALSE)</f>
        <v>PZG</v>
      </c>
      <c r="E84" t="s">
        <v>63</v>
      </c>
      <c r="F84">
        <v>1.58</v>
      </c>
      <c r="G84">
        <v>100</v>
      </c>
      <c r="H84">
        <f>IF(VLOOKUP(B84,Trades!A:M,4,FALSE)="Long",(F84-VLOOKUP(B84,Trades!A:M,6,FALSE))*G84,(VLOOKUP(B84,Trades!A:M,6,FALSE)-F84)*G84)</f>
        <v>-10.999999999999988</v>
      </c>
      <c r="I84">
        <f>H84/Trades!I84</f>
        <v>-2.8205128205128545</v>
      </c>
    </row>
    <row r="85" spans="1:9" x14ac:dyDescent="0.25">
      <c r="A85">
        <f t="shared" si="2"/>
        <v>84</v>
      </c>
      <c r="B85" t="s">
        <v>234</v>
      </c>
      <c r="C85" s="1">
        <v>46139</v>
      </c>
      <c r="D85" t="str">
        <f>VLOOKUP(B85,Trades!A$1:M100142,3,FALSE)</f>
        <v>CLX</v>
      </c>
      <c r="E85" t="s">
        <v>63</v>
      </c>
      <c r="F85">
        <v>96.45</v>
      </c>
      <c r="G85">
        <v>4</v>
      </c>
      <c r="H85">
        <f>IF(VLOOKUP(B85,Trades!A:M,4,FALSE)="Long",(F85-VLOOKUP(B85,Trades!A:M,6,FALSE))*G85,(VLOOKUP(B85,Trades!A:M,6,FALSE)-F85)*G85)</f>
        <v>-8.5600000000000023</v>
      </c>
      <c r="I85">
        <f>H85/Trades!I85</f>
        <v>-1.7120000000000004</v>
      </c>
    </row>
    <row r="86" spans="1:9" x14ac:dyDescent="0.25">
      <c r="A86">
        <f t="shared" ref="A86:A95" si="3">ROW()-1</f>
        <v>85</v>
      </c>
      <c r="B86" t="s">
        <v>239</v>
      </c>
      <c r="C86" s="1">
        <v>46140</v>
      </c>
      <c r="D86" t="str">
        <f>VLOOKUP(B86,Trades!A$1:M100143,3,FALSE)</f>
        <v>SANM</v>
      </c>
      <c r="E86" t="s">
        <v>63</v>
      </c>
      <c r="F86">
        <v>205.029</v>
      </c>
      <c r="G86">
        <v>4</v>
      </c>
      <c r="H86">
        <f>IF(VLOOKUP(B86,Trades!A:M,4,FALSE)="Long",(F86-VLOOKUP(B86,Trades!A:M,6,FALSE))*G86,(VLOOKUP(B86,Trades!A:M,6,FALSE)-F86)*G86)</f>
        <v>-10.644000000000005</v>
      </c>
      <c r="I86">
        <f>H86/Trades!I86</f>
        <v>-0.66525000000000034</v>
      </c>
    </row>
    <row r="87" spans="1:9" x14ac:dyDescent="0.25">
      <c r="A87">
        <f t="shared" si="3"/>
        <v>86</v>
      </c>
      <c r="B87" t="s">
        <v>240</v>
      </c>
      <c r="C87" s="1">
        <v>46140</v>
      </c>
      <c r="D87" t="str">
        <f>VLOOKUP(B87,Trades!A$1:M100144,3,FALSE)</f>
        <v>ATEC</v>
      </c>
      <c r="E87" t="s">
        <v>63</v>
      </c>
      <c r="F87">
        <v>10.02</v>
      </c>
      <c r="G87">
        <v>8</v>
      </c>
      <c r="H87">
        <f>IF(VLOOKUP(B87,Trades!A:M,4,FALSE)="Long",(F87-VLOOKUP(B87,Trades!A:M,6,FALSE))*G87,(VLOOKUP(B87,Trades!A:M,6,FALSE)-F87)*G87)</f>
        <v>-5.7600000000000051</v>
      </c>
      <c r="I87">
        <f>H87/Trades!I87</f>
        <v>-1.6551724137930963</v>
      </c>
    </row>
    <row r="88" spans="1:9" x14ac:dyDescent="0.25">
      <c r="A88">
        <f t="shared" si="3"/>
        <v>87</v>
      </c>
      <c r="B88" t="s">
        <v>238</v>
      </c>
      <c r="C88" s="1">
        <v>46140</v>
      </c>
      <c r="D88" t="str">
        <f>VLOOKUP(B88,Trades!A$1:M100145,3,FALSE)</f>
        <v>ASTS</v>
      </c>
      <c r="E88" t="s">
        <v>63</v>
      </c>
      <c r="F88">
        <v>71</v>
      </c>
      <c r="G88">
        <v>2</v>
      </c>
      <c r="H88">
        <f>IF(VLOOKUP(B88,Trades!A:M,4,FALSE)="Long",(F88-VLOOKUP(B88,Trades!A:M,6,FALSE))*G88,(VLOOKUP(B88,Trades!A:M,6,FALSE)-F88)*G88)</f>
        <v>-8</v>
      </c>
      <c r="I88">
        <f>H88/Trades!I88</f>
        <v>-2</v>
      </c>
    </row>
    <row r="89" spans="1:9" x14ac:dyDescent="0.25">
      <c r="A89">
        <f t="shared" si="3"/>
        <v>88</v>
      </c>
      <c r="B89" t="s">
        <v>242</v>
      </c>
      <c r="C89" s="1">
        <v>46140</v>
      </c>
      <c r="D89" t="str">
        <f>VLOOKUP(B89,Trades!A$1:M100146,3,FALSE)</f>
        <v>SEI</v>
      </c>
      <c r="E89" t="s">
        <v>63</v>
      </c>
      <c r="F89">
        <v>73.930000000000007</v>
      </c>
      <c r="G89">
        <v>6</v>
      </c>
      <c r="H89">
        <f>IF(VLOOKUP(B89,Trades!A:M,4,FALSE)="Long",(F89-VLOOKUP(B89,Trades!A:M,6,FALSE))*G89,(VLOOKUP(B89,Trades!A:M,6,FALSE)-F89)*G89)</f>
        <v>4.9200000000000443</v>
      </c>
      <c r="I89">
        <f>H89/Trades!I89</f>
        <v>0.84246575342466057</v>
      </c>
    </row>
    <row r="90" spans="1:9" x14ac:dyDescent="0.25">
      <c r="A90">
        <f t="shared" si="3"/>
        <v>89</v>
      </c>
      <c r="B90" t="s">
        <v>243</v>
      </c>
      <c r="C90" s="1">
        <v>46141</v>
      </c>
      <c r="D90" t="str">
        <f>VLOOKUP(B90,Trades!A$1:M100147,3,FALSE)</f>
        <v>PLTR</v>
      </c>
      <c r="E90" t="s">
        <v>63</v>
      </c>
      <c r="F90">
        <v>137.38</v>
      </c>
      <c r="G90">
        <v>3</v>
      </c>
      <c r="H90">
        <f>IF(VLOOKUP(B90,Trades!A:M,4,FALSE)="Long",(F90-VLOOKUP(B90,Trades!A:M,6,FALSE))*G90,(VLOOKUP(B90,Trades!A:M,6,FALSE)-F90)*G90)</f>
        <v>-10.049999999999983</v>
      </c>
      <c r="I90">
        <f>H90/Trades!I90</f>
        <v>-0.74776785714285599</v>
      </c>
    </row>
    <row r="91" spans="1:9" x14ac:dyDescent="0.25">
      <c r="A91">
        <f t="shared" si="3"/>
        <v>90</v>
      </c>
      <c r="B91" t="s">
        <v>246</v>
      </c>
      <c r="C91" s="1">
        <v>46141</v>
      </c>
      <c r="D91" t="str">
        <f>VLOOKUP(B91,Trades!A$1:M100148,3,FALSE)</f>
        <v>KOPN</v>
      </c>
      <c r="E91" t="s">
        <v>63</v>
      </c>
      <c r="F91">
        <v>3.8</v>
      </c>
      <c r="G91">
        <v>6</v>
      </c>
      <c r="H91">
        <f>IF(VLOOKUP(B91,Trades!A:M,4,FALSE)="Long",(F91-VLOOKUP(B91,Trades!A:M,6,FALSE))*G91,(VLOOKUP(B91,Trades!A:M,6,FALSE)-F91)*G91)</f>
        <v>-2.76</v>
      </c>
      <c r="I91">
        <f>H91/Trades!I91</f>
        <v>-0.34499999999999997</v>
      </c>
    </row>
    <row r="92" spans="1:9" x14ac:dyDescent="0.25">
      <c r="A92">
        <f t="shared" si="3"/>
        <v>91</v>
      </c>
      <c r="B92" t="s">
        <v>248</v>
      </c>
      <c r="C92" s="1">
        <v>46141</v>
      </c>
      <c r="D92" t="str">
        <f>VLOOKUP(B92,Trades!A$1:M100149,3,FALSE)</f>
        <v>STX</v>
      </c>
      <c r="E92" t="s">
        <v>63</v>
      </c>
      <c r="F92">
        <v>660.09</v>
      </c>
      <c r="G92">
        <v>1</v>
      </c>
      <c r="H92">
        <f>IF(VLOOKUP(B92,Trades!A:M,4,FALSE)="Long",(F92-VLOOKUP(B92,Trades!A:M,6,FALSE))*G92,(VLOOKUP(B92,Trades!A:M,6,FALSE)-F92)*G92)</f>
        <v>-7.2999999999999545</v>
      </c>
      <c r="I92">
        <f>H92/Trades!I92</f>
        <v>-0.91249999999999432</v>
      </c>
    </row>
    <row r="93" spans="1:9" x14ac:dyDescent="0.25">
      <c r="A93">
        <f t="shared" si="3"/>
        <v>92</v>
      </c>
      <c r="B93" t="s">
        <v>249</v>
      </c>
      <c r="C93" s="1">
        <v>46141</v>
      </c>
      <c r="D93" t="str">
        <f>VLOOKUP(B93,Trades!A$1:M100150,3,FALSE)</f>
        <v>STX</v>
      </c>
      <c r="E93" t="s">
        <v>63</v>
      </c>
      <c r="F93">
        <v>658.36</v>
      </c>
      <c r="G93">
        <v>2</v>
      </c>
      <c r="H93">
        <f>IF(VLOOKUP(B93,Trades!A:M,4,FALSE)="Long",(F93-VLOOKUP(B93,Trades!A:M,6,FALSE))*G93,(VLOOKUP(B93,Trades!A:M,6,FALSE)-F93)*G93)</f>
        <v>-10.899999999999864</v>
      </c>
      <c r="I93">
        <f>H93/Trades!I93</f>
        <v>-1.0380952380952251</v>
      </c>
    </row>
    <row r="94" spans="1:9" x14ac:dyDescent="0.25">
      <c r="A94">
        <f t="shared" si="3"/>
        <v>93</v>
      </c>
      <c r="B94" t="s">
        <v>250</v>
      </c>
      <c r="C94" s="1">
        <v>46141</v>
      </c>
      <c r="D94" t="str">
        <f>VLOOKUP(B94,Trades!A$1:M100151,3,FALSE)</f>
        <v>STX</v>
      </c>
      <c r="E94" t="s">
        <v>63</v>
      </c>
      <c r="F94">
        <v>652.32000000000005</v>
      </c>
      <c r="G94">
        <v>2</v>
      </c>
      <c r="H94">
        <f>IF(VLOOKUP(B94,Trades!A:M,4,FALSE)="Long",(F94-VLOOKUP(B94,Trades!A:M,6,FALSE))*G94,(VLOOKUP(B94,Trades!A:M,6,FALSE)-F94)*G94)</f>
        <v>-6.1999999999998181</v>
      </c>
      <c r="I94">
        <f>H94/Trades!I94</f>
        <v>-0.61691542288555512</v>
      </c>
    </row>
    <row r="95" spans="1:9" x14ac:dyDescent="0.25">
      <c r="A95">
        <f t="shared" si="3"/>
        <v>94</v>
      </c>
      <c r="B95" t="s">
        <v>251</v>
      </c>
      <c r="C95" s="1">
        <v>46141</v>
      </c>
      <c r="D95" t="str">
        <f>VLOOKUP(B95,Trades!A$1:M100152,3,FALSE)</f>
        <v>STX</v>
      </c>
      <c r="E95" t="s">
        <v>63</v>
      </c>
      <c r="F95">
        <v>634.12</v>
      </c>
      <c r="G95">
        <v>1</v>
      </c>
      <c r="H95">
        <f>IF(VLOOKUP(B95,Trades!A:M,4,FALSE)="Long",(F95-VLOOKUP(B95,Trades!A:M,6,FALSE))*G95,(VLOOKUP(B95,Trades!A:M,6,FALSE)-F95)*G95)</f>
        <v>-4.8099999999999454</v>
      </c>
      <c r="I95">
        <f>H95/Trades!I95</f>
        <v>-1.7814814814814623</v>
      </c>
    </row>
    <row r="96" spans="1:9" x14ac:dyDescent="0.25">
      <c r="A96">
        <f t="shared" ref="A96:A104" si="4">ROW()-1</f>
        <v>95</v>
      </c>
      <c r="B96" t="s">
        <v>252</v>
      </c>
      <c r="C96" s="1">
        <v>46142</v>
      </c>
      <c r="D96" t="str">
        <f>VLOOKUP(B96,Trades!A$1:M100153,3,FALSE)</f>
        <v>MSFT</v>
      </c>
      <c r="E96" t="s">
        <v>63</v>
      </c>
      <c r="F96">
        <v>410.39</v>
      </c>
      <c r="G96">
        <v>1</v>
      </c>
      <c r="H96">
        <f>IF(VLOOKUP(B96,Trades!A:M,4,FALSE)="Long",(F96-VLOOKUP(B96,Trades!A:M,6,FALSE))*G96,(VLOOKUP(B96,Trades!A:M,6,FALSE)-F96)*G96)</f>
        <v>-14.54000000000002</v>
      </c>
      <c r="I96">
        <f>H96/Trades!I96</f>
        <v>-2.4233333333333369</v>
      </c>
    </row>
    <row r="97" spans="1:9" x14ac:dyDescent="0.25">
      <c r="A97">
        <f t="shared" si="4"/>
        <v>96</v>
      </c>
      <c r="B97" t="s">
        <v>253</v>
      </c>
      <c r="C97" s="1">
        <v>46142</v>
      </c>
      <c r="D97" t="str">
        <f>VLOOKUP(B97,Trades!A$1:M100154,3,FALSE)</f>
        <v>V</v>
      </c>
      <c r="E97" t="s">
        <v>63</v>
      </c>
      <c r="F97">
        <v>331.48</v>
      </c>
      <c r="G97">
        <v>2</v>
      </c>
      <c r="H97">
        <f>IF(VLOOKUP(B97,Trades!A:M,4,FALSE)="Long",(F97-VLOOKUP(B97,Trades!A:M,6,FALSE))*G97,(VLOOKUP(B97,Trades!A:M,6,FALSE)-F97)*G97)</f>
        <v>-7.67999999999995</v>
      </c>
      <c r="I97">
        <f>H97/Trades!I97</f>
        <v>-1.0971428571428501</v>
      </c>
    </row>
    <row r="98" spans="1:9" x14ac:dyDescent="0.25">
      <c r="A98">
        <f t="shared" si="4"/>
        <v>97</v>
      </c>
      <c r="B98" t="s">
        <v>254</v>
      </c>
      <c r="C98" s="1">
        <v>46142</v>
      </c>
      <c r="D98" t="str">
        <f>VLOOKUP(B98,Trades!A$1:M100155,3,FALSE)</f>
        <v>AMZN</v>
      </c>
      <c r="E98" t="s">
        <v>63</v>
      </c>
      <c r="F98">
        <v>256.27999999999997</v>
      </c>
      <c r="G98">
        <v>8</v>
      </c>
      <c r="H98">
        <f>IF(VLOOKUP(B98,Trades!A:M,4,FALSE)="Long",(F98-VLOOKUP(B98,Trades!A:M,6,FALSE))*G98,(VLOOKUP(B98,Trades!A:M,6,FALSE)-F98)*G98)</f>
        <v>-80.5600000000004</v>
      </c>
      <c r="I98">
        <f>H98/Trades!I98</f>
        <v>-6.7133333333333667</v>
      </c>
    </row>
    <row r="99" spans="1:9" x14ac:dyDescent="0.25">
      <c r="A99">
        <f t="shared" si="4"/>
        <v>98</v>
      </c>
      <c r="B99" t="s">
        <v>255</v>
      </c>
      <c r="C99" s="1">
        <v>46142</v>
      </c>
      <c r="D99" t="str">
        <f>VLOOKUP(B99,Trades!A$1:M100156,3,FALSE)</f>
        <v>GOOG</v>
      </c>
      <c r="E99" t="s">
        <v>63</v>
      </c>
      <c r="F99">
        <v>380.04</v>
      </c>
      <c r="G99">
        <v>3</v>
      </c>
      <c r="H99">
        <f>IF(VLOOKUP(B99,Trades!A:M,4,FALSE)="Long",(F99-VLOOKUP(B99,Trades!A:M,6,FALSE))*G99,(VLOOKUP(B99,Trades!A:M,6,FALSE)-F99)*G99)</f>
        <v>27.180000000000007</v>
      </c>
      <c r="I99">
        <f>H99/Trades!I99</f>
        <v>4.5300000000000011</v>
      </c>
    </row>
    <row r="100" spans="1:9" x14ac:dyDescent="0.25">
      <c r="A100">
        <f t="shared" si="4"/>
        <v>99</v>
      </c>
      <c r="B100" t="s">
        <v>259</v>
      </c>
      <c r="C100" s="1">
        <v>46143</v>
      </c>
      <c r="D100" t="str">
        <f>VLOOKUP(B100,Trades!A$1:M100157,3,FALSE)</f>
        <v>ROKU</v>
      </c>
      <c r="E100" t="s">
        <v>63</v>
      </c>
      <c r="F100">
        <v>125.33</v>
      </c>
      <c r="G100">
        <v>4</v>
      </c>
      <c r="H100">
        <f>IF(VLOOKUP(B100,Trades!A:M,4,FALSE)="Long",(F100-VLOOKUP(B100,Trades!A:M,6,FALSE))*G100,(VLOOKUP(B100,Trades!A:M,6,FALSE)-F100)*G100)</f>
        <v>-5.8799999999999955</v>
      </c>
      <c r="I100">
        <f>H100/Trades!I100</f>
        <v>-1.0537634408602279</v>
      </c>
    </row>
    <row r="101" spans="1:9" x14ac:dyDescent="0.25">
      <c r="A101">
        <f t="shared" si="4"/>
        <v>100</v>
      </c>
      <c r="B101" t="s">
        <v>260</v>
      </c>
      <c r="C101" s="1">
        <v>46143</v>
      </c>
      <c r="D101" t="str">
        <f>VLOOKUP(B101,Trades!A$1:M100158,3,FALSE)</f>
        <v>EL</v>
      </c>
      <c r="E101" t="s">
        <v>63</v>
      </c>
      <c r="F101">
        <v>82.94</v>
      </c>
      <c r="G101">
        <v>10</v>
      </c>
      <c r="H101">
        <f>IF(VLOOKUP(B101,Trades!A:M,4,FALSE)="Long",(F101-VLOOKUP(B101,Trades!A:M,6,FALSE))*G101,(VLOOKUP(B101,Trades!A:M,6,FALSE)-F101)*G101)</f>
        <v>-10.600000000000023</v>
      </c>
      <c r="I101">
        <f>H101/Trades!I101</f>
        <v>-0.13157894736842068</v>
      </c>
    </row>
    <row r="102" spans="1:9" x14ac:dyDescent="0.25">
      <c r="A102">
        <f t="shared" si="4"/>
        <v>101</v>
      </c>
      <c r="B102" t="s">
        <v>261</v>
      </c>
      <c r="C102" s="1">
        <v>46143</v>
      </c>
      <c r="D102" t="str">
        <f>VLOOKUP(B102,Trades!A$1:M100159,3,FALSE)</f>
        <v>AAPL</v>
      </c>
      <c r="E102" t="s">
        <v>63</v>
      </c>
      <c r="F102">
        <v>284.10000000000002</v>
      </c>
      <c r="G102">
        <v>4</v>
      </c>
      <c r="H102">
        <f>IF(VLOOKUP(B102,Trades!A:M,4,FALSE)="Long",(F102-VLOOKUP(B102,Trades!A:M,6,FALSE))*G102,(VLOOKUP(B102,Trades!A:M,6,FALSE)-F102)*G102)</f>
        <v>20.400000000000091</v>
      </c>
      <c r="I102">
        <f>H102/Trades!I102</f>
        <v>0.80760095011876687</v>
      </c>
    </row>
    <row r="103" spans="1:9" x14ac:dyDescent="0.25">
      <c r="A103">
        <f t="shared" si="4"/>
        <v>102</v>
      </c>
      <c r="B103" t="s">
        <v>262</v>
      </c>
      <c r="C103" s="1">
        <v>46143</v>
      </c>
      <c r="D103" t="str">
        <f>VLOOKUP(B103,Trades!A$1:M100160,3,FALSE)</f>
        <v>GOOG</v>
      </c>
      <c r="E103" t="s">
        <v>63</v>
      </c>
      <c r="F103">
        <v>382.5</v>
      </c>
      <c r="G103">
        <v>2</v>
      </c>
      <c r="H103">
        <f>IF(VLOOKUP(B103,Trades!A:M,4,FALSE)="Long",(F103-VLOOKUP(B103,Trades!A:M,6,FALSE))*G103,(VLOOKUP(B103,Trades!A:M,6,FALSE)-F103)*G103)</f>
        <v>10.720000000000027</v>
      </c>
      <c r="I103">
        <f>H103/Trades!I103</f>
        <v>0.68894601542416367</v>
      </c>
    </row>
    <row r="104" spans="1:9" x14ac:dyDescent="0.25">
      <c r="A104">
        <f t="shared" si="4"/>
        <v>103</v>
      </c>
      <c r="B104" t="s">
        <v>262</v>
      </c>
      <c r="C104" s="1">
        <v>46143</v>
      </c>
      <c r="D104" t="str">
        <f>VLOOKUP(B104,Trades!A$1:M100161,3,FALSE)</f>
        <v>GOOG</v>
      </c>
      <c r="E104" t="s">
        <v>63</v>
      </c>
      <c r="F104">
        <v>379.03</v>
      </c>
      <c r="G104">
        <v>2</v>
      </c>
      <c r="H104">
        <f>IF(VLOOKUP(B104,Trades!A:M,4,FALSE)="Long",(F104-VLOOKUP(B104,Trades!A:M,6,FALSE))*G104,(VLOOKUP(B104,Trades!A:M,6,FALSE)-F104)*G104)</f>
        <v>3.7799999999999727</v>
      </c>
      <c r="I104">
        <f>H104/Trades!I104</f>
        <v>0.32984293193717035</v>
      </c>
    </row>
    <row r="105" spans="1:9" x14ac:dyDescent="0.25">
      <c r="A105">
        <f t="shared" ref="A105:A111" si="5">ROW()-1</f>
        <v>104</v>
      </c>
      <c r="B105" t="s">
        <v>223</v>
      </c>
      <c r="C105" s="1">
        <v>46146</v>
      </c>
      <c r="D105" t="str">
        <f>VLOOKUP(B105,Trades!A$1:M100162,3,FALSE)</f>
        <v>MNST</v>
      </c>
      <c r="E105" t="s">
        <v>63</v>
      </c>
      <c r="F105">
        <v>75.09</v>
      </c>
      <c r="G105">
        <v>4</v>
      </c>
      <c r="H105">
        <f>IF(VLOOKUP(B105,Trades!A:M,4,FALSE)="Long",(F105-VLOOKUP(B105,Trades!A:M,6,FALSE))*G105,(VLOOKUP(B105,Trades!A:M,6,FALSE)-F105)*G105)</f>
        <v>11.639999999999986</v>
      </c>
      <c r="I105">
        <f>H105/Trades!I105</f>
        <v>1.0486486486486479</v>
      </c>
    </row>
    <row r="106" spans="1:9" x14ac:dyDescent="0.25">
      <c r="A106">
        <f t="shared" si="5"/>
        <v>105</v>
      </c>
      <c r="B106" t="s">
        <v>265</v>
      </c>
      <c r="C106" s="1">
        <v>46146</v>
      </c>
      <c r="D106" t="str">
        <f>VLOOKUP(B106,Trades!A$1:M100163,3,FALSE)</f>
        <v>MSFT</v>
      </c>
      <c r="E106" t="s">
        <v>63</v>
      </c>
      <c r="F106">
        <v>416.92</v>
      </c>
      <c r="G106">
        <v>2</v>
      </c>
      <c r="H106">
        <f>IF(VLOOKUP(B106,Trades!A:M,4,FALSE)="Long",(F106-VLOOKUP(B106,Trades!A:M,6,FALSE))*G106,(VLOOKUP(B106,Trades!A:M,6,FALSE)-F106)*G106)</f>
        <v>10.960000000000036</v>
      </c>
      <c r="I106">
        <f>H106/Trades!I106</f>
        <v>2.7400000000000091</v>
      </c>
    </row>
    <row r="107" spans="1:9" x14ac:dyDescent="0.25">
      <c r="A107">
        <f t="shared" si="5"/>
        <v>106</v>
      </c>
      <c r="B107" t="s">
        <v>267</v>
      </c>
      <c r="C107" s="1">
        <v>46146</v>
      </c>
      <c r="D107" t="str">
        <f>VLOOKUP(B107,Trades!A$1:M100164,3,FALSE)</f>
        <v>EBAY</v>
      </c>
      <c r="E107" t="s">
        <v>63</v>
      </c>
      <c r="F107">
        <v>111.2</v>
      </c>
      <c r="G107">
        <v>4</v>
      </c>
      <c r="H107">
        <f>IF(VLOOKUP(B107,Trades!A:M,4,FALSE)="Long",(F107-VLOOKUP(B107,Trades!A:M,6,FALSE))*G107,(VLOOKUP(B107,Trades!A:M,6,FALSE)-F107)*G107)</f>
        <v>10.360000000000014</v>
      </c>
      <c r="I107">
        <f>H107/Trades!I107</f>
        <v>1.1614349775784767</v>
      </c>
    </row>
    <row r="108" spans="1:9" x14ac:dyDescent="0.25">
      <c r="A108">
        <f t="shared" si="5"/>
        <v>107</v>
      </c>
      <c r="B108" t="s">
        <v>268</v>
      </c>
      <c r="C108" s="1">
        <v>46146</v>
      </c>
      <c r="D108" t="str">
        <f>VLOOKUP(B108,Trades!A$1:M100165,3,FALSE)</f>
        <v>NVDA</v>
      </c>
      <c r="E108" t="s">
        <v>63</v>
      </c>
      <c r="F108">
        <v>195.48</v>
      </c>
      <c r="G108">
        <v>3</v>
      </c>
      <c r="H108">
        <f>IF(VLOOKUP(B108,Trades!A:M,4,FALSE)="Long",(F108-VLOOKUP(B108,Trades!A:M,6,FALSE))*G108,(VLOOKUP(B108,Trades!A:M,6,FALSE)-F108)*G108)</f>
        <v>-11.100000000000051</v>
      </c>
      <c r="I108">
        <f>H108/Trades!I108</f>
        <v>-2.1679687500000564</v>
      </c>
    </row>
    <row r="109" spans="1:9" x14ac:dyDescent="0.25">
      <c r="A109">
        <f t="shared" si="5"/>
        <v>108</v>
      </c>
      <c r="B109" t="s">
        <v>269</v>
      </c>
      <c r="C109" s="1">
        <v>46146</v>
      </c>
      <c r="D109" t="str">
        <f>VLOOKUP(B109,Trades!A$1:M100166,3,FALSE)</f>
        <v>SCHD</v>
      </c>
      <c r="E109" t="s">
        <v>63</v>
      </c>
      <c r="F109">
        <v>31.63</v>
      </c>
      <c r="G109">
        <v>10</v>
      </c>
      <c r="H109">
        <f>IF(VLOOKUP(B109,Trades!A:M,4,FALSE)="Long",(F109-VLOOKUP(B109,Trades!A:M,6,FALSE))*G109,(VLOOKUP(B109,Trades!A:M,6,FALSE)-F109)*G109)</f>
        <v>8.0999999999999872</v>
      </c>
      <c r="I109">
        <f>H109/Trades!I109</f>
        <v>7.7142857142857233</v>
      </c>
    </row>
    <row r="110" spans="1:9" x14ac:dyDescent="0.25">
      <c r="A110">
        <f t="shared" si="5"/>
        <v>109</v>
      </c>
      <c r="B110" t="s">
        <v>270</v>
      </c>
      <c r="C110" s="1">
        <v>46146</v>
      </c>
      <c r="D110" t="str">
        <f>VLOOKUP(B110,Trades!A$1:M100167,3,FALSE)</f>
        <v>KO</v>
      </c>
      <c r="E110" t="s">
        <v>63</v>
      </c>
      <c r="F110">
        <v>78.48</v>
      </c>
      <c r="G110">
        <v>4</v>
      </c>
      <c r="H110">
        <f>IF(VLOOKUP(B110,Trades!A:M,4,FALSE)="Long",(F110-VLOOKUP(B110,Trades!A:M,6,FALSE))*G110,(VLOOKUP(B110,Trades!A:M,6,FALSE)-F110)*G110)</f>
        <v>10.120000000000005</v>
      </c>
      <c r="I110">
        <f>H110/Trades!I110</f>
        <v>0.97307692307693627</v>
      </c>
    </row>
    <row r="111" spans="1:9" x14ac:dyDescent="0.25">
      <c r="A111">
        <f t="shared" si="5"/>
        <v>110</v>
      </c>
      <c r="B111" t="s">
        <v>272</v>
      </c>
      <c r="C111" s="1">
        <v>46146</v>
      </c>
      <c r="D111" t="str">
        <f>VLOOKUP(B111,Trades!A$1:M100168,3,FALSE)</f>
        <v>PLTR</v>
      </c>
      <c r="E111" t="s">
        <v>63</v>
      </c>
      <c r="F111">
        <v>146.76</v>
      </c>
      <c r="G111">
        <v>4</v>
      </c>
      <c r="H111">
        <f>IF(VLOOKUP(B111,Trades!A:M,4,FALSE)="Long",(F111-VLOOKUP(B111,Trades!A:M,6,FALSE))*G111,(VLOOKUP(B111,Trades!A:M,6,FALSE)-F111)*G111)</f>
        <v>4.7199999999999136</v>
      </c>
      <c r="I111">
        <f>H111/Trades!I111</f>
        <v>0.92549019607841487</v>
      </c>
    </row>
    <row r="112" spans="1:9" x14ac:dyDescent="0.25">
      <c r="A112">
        <f t="shared" ref="A112:A120" si="6">ROW()-1</f>
        <v>111</v>
      </c>
      <c r="B112" t="s">
        <v>274</v>
      </c>
      <c r="C112" s="1">
        <v>46147</v>
      </c>
      <c r="D112" t="str">
        <f>VLOOKUP(B112,Trades!A$1:M100169,3,FALSE)</f>
        <v>AMAT</v>
      </c>
      <c r="E112" t="s">
        <v>63</v>
      </c>
      <c r="F112">
        <v>401.8</v>
      </c>
      <c r="G112">
        <v>3</v>
      </c>
      <c r="H112">
        <f>IF(VLOOKUP(B112,Trades!A:M,4,FALSE)="Long",(F112-VLOOKUP(B112,Trades!A:M,6,FALSE))*G112,(VLOOKUP(B112,Trades!A:M,6,FALSE)-F112)*G112)</f>
        <v>-5.25</v>
      </c>
      <c r="I112">
        <f>H112/Trades!I112</f>
        <v>-1.0983263598326423</v>
      </c>
    </row>
    <row r="113" spans="1:9" x14ac:dyDescent="0.25">
      <c r="A113">
        <f t="shared" si="6"/>
        <v>112</v>
      </c>
      <c r="B113" t="s">
        <v>275</v>
      </c>
      <c r="C113" s="1">
        <v>46147</v>
      </c>
      <c r="D113" t="str">
        <f>VLOOKUP(B113,Trades!A$1:M100170,3,FALSE)</f>
        <v>MSFT</v>
      </c>
      <c r="E113" t="s">
        <v>63</v>
      </c>
      <c r="F113">
        <v>411.69</v>
      </c>
      <c r="G113">
        <v>3</v>
      </c>
      <c r="H113">
        <f>IF(VLOOKUP(B113,Trades!A:M,4,FALSE)="Long",(F113-VLOOKUP(B113,Trades!A:M,6,FALSE))*G113,(VLOOKUP(B113,Trades!A:M,6,FALSE)-F113)*G113)</f>
        <v>-10.470000000000027</v>
      </c>
      <c r="I113">
        <f>H113/Trades!I113</f>
        <v>-0.94579945799458298</v>
      </c>
    </row>
    <row r="114" spans="1:9" x14ac:dyDescent="0.25">
      <c r="A114">
        <f t="shared" si="6"/>
        <v>113</v>
      </c>
      <c r="B114" t="s">
        <v>276</v>
      </c>
      <c r="C114" s="1">
        <v>46147</v>
      </c>
      <c r="D114" t="str">
        <f>VLOOKUP(B114,Trades!A$1:M100171,3,FALSE)</f>
        <v>PLTR</v>
      </c>
      <c r="E114" t="s">
        <v>63</v>
      </c>
      <c r="F114">
        <v>138.08000000000001</v>
      </c>
      <c r="G114">
        <v>6</v>
      </c>
      <c r="H114">
        <f>IF(VLOOKUP(B114,Trades!A:M,4,FALSE)="Long",(F114-VLOOKUP(B114,Trades!A:M,6,FALSE))*G114,(VLOOKUP(B114,Trades!A:M,6,FALSE)-F114)*G114)</f>
        <v>-6.1800000000000068</v>
      </c>
      <c r="I114">
        <f>H114/Trades!I114</f>
        <v>-1.2612244897959193</v>
      </c>
    </row>
    <row r="115" spans="1:9" x14ac:dyDescent="0.25">
      <c r="A115">
        <f t="shared" si="6"/>
        <v>114</v>
      </c>
      <c r="B115" t="s">
        <v>277</v>
      </c>
      <c r="C115" s="1">
        <v>46147</v>
      </c>
      <c r="D115" t="str">
        <f>VLOOKUP(B115,Trades!A$1:M100172,3,FALSE)</f>
        <v>RCAT</v>
      </c>
      <c r="E115" t="s">
        <v>63</v>
      </c>
      <c r="F115">
        <v>10.51</v>
      </c>
      <c r="G115">
        <v>10</v>
      </c>
      <c r="H115">
        <f>IF(VLOOKUP(B115,Trades!A:M,4,FALSE)="Long",(F115-VLOOKUP(B115,Trades!A:M,6,FALSE))*G115,(VLOOKUP(B115,Trades!A:M,6,FALSE)-F115)*G115)</f>
        <v>-11.099999999999994</v>
      </c>
      <c r="I115">
        <f>H115/Trades!I115</f>
        <v>-1.5546218487394929</v>
      </c>
    </row>
    <row r="116" spans="1:9" x14ac:dyDescent="0.25">
      <c r="A116">
        <f t="shared" si="6"/>
        <v>115</v>
      </c>
      <c r="B116" t="s">
        <v>278</v>
      </c>
      <c r="C116" s="1">
        <v>46147</v>
      </c>
      <c r="D116" t="str">
        <f>VLOOKUP(B116,Trades!A$1:M100173,3,FALSE)</f>
        <v>PLTR</v>
      </c>
      <c r="E116" t="s">
        <v>63</v>
      </c>
      <c r="F116">
        <v>137.31</v>
      </c>
      <c r="G116">
        <v>4</v>
      </c>
      <c r="H116">
        <f>IF(VLOOKUP(B116,Trades!A:M,4,FALSE)="Long",(F116-VLOOKUP(B116,Trades!A:M,6,FALSE))*G116,(VLOOKUP(B116,Trades!A:M,6,FALSE)-F116)*G116)</f>
        <v>-4.1599999999999682</v>
      </c>
      <c r="I116">
        <f>H116/Trades!I116</f>
        <v>-1.039999999999992</v>
      </c>
    </row>
    <row r="117" spans="1:9" x14ac:dyDescent="0.25">
      <c r="A117">
        <f t="shared" si="6"/>
        <v>116</v>
      </c>
      <c r="B117" t="s">
        <v>269</v>
      </c>
      <c r="C117" s="1">
        <v>46147</v>
      </c>
      <c r="D117" t="str">
        <f>VLOOKUP(B117,Trades!A$1:M100174,3,FALSE)</f>
        <v>SCHD</v>
      </c>
      <c r="E117" t="s">
        <v>63</v>
      </c>
      <c r="F117">
        <v>31.5</v>
      </c>
      <c r="G117">
        <v>30</v>
      </c>
      <c r="H117">
        <f>IF(VLOOKUP(B117,Trades!A:M,4,FALSE)="Long",(F117-VLOOKUP(B117,Trades!A:M,6,FALSE))*G117,(VLOOKUP(B117,Trades!A:M,6,FALSE)-F117)*G117)</f>
        <v>20.399999999999991</v>
      </c>
      <c r="I117">
        <f>H117/Trades!I117</f>
        <v>5.2577319587628901</v>
      </c>
    </row>
    <row r="118" spans="1:9" x14ac:dyDescent="0.25">
      <c r="A118">
        <f t="shared" si="6"/>
        <v>117</v>
      </c>
      <c r="B118" t="s">
        <v>224</v>
      </c>
      <c r="C118" s="1">
        <v>46147</v>
      </c>
      <c r="D118" t="str">
        <f>VLOOKUP(B118,Trades!A$1:M100175,3,FALSE)</f>
        <v>INTC</v>
      </c>
      <c r="E118" t="s">
        <v>63</v>
      </c>
      <c r="F118">
        <v>108.87</v>
      </c>
      <c r="G118">
        <v>1</v>
      </c>
      <c r="H118">
        <f>IF(VLOOKUP(B118,Trades!A:M,4,FALSE)="Long",(F118-VLOOKUP(B118,Trades!A:M,6,FALSE))*G118,(VLOOKUP(B118,Trades!A:M,6,FALSE)-F118)*G118)</f>
        <v>41.86</v>
      </c>
      <c r="I118">
        <f>H118/Trades!I118</f>
        <v>4.5352112676056331</v>
      </c>
    </row>
    <row r="119" spans="1:9" x14ac:dyDescent="0.25">
      <c r="A119">
        <f t="shared" si="6"/>
        <v>118</v>
      </c>
      <c r="B119" t="s">
        <v>279</v>
      </c>
      <c r="C119" s="1">
        <v>46147</v>
      </c>
      <c r="D119" t="str">
        <f>VLOOKUP(B119,Trades!A$1:M100176,3,FALSE)</f>
        <v>AMZN</v>
      </c>
      <c r="E119" t="s">
        <v>63</v>
      </c>
      <c r="F119">
        <v>276.17</v>
      </c>
      <c r="G119">
        <v>2</v>
      </c>
      <c r="H119">
        <f>IF(VLOOKUP(B119,Trades!A:M,4,FALSE)="Long",(F119-VLOOKUP(B119,Trades!A:M,6,FALSE))*G119,(VLOOKUP(B119,Trades!A:M,6,FALSE)-F119)*G119)</f>
        <v>33.399999999999977</v>
      </c>
      <c r="I119">
        <f>H119/Trades!I119</f>
        <v>6.6666666666665986</v>
      </c>
    </row>
    <row r="120" spans="1:9" x14ac:dyDescent="0.25">
      <c r="A120">
        <f t="shared" si="6"/>
        <v>119</v>
      </c>
      <c r="B120" t="s">
        <v>280</v>
      </c>
      <c r="C120" s="1">
        <v>46147</v>
      </c>
      <c r="D120" t="str">
        <f>VLOOKUP(B120,Trades!A$1:M100177,3,FALSE)</f>
        <v>MSFT</v>
      </c>
      <c r="E120" t="s">
        <v>63</v>
      </c>
      <c r="F120">
        <v>409.04</v>
      </c>
      <c r="G120">
        <v>3</v>
      </c>
      <c r="H120">
        <f>IF(VLOOKUP(B120,Trades!A:M,4,FALSE)="Long",(F120-VLOOKUP(B120,Trades!A:M,6,FALSE))*G120,(VLOOKUP(B120,Trades!A:M,6,FALSE)-F120)*G120)</f>
        <v>-3.2099999999999795</v>
      </c>
      <c r="I120">
        <f>H120/Trades!I120</f>
        <v>-0.31195335276967667</v>
      </c>
    </row>
    <row r="121" spans="1:9" x14ac:dyDescent="0.25">
      <c r="A121">
        <f t="shared" ref="A121:A127" si="7">ROW()-1</f>
        <v>120</v>
      </c>
      <c r="B121" t="s">
        <v>282</v>
      </c>
      <c r="C121" s="1">
        <v>46148</v>
      </c>
      <c r="D121" t="str">
        <f>VLOOKUP(B121,Trades!A$1:M100178,3,FALSE)</f>
        <v>MU</v>
      </c>
      <c r="E121" t="s">
        <v>63</v>
      </c>
      <c r="F121">
        <v>657.11</v>
      </c>
      <c r="G121">
        <v>2</v>
      </c>
      <c r="H121">
        <f>IF(VLOOKUP(B121,Trades!A:M,4,FALSE)="Long",(F121-VLOOKUP(B121,Trades!A:M,6,FALSE))*G121,(VLOOKUP(B121,Trades!A:M,6,FALSE)-F121)*G121)</f>
        <v>-7.0199999999999818</v>
      </c>
      <c r="I121">
        <f>H121/Trades!I121</f>
        <v>-1.169999999999997</v>
      </c>
    </row>
    <row r="122" spans="1:9" x14ac:dyDescent="0.25">
      <c r="A122">
        <f t="shared" si="7"/>
        <v>121</v>
      </c>
      <c r="B122" t="s">
        <v>283</v>
      </c>
      <c r="C122" s="1">
        <v>46148</v>
      </c>
      <c r="D122" t="str">
        <f>VLOOKUP(B122,Trades!A$1:M100179,3,FALSE)</f>
        <v>ARM</v>
      </c>
      <c r="E122" t="s">
        <v>63</v>
      </c>
      <c r="F122">
        <v>227.5</v>
      </c>
      <c r="G122">
        <v>4</v>
      </c>
      <c r="H122">
        <f>IF(VLOOKUP(B122,Trades!A:M,4,FALSE)="Long",(F122-VLOOKUP(B122,Trades!A:M,6,FALSE))*G122,(VLOOKUP(B122,Trades!A:M,6,FALSE)-F122)*G122)</f>
        <v>-8</v>
      </c>
      <c r="I122">
        <f>H122/Trades!I122</f>
        <v>-2.105263157894762</v>
      </c>
    </row>
    <row r="123" spans="1:9" x14ac:dyDescent="0.25">
      <c r="A123">
        <f t="shared" si="7"/>
        <v>122</v>
      </c>
      <c r="B123" t="s">
        <v>284</v>
      </c>
      <c r="C123" s="1">
        <v>46148</v>
      </c>
      <c r="D123" t="str">
        <f>VLOOKUP(B123,Trades!A$1:M100180,3,FALSE)</f>
        <v>AMD</v>
      </c>
      <c r="E123" t="s">
        <v>63</v>
      </c>
      <c r="F123">
        <v>422.69</v>
      </c>
      <c r="G123">
        <v>2</v>
      </c>
      <c r="H123">
        <f>IF(VLOOKUP(B123,Trades!A:M,4,FALSE)="Long",(F123-VLOOKUP(B123,Trades!A:M,6,FALSE))*G123,(VLOOKUP(B123,Trades!A:M,6,FALSE)-F123)*G123)</f>
        <v>33.980000000000018</v>
      </c>
      <c r="I123">
        <f>H123/Trades!I123</f>
        <v>11.326666666666673</v>
      </c>
    </row>
    <row r="124" spans="1:9" x14ac:dyDescent="0.25">
      <c r="A124">
        <f t="shared" si="7"/>
        <v>123</v>
      </c>
      <c r="B124" t="s">
        <v>285</v>
      </c>
      <c r="C124" s="1">
        <v>46148</v>
      </c>
      <c r="D124" t="str">
        <f>VLOOKUP(B124,Trades!A$1:M100181,3,FALSE)</f>
        <v>GOOG</v>
      </c>
      <c r="E124" t="s">
        <v>63</v>
      </c>
      <c r="F124">
        <v>387.32</v>
      </c>
      <c r="G124">
        <v>2</v>
      </c>
      <c r="H124">
        <f>IF(VLOOKUP(B124,Trades!A:M,4,FALSE)="Long",(F124-VLOOKUP(B124,Trades!A:M,6,FALSE))*G124,(VLOOKUP(B124,Trades!A:M,6,FALSE)-F124)*G124)</f>
        <v>-3.9600000000000364</v>
      </c>
      <c r="I124">
        <f>H124/Trades!I124</f>
        <v>-0.56410256410257076</v>
      </c>
    </row>
    <row r="125" spans="1:9" x14ac:dyDescent="0.25">
      <c r="A125">
        <f t="shared" si="7"/>
        <v>124</v>
      </c>
      <c r="B125" t="s">
        <v>286</v>
      </c>
      <c r="C125" s="1">
        <v>46148</v>
      </c>
      <c r="D125" t="str">
        <f>VLOOKUP(B125,Trades!A$1:M100182,3,FALSE)</f>
        <v>MU</v>
      </c>
      <c r="E125" t="s">
        <v>63</v>
      </c>
      <c r="F125">
        <v>656.1</v>
      </c>
      <c r="G125">
        <v>2</v>
      </c>
      <c r="H125">
        <f>IF(VLOOKUP(B125,Trades!A:M,4,FALSE)="Long",(F125-VLOOKUP(B125,Trades!A:M,6,FALSE))*G125,(VLOOKUP(B125,Trades!A:M,6,FALSE)-F125)*G125)</f>
        <v>11.319999999999936</v>
      </c>
      <c r="I125">
        <f>H125/Trades!I125</f>
        <v>1.414999999999992</v>
      </c>
    </row>
    <row r="126" spans="1:9" x14ac:dyDescent="0.25">
      <c r="A126">
        <f t="shared" si="7"/>
        <v>125</v>
      </c>
      <c r="B126" t="s">
        <v>287</v>
      </c>
      <c r="C126" s="1">
        <v>46148</v>
      </c>
      <c r="D126" t="str">
        <f>VLOOKUP(B126,Trades!A$1:M100183,3,FALSE)</f>
        <v>MU</v>
      </c>
      <c r="E126" t="s">
        <v>63</v>
      </c>
      <c r="F126">
        <v>656.1</v>
      </c>
      <c r="G126">
        <v>2</v>
      </c>
      <c r="H126">
        <f>IF(VLOOKUP(B126,Trades!A:M,4,FALSE)="Long",(F126-VLOOKUP(B126,Trades!A:M,6,FALSE))*G126,(VLOOKUP(B126,Trades!A:M,6,FALSE)-F126)*G126)</f>
        <v>53.559999999999945</v>
      </c>
      <c r="I126">
        <f>H126/Trades!I126</f>
        <v>14.244680851063849</v>
      </c>
    </row>
    <row r="127" spans="1:9" x14ac:dyDescent="0.25">
      <c r="A127">
        <f t="shared" si="7"/>
        <v>126</v>
      </c>
      <c r="B127" t="s">
        <v>288</v>
      </c>
      <c r="C127" s="1">
        <v>46148</v>
      </c>
      <c r="D127" t="str">
        <f>VLOOKUP(B127,Trades!A$1:M100184,3,FALSE)</f>
        <v>AMPY</v>
      </c>
      <c r="E127" t="s">
        <v>63</v>
      </c>
      <c r="F127">
        <v>5.7</v>
      </c>
      <c r="G127">
        <v>10</v>
      </c>
      <c r="H127">
        <f>IF(VLOOKUP(B127,Trades!A:M,4,FALSE)="Long",(F127-VLOOKUP(B127,Trades!A:M,6,FALSE))*G127,(VLOOKUP(B127,Trades!A:M,6,FALSE)-F127)*G127)</f>
        <v>1.5000000000000036</v>
      </c>
      <c r="I127">
        <f>H127/Trades!I127</f>
        <v>0.37500000000000089</v>
      </c>
    </row>
    <row r="128" spans="1:9" x14ac:dyDescent="0.25">
      <c r="A128">
        <f>ROW()-1</f>
        <v>127</v>
      </c>
      <c r="B128" t="s">
        <v>290</v>
      </c>
      <c r="C128" s="1">
        <v>46149</v>
      </c>
      <c r="D128" t="str">
        <f>VLOOKUP(B128,Trades!A$1:M100185,3,FALSE)</f>
        <v>NRDS</v>
      </c>
      <c r="E128" t="s">
        <v>63</v>
      </c>
      <c r="F128">
        <v>9.3699999999999992</v>
      </c>
      <c r="G128">
        <v>20</v>
      </c>
      <c r="H128">
        <f>IF(VLOOKUP(B128,Trades!A:M,4,FALSE)="Long",(F128-VLOOKUP(B128,Trades!A:M,6,FALSE))*G128,(VLOOKUP(B128,Trades!A:M,6,FALSE)-F128)*G128)</f>
        <v>-25.800000000000018</v>
      </c>
      <c r="I128">
        <f>H128/Trades!I128</f>
        <v>-4.3000000000000034</v>
      </c>
    </row>
    <row r="129" spans="1:9" x14ac:dyDescent="0.25">
      <c r="A129">
        <f>ROW()-1</f>
        <v>128</v>
      </c>
      <c r="B129" t="s">
        <v>291</v>
      </c>
      <c r="C129" s="1">
        <v>46149</v>
      </c>
      <c r="D129" t="str">
        <f>VLOOKUP(B129,Trades!A$1:M100186,3,FALSE)</f>
        <v>FSLY</v>
      </c>
      <c r="E129" t="s">
        <v>63</v>
      </c>
      <c r="F129">
        <v>22.29</v>
      </c>
      <c r="G129">
        <v>4</v>
      </c>
      <c r="H129">
        <f>IF(VLOOKUP(B129,Trades!A:M,4,FALSE)="Long",(F129-VLOOKUP(B129,Trades!A:M,6,FALSE))*G129,(VLOOKUP(B129,Trades!A:M,6,FALSE)-F129)*G129)</f>
        <v>-10.64</v>
      </c>
      <c r="I129">
        <f>H129/Trades!I129</f>
        <v>-1.33</v>
      </c>
    </row>
    <row r="130" spans="1:9" x14ac:dyDescent="0.25">
      <c r="A130">
        <f>ROW()-1</f>
        <v>129</v>
      </c>
      <c r="B130" t="s">
        <v>293</v>
      </c>
      <c r="C130" s="1">
        <v>46149</v>
      </c>
      <c r="D130" t="str">
        <f>VLOOKUP(B130,Trades!A$1:M100187,3,FALSE)</f>
        <v>NET</v>
      </c>
      <c r="E130" t="s">
        <v>63</v>
      </c>
      <c r="F130">
        <v>253.14</v>
      </c>
      <c r="G130">
        <v>4</v>
      </c>
      <c r="H130">
        <f>IF(VLOOKUP(B130,Trades!A:M,4,FALSE)="Long",(F130-VLOOKUP(B130,Trades!A:M,6,FALSE))*G130,(VLOOKUP(B130,Trades!A:M,6,FALSE)-F130)*G130)</f>
        <v>0.55999999999994543</v>
      </c>
      <c r="I130">
        <f>H130/Trades!I130</f>
        <v>0.13333333333332037</v>
      </c>
    </row>
    <row r="131" spans="1:9" x14ac:dyDescent="0.25">
      <c r="A131">
        <f>ROW()-1</f>
        <v>130</v>
      </c>
      <c r="B131" t="s">
        <v>294</v>
      </c>
      <c r="C131" s="1">
        <v>46149</v>
      </c>
      <c r="D131" t="str">
        <f>VLOOKUP(B131,Trades!A$1:M100188,3,FALSE)</f>
        <v>NET</v>
      </c>
      <c r="E131" t="s">
        <v>63</v>
      </c>
      <c r="F131">
        <v>256.60000000000002</v>
      </c>
      <c r="G131">
        <v>4</v>
      </c>
      <c r="H131">
        <f>IF(VLOOKUP(B131,Trades!A:M,4,FALSE)="Long",(F131-VLOOKUP(B131,Trades!A:M,6,FALSE))*G131,(VLOOKUP(B131,Trades!A:M,6,FALSE)-F131)*G131)</f>
        <v>25.960000000000036</v>
      </c>
      <c r="I131">
        <f>H131/Trades!I131</f>
        <v>5.1920000000000073</v>
      </c>
    </row>
    <row r="132" spans="1:9" x14ac:dyDescent="0.25">
      <c r="A132">
        <f>ROW()-1</f>
        <v>131</v>
      </c>
      <c r="B132" t="s">
        <v>295</v>
      </c>
      <c r="C132" s="1">
        <v>46149</v>
      </c>
      <c r="D132" t="str">
        <f>VLOOKUP(B132,Trades!A$1:M100189,3,FALSE)</f>
        <v>MU</v>
      </c>
      <c r="E132" t="s">
        <v>63</v>
      </c>
      <c r="F132">
        <v>657.82</v>
      </c>
      <c r="G132">
        <v>2</v>
      </c>
      <c r="H132">
        <f>IF(VLOOKUP(B132,Trades!A:M,4,FALSE)="Long",(F132-VLOOKUP(B132,Trades!A:M,6,FALSE))*G132,(VLOOKUP(B132,Trades!A:M,6,FALSE)-F132)*G132)</f>
        <v>-6.0199999999999818</v>
      </c>
      <c r="I132">
        <f>H132/Trades!I132</f>
        <v>-0.67792792792792567</v>
      </c>
    </row>
    <row r="133" spans="1:9" x14ac:dyDescent="0.25">
      <c r="A133">
        <f>ROW()-1</f>
        <v>132</v>
      </c>
      <c r="B133" t="s">
        <v>297</v>
      </c>
      <c r="C133" s="1">
        <v>46149</v>
      </c>
      <c r="D133" t="str">
        <f>VLOOKUP(B133,Trades!A$1:M100190,3,FALSE)</f>
        <v>ABTC</v>
      </c>
      <c r="E133" t="s">
        <v>63</v>
      </c>
      <c r="F133">
        <v>1.1499999999999999</v>
      </c>
      <c r="G133">
        <v>30</v>
      </c>
      <c r="H133">
        <f>IF(VLOOKUP(B133,Trades!A:M,4,FALSE)="Long",(F133-VLOOKUP(B133,Trades!A:M,6,FALSE))*G133,(VLOOKUP(B133,Trades!A:M,6,FALSE)-F133)*G133)</f>
        <v>-1.5000000000000013</v>
      </c>
      <c r="I133">
        <f>H133/Trades!I133</f>
        <v>-0.3472222222222231</v>
      </c>
    </row>
    <row r="134" spans="1:9" x14ac:dyDescent="0.25">
      <c r="A134">
        <f>ROW()-1</f>
        <v>133</v>
      </c>
      <c r="B134" t="s">
        <v>298</v>
      </c>
      <c r="C134" s="1">
        <v>46149</v>
      </c>
      <c r="D134" t="str">
        <f>VLOOKUP(B134,Trades!A$1:M100191,3,FALSE)</f>
        <v>RKT</v>
      </c>
      <c r="E134" t="s">
        <v>63</v>
      </c>
      <c r="F134">
        <v>14.37</v>
      </c>
      <c r="G134">
        <v>6</v>
      </c>
      <c r="H134">
        <f>IF(VLOOKUP(B134,Trades!A:M,4,FALSE)="Long",(F134-VLOOKUP(B134,Trades!A:M,6,FALSE))*G134,(VLOOKUP(B134,Trades!A:M,6,FALSE)-F134)*G134)</f>
        <v>-3.0600000000000094</v>
      </c>
      <c r="I134">
        <f>H134/Trades!I134</f>
        <v>-0.6107784431137685</v>
      </c>
    </row>
    <row r="135" spans="1:9" x14ac:dyDescent="0.25">
      <c r="A135">
        <f>ROW()-1</f>
        <v>134</v>
      </c>
      <c r="B135" t="s">
        <v>299</v>
      </c>
      <c r="C135" s="1">
        <v>46149</v>
      </c>
      <c r="D135" t="str">
        <f>VLOOKUP(B135,Trades!A$1:M100192,3,FALSE)</f>
        <v>MSFT</v>
      </c>
      <c r="E135" t="s">
        <v>63</v>
      </c>
      <c r="F135">
        <v>423.97</v>
      </c>
      <c r="G135">
        <v>3</v>
      </c>
      <c r="H135">
        <f>IF(VLOOKUP(B135,Trades!A:M,4,FALSE)="Long",(F135-VLOOKUP(B135,Trades!A:M,6,FALSE))*G135,(VLOOKUP(B135,Trades!A:M,6,FALSE)-F135)*G135)</f>
        <v>14.910000000000082</v>
      </c>
      <c r="I135">
        <f>H135/Trades!I135</f>
        <v>3.7275000000000205</v>
      </c>
    </row>
    <row r="136" spans="1:9" x14ac:dyDescent="0.25">
      <c r="A136">
        <f>ROW()-1</f>
        <v>135</v>
      </c>
      <c r="B136" t="s">
        <v>300</v>
      </c>
      <c r="C136" s="1">
        <v>46149</v>
      </c>
      <c r="D136" t="str">
        <f>VLOOKUP(B136,Trades!A$1:M100193,3,FALSE)</f>
        <v>ORCL</v>
      </c>
      <c r="E136" t="s">
        <v>63</v>
      </c>
      <c r="F136">
        <v>193.08</v>
      </c>
      <c r="G136">
        <v>4</v>
      </c>
      <c r="H136">
        <f>IF(VLOOKUP(B136,Trades!A:M,4,FALSE)="Long",(F136-VLOOKUP(B136,Trades!A:M,6,FALSE))*G136,(VLOOKUP(B136,Trades!A:M,6,FALSE)-F136)*G136)</f>
        <v>-5.3199999999999363</v>
      </c>
      <c r="I136">
        <f>H136/Trades!I136</f>
        <v>-0.66499999999999204</v>
      </c>
    </row>
    <row r="137" spans="1:9" x14ac:dyDescent="0.25">
      <c r="A137">
        <f>ROW()-1</f>
        <v>136</v>
      </c>
      <c r="B137" t="s">
        <v>301</v>
      </c>
      <c r="C137" s="1">
        <v>46149</v>
      </c>
      <c r="D137" t="str">
        <f>VLOOKUP(B137,Trades!A$1:M100194,3,FALSE)</f>
        <v>QCOM</v>
      </c>
      <c r="E137" t="s">
        <v>63</v>
      </c>
      <c r="F137">
        <v>205.92</v>
      </c>
      <c r="G137">
        <v>3</v>
      </c>
      <c r="H137">
        <f>IF(VLOOKUP(B137,Trades!A:M,4,FALSE)="Long",(F137-VLOOKUP(B137,Trades!A:M,6,FALSE))*G137,(VLOOKUP(B137,Trades!A:M,6,FALSE)-F137)*G137)</f>
        <v>-1.5900000000000034</v>
      </c>
      <c r="I137">
        <f>H137/Trades!I137</f>
        <v>-0.39750000000000085</v>
      </c>
    </row>
    <row r="138" spans="1:9" x14ac:dyDescent="0.25">
      <c r="A138">
        <f>ROW()-1</f>
        <v>137</v>
      </c>
      <c r="B138" t="s">
        <v>303</v>
      </c>
      <c r="C138" s="1">
        <v>46149</v>
      </c>
      <c r="D138" t="str">
        <f>VLOOKUP(B138,Trades!A$1:M100195,3,FALSE)</f>
        <v>DDOG</v>
      </c>
      <c r="E138" t="s">
        <v>63</v>
      </c>
      <c r="F138">
        <v>180.02</v>
      </c>
      <c r="G138">
        <v>3</v>
      </c>
      <c r="H138">
        <f>IF(VLOOKUP(B138,Trades!A:M,4,FALSE)="Long",(F138-VLOOKUP(B138,Trades!A:M,6,FALSE))*G138,(VLOOKUP(B138,Trades!A:M,6,FALSE)-F138)*G138)</f>
        <v>-2.1899999999999693</v>
      </c>
      <c r="I138">
        <f>H138/Trades!I138</f>
        <v>-0.36499999999999488</v>
      </c>
    </row>
  </sheetData>
  <dataValidations count="2">
    <dataValidation type="list" allowBlank="1" showInputMessage="1" showErrorMessage="1" sqref="E2:E138" xr:uid="{9C25687B-DEF5-4411-BA9A-40CB4D950704}">
      <formula1>"Sell,Cover"</formula1>
    </dataValidation>
    <dataValidation type="list" allowBlank="1" showInputMessage="1" showErrorMessage="1" sqref="E139:E1048576" xr:uid="{05958E25-911C-4ED3-A0F6-7B25054B7856}">
      <formula1>$E$2:$E100138</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D4C81-5CF1-4DFA-99E6-729F5B0DC763}">
  <dimension ref="A1:I13"/>
  <sheetViews>
    <sheetView workbookViewId="0">
      <selection activeCell="B9" sqref="B9"/>
    </sheetView>
  </sheetViews>
  <sheetFormatPr baseColWidth="10" defaultRowHeight="15" x14ac:dyDescent="0.25"/>
  <cols>
    <col min="1" max="1" width="18" bestFit="1" customWidth="1"/>
    <col min="5" max="6" width="13.5703125" customWidth="1"/>
    <col min="7" max="7" width="14.28515625" bestFit="1" customWidth="1"/>
    <col min="8" max="8" width="11.7109375" bestFit="1" customWidth="1"/>
  </cols>
  <sheetData>
    <row r="1" spans="1:9" x14ac:dyDescent="0.25">
      <c r="A1" t="s">
        <v>41</v>
      </c>
      <c r="B1" t="s">
        <v>42</v>
      </c>
      <c r="C1" t="s">
        <v>57</v>
      </c>
      <c r="D1" t="s">
        <v>58</v>
      </c>
      <c r="E1" t="s">
        <v>12</v>
      </c>
      <c r="F1" t="s">
        <v>5</v>
      </c>
      <c r="G1" t="s">
        <v>59</v>
      </c>
      <c r="H1" t="s">
        <v>13</v>
      </c>
      <c r="I1" t="s">
        <v>43</v>
      </c>
    </row>
    <row r="2" spans="1:9" x14ac:dyDescent="0.25">
      <c r="A2" t="s">
        <v>29</v>
      </c>
      <c r="B2">
        <f>COUNTIF(Trades!E:E,A2)</f>
        <v>3</v>
      </c>
      <c r="C2">
        <f>COUNTIFS(Trades!E:E, A2,Trades!M:M, "&gt;0")</f>
        <v>2</v>
      </c>
      <c r="D2">
        <f>COUNTIFS(Trades!E:E, A2, Trades!M:M, "&lt;0")</f>
        <v>1</v>
      </c>
      <c r="E2">
        <f>IFERROR(C2/B2,0)</f>
        <v>0.66666666666666663</v>
      </c>
      <c r="F2">
        <f>SUMIF(Trades!E:E,A2,Trades!N:N)</f>
        <v>2.9909703590723824</v>
      </c>
      <c r="G2">
        <f>IFERROR(F2/B2,0)</f>
        <v>0.9969901196907941</v>
      </c>
      <c r="H2">
        <f>IFERROR( SUMIFS(Trades!M:M, Trades!E:E, A2, Trades!M:M, "&gt;0")/ABS(SUMIFS(Trades!M:M,Trades!E:E, A2,Trades!M:M,"&lt;0")),0)</f>
        <v>2.3916023993144857</v>
      </c>
      <c r="I2">
        <f>IFERROR(F2/B2,0)</f>
        <v>0.9969901196907941</v>
      </c>
    </row>
    <row r="3" spans="1:9" x14ac:dyDescent="0.25">
      <c r="A3" t="s">
        <v>51</v>
      </c>
      <c r="B3">
        <f>COUNTIF(Trades!E:E,A3)</f>
        <v>1</v>
      </c>
      <c r="C3">
        <f>COUNTIFS(Trades!E:E, A3,Trades!M:M, "&gt;0")</f>
        <v>0</v>
      </c>
      <c r="D3">
        <f>COUNTIFS(Trades!E:E, A3, Trades!M:M, "&lt;0")</f>
        <v>1</v>
      </c>
      <c r="E3">
        <f t="shared" ref="E3:E13" si="0">IFERROR(C3/B3,0)</f>
        <v>0</v>
      </c>
      <c r="F3">
        <f>SUMIF(Trades!E:E,A3,Trades!N:N)</f>
        <v>-1.0027100271002762</v>
      </c>
      <c r="G3">
        <f t="shared" ref="G3:G13" si="1">IFERROR(F3/B3,0)</f>
        <v>-1.0027100271002762</v>
      </c>
      <c r="H3">
        <f>IFERROR( SUMIFS(Trades!M:M, Trades!E:E, A3, Trades!M:M, "&gt;0")/ABS(SUMIFS(Trades!M:M, Trades!E:E, A3, Trades!M:M,"&lt;0")),0)</f>
        <v>0</v>
      </c>
      <c r="I3">
        <f t="shared" ref="I3:I13" si="2">IFERROR(F3/B3,0)</f>
        <v>-1.0027100271002762</v>
      </c>
    </row>
    <row r="4" spans="1:9" x14ac:dyDescent="0.25">
      <c r="A4" t="s">
        <v>52</v>
      </c>
      <c r="B4">
        <f>COUNTIF(Trades!E:E,A4)</f>
        <v>1</v>
      </c>
      <c r="C4">
        <f>COUNTIFS(Trades!E:E, A4,Trades!M:M, "&gt;0")</f>
        <v>0</v>
      </c>
      <c r="D4">
        <f>COUNTIFS(Trades!E:E, A4, Trades!M:M, "&lt;0")</f>
        <v>1</v>
      </c>
      <c r="E4">
        <f t="shared" si="0"/>
        <v>0</v>
      </c>
      <c r="F4">
        <f>SUMIF(Trades!E:E,A4,Trades!N:N)</f>
        <v>-1.6110444177671159</v>
      </c>
      <c r="G4">
        <f t="shared" si="1"/>
        <v>-1.6110444177671159</v>
      </c>
      <c r="H4">
        <f>IFERROR( SUMIFS(Trades!M:M, Trades!E:E, A4, Trades!M:M, "&gt;0")/ABS(SUMIFS(Trades!M:M, Trades!E:E, A4, Trades!M:M,"&lt;0")),0)</f>
        <v>0</v>
      </c>
      <c r="I4">
        <f t="shared" si="2"/>
        <v>-1.6110444177671159</v>
      </c>
    </row>
    <row r="5" spans="1:9" x14ac:dyDescent="0.25">
      <c r="A5" t="s">
        <v>27</v>
      </c>
      <c r="B5">
        <f>COUNTIF(Trades!E:E,A5)</f>
        <v>2</v>
      </c>
      <c r="C5">
        <f>COUNTIFS(Trades!E:E, A5,Trades!M:M, "&gt;0")</f>
        <v>1</v>
      </c>
      <c r="D5">
        <f>COUNTIFS(Trades!E:E, A5, Trades!M:M, "&lt;0")</f>
        <v>1</v>
      </c>
      <c r="E5">
        <f t="shared" si="0"/>
        <v>0.5</v>
      </c>
      <c r="F5">
        <f>SUMIF(Trades!E:E,A5,Trades!N:N)</f>
        <v>1.7863736263736227</v>
      </c>
      <c r="G5">
        <f t="shared" si="1"/>
        <v>0.89318681318681137</v>
      </c>
      <c r="H5">
        <f>IFERROR( SUMIFS(Trades!M:M, Trades!E:E, A5, Trades!M:M, "&gt;0")/ABS(SUMIFS(Trades!M:M, Trades!E:E, A5, Trades!M:M,"&lt;0")),0)</f>
        <v>0.55765199161425549</v>
      </c>
      <c r="I5">
        <f t="shared" si="2"/>
        <v>0.89318681318681137</v>
      </c>
    </row>
    <row r="6" spans="1:9" x14ac:dyDescent="0.25">
      <c r="A6" t="s">
        <v>53</v>
      </c>
      <c r="B6">
        <f>COUNTIF(Trades!E:E,A6)</f>
        <v>21</v>
      </c>
      <c r="C6">
        <f>COUNTIFS(Trades!E:E, A6,Trades!M:M, "&gt;0")</f>
        <v>6</v>
      </c>
      <c r="D6">
        <f>COUNTIFS(Trades!E:E, A6, Trades!M:M, "&lt;0")</f>
        <v>14</v>
      </c>
      <c r="E6">
        <f t="shared" si="0"/>
        <v>0.2857142857142857</v>
      </c>
      <c r="F6">
        <f>SUMIF(Trades!E:E,A6,Trades!N:N)</f>
        <v>-3.9425942950894561</v>
      </c>
      <c r="G6">
        <f t="shared" si="1"/>
        <v>-0.18774258548045028</v>
      </c>
      <c r="H6">
        <f>IFERROR( SUMIFS(Trades!M:M, Trades!E:E, A6, Trades!M:M, "&gt;0")/ABS(SUMIFS(Trades!M:M, Trades!E:E, A6, Trades!M:M,"&lt;0")),0)</f>
        <v>0.84596986366897986</v>
      </c>
      <c r="I6">
        <f t="shared" si="2"/>
        <v>-0.18774258548045028</v>
      </c>
    </row>
    <row r="7" spans="1:9" x14ac:dyDescent="0.25">
      <c r="A7" t="s">
        <v>54</v>
      </c>
      <c r="B7">
        <f>COUNTIF(Trades!E:E,A7)</f>
        <v>0</v>
      </c>
      <c r="C7">
        <f>COUNTIFS(Trades!E:E, A7,Trades!M:M, "&gt;0")</f>
        <v>0</v>
      </c>
      <c r="D7">
        <f>COUNTIFS(Trades!E:E, A7, Trades!M:M, "&lt;0")</f>
        <v>0</v>
      </c>
      <c r="E7">
        <f t="shared" si="0"/>
        <v>0</v>
      </c>
      <c r="F7">
        <f>SUMIF(Trades!E:E,A7,Trades!N:N)</f>
        <v>0</v>
      </c>
      <c r="G7">
        <f t="shared" si="1"/>
        <v>0</v>
      </c>
      <c r="H7">
        <f>IFERROR( SUMIFS(Trades!M:M, Trades!E:E, A7, Trades!M:M, "&gt;0")/ABS(SUMIFS(Trades!M:M, Trades!E:E, A7, Trades!M:M,"&lt;0")),0)</f>
        <v>0</v>
      </c>
      <c r="I7">
        <f t="shared" si="2"/>
        <v>0</v>
      </c>
    </row>
    <row r="8" spans="1:9" x14ac:dyDescent="0.25">
      <c r="A8" t="s">
        <v>55</v>
      </c>
      <c r="B8">
        <f>COUNTIF(Trades!E:E,A8)</f>
        <v>1</v>
      </c>
      <c r="C8">
        <f>COUNTIFS(Trades!E:E, A8,Trades!M:M, "&gt;0")</f>
        <v>0</v>
      </c>
      <c r="D8">
        <f>COUNTIFS(Trades!E:E, A8, Trades!M:M, "&lt;0")</f>
        <v>1</v>
      </c>
      <c r="E8">
        <f t="shared" si="0"/>
        <v>0</v>
      </c>
      <c r="F8">
        <f>SUMIF(Trades!E:E,A8,Trades!N:N)</f>
        <v>-1.4753521126760587</v>
      </c>
      <c r="G8">
        <f t="shared" si="1"/>
        <v>-1.4753521126760587</v>
      </c>
      <c r="H8">
        <f>IFERROR( SUMIFS(Trades!M:M, Trades!E:E, A8, Trades!M:M, "&gt;0")/ABS(SUMIFS(Trades!M:M, Trades!E:E, A8, Trades!M:M,"&lt;0")),0)</f>
        <v>0</v>
      </c>
      <c r="I8">
        <f t="shared" si="2"/>
        <v>-1.4753521126760587</v>
      </c>
    </row>
    <row r="9" spans="1:9" x14ac:dyDescent="0.25">
      <c r="A9" t="s">
        <v>60</v>
      </c>
      <c r="B9">
        <f>COUNTIF(Trades!E:E,A9)</f>
        <v>57</v>
      </c>
      <c r="C9">
        <f>COUNTIFS(Trades!E:E, A9,Trades!M:M, "&gt;0")</f>
        <v>22</v>
      </c>
      <c r="D9">
        <f>COUNTIFS(Trades!E:E, A9, Trades!M:M, "&lt;0")</f>
        <v>34</v>
      </c>
      <c r="E9">
        <f>IFERROR(C9/B9,0)</f>
        <v>0.38596491228070173</v>
      </c>
      <c r="F9">
        <f>SUMIF(Trades!E:E,A9,Trades!N:N)</f>
        <v>11.357200997437296</v>
      </c>
      <c r="G9">
        <f t="shared" si="1"/>
        <v>0.19924914030591748</v>
      </c>
      <c r="H9">
        <f>IFERROR( SUMIFS(Trades!M:M, Trades!E:E, A9, Trades!M:M, "&gt;0")/ABS(SUMIFS(Trades!M:M, Trades!E:E, A9, Trades!M:M,"&lt;0")),0)</f>
        <v>1.7594376331602506</v>
      </c>
      <c r="I9">
        <f t="shared" si="2"/>
        <v>0.19924914030591748</v>
      </c>
    </row>
    <row r="10" spans="1:9" x14ac:dyDescent="0.25">
      <c r="A10" t="s">
        <v>62</v>
      </c>
      <c r="B10">
        <f>COUNTIF(Trades!E:E,A10)</f>
        <v>19</v>
      </c>
      <c r="C10">
        <f>COUNTIFS(Trades!E:E, A10,Trades!M:M, "&gt;0")</f>
        <v>2</v>
      </c>
      <c r="D10">
        <f>COUNTIFS(Trades!E:E, A10, Trades!M:M, "&lt;0")</f>
        <v>15</v>
      </c>
      <c r="E10">
        <f>IFERROR(C10/B10,0)</f>
        <v>0.10526315789473684</v>
      </c>
      <c r="F10">
        <f>SUMIF(Trades!E:E,A10,Trades!N:N)</f>
        <v>-10.796172262916107</v>
      </c>
      <c r="G10">
        <f>IFERROR(F10/B10,0)</f>
        <v>-0.56821959278505829</v>
      </c>
      <c r="H10">
        <f>IFERROR( SUMIFS(Trades!M:M, Trades!E:E, A10, Trades!M:M, "&gt;0")/ABS(SUMIFS(Trades!M:M, Trades!E:E, A10, Trades!M:M,"&lt;0")),0)</f>
        <v>0.11193832365965109</v>
      </c>
      <c r="I10">
        <f>IFERROR(F10/B10,0)</f>
        <v>-0.56821959278505829</v>
      </c>
    </row>
    <row r="11" spans="1:9" x14ac:dyDescent="0.25">
      <c r="A11" t="s">
        <v>114</v>
      </c>
      <c r="B11">
        <f>COUNTIF(Trades!E:E,A11)</f>
        <v>2</v>
      </c>
      <c r="C11">
        <f>COUNTIFS(Trades!E:E, A11,Trades!M:M, "&gt;0")</f>
        <v>0</v>
      </c>
      <c r="D11">
        <f>COUNTIFS(Trades!E:E, A11, Trades!M:M, "&lt;0")</f>
        <v>1</v>
      </c>
      <c r="E11">
        <f>IFERROR(C11/B11,0)</f>
        <v>0</v>
      </c>
      <c r="F11">
        <f>SUMIF(Trades!E:E,A11,Trades!N:N)</f>
        <v>-0.92996108949416356</v>
      </c>
      <c r="G11">
        <f>IFERROR(F11/B11,0)</f>
        <v>-0.46498054474708178</v>
      </c>
      <c r="H11">
        <f>IFERROR( SUMIFS(Trades!M:M, Trades!E:E, A11, Trades!M:M, "&gt;0")/ABS(SUMIFS(Trades!M:M, Trades!E:E, A11, Trades!M:M,"&lt;0")),0)</f>
        <v>0</v>
      </c>
      <c r="I11">
        <f>IFERROR(F11/B11,0)</f>
        <v>-0.46498054474708178</v>
      </c>
    </row>
    <row r="12" spans="1:9" x14ac:dyDescent="0.25">
      <c r="A12" t="s">
        <v>121</v>
      </c>
      <c r="B12">
        <f>COUNTIF(Trades!E:E,A12)</f>
        <v>33</v>
      </c>
      <c r="C12">
        <f>COUNTIFS(Trades!E:E, A12,Trades!M:M, "&gt;0")</f>
        <v>10</v>
      </c>
      <c r="D12">
        <f>COUNTIFS(Trades!E:E, A12, Trades!M:M, "&lt;0")</f>
        <v>18</v>
      </c>
      <c r="E12">
        <f>IFERROR(C12/B12,0)</f>
        <v>0.30303030303030304</v>
      </c>
      <c r="F12">
        <f>SUMIF(Trades!E:E,A12,Trades!N:N)</f>
        <v>3.4340014667021102</v>
      </c>
      <c r="G12">
        <f>IFERROR(F12/B12,0)</f>
        <v>0.10406065050612455</v>
      </c>
      <c r="H12">
        <f>IFERROR( SUMIFS(Trades!M:M, Trades!E:E, A12, Trades!M:M, "&gt;0")/ABS(SUMIFS(Trades!M:M, Trades!E:E, A12, Trades!M:M,"&lt;0")),0)</f>
        <v>1.0462192013593878</v>
      </c>
      <c r="I12">
        <f>IFERROR(F12/B12,0)</f>
        <v>0.10406065050612455</v>
      </c>
    </row>
    <row r="13" spans="1:9" x14ac:dyDescent="0.25">
      <c r="A13" t="s">
        <v>56</v>
      </c>
      <c r="B13">
        <f>COUNTIF(Trades!E:E,A13)</f>
        <v>0</v>
      </c>
      <c r="C13">
        <f>COUNTIFS(Trades!E:E, A13,Trades!M:M, "&gt;0")</f>
        <v>0</v>
      </c>
      <c r="D13">
        <f>COUNTIFS(Trades!E:E, A13, Trades!M:M, "&lt;0")</f>
        <v>0</v>
      </c>
      <c r="E13">
        <f t="shared" si="0"/>
        <v>0</v>
      </c>
      <c r="F13">
        <f>SUMIF(Trades!E:E,A13,Trades!N:N)</f>
        <v>0</v>
      </c>
      <c r="G13">
        <f t="shared" si="1"/>
        <v>0</v>
      </c>
      <c r="H13">
        <f>IFERROR( SUMIFS(Trades!M:M, Trades!E:E, A13, Trades!M:M, "&gt;0")/ABS(SUMIFS(Trades!M:M, Trades!E:E, A13, Trades!M:M,"&lt;0")),0)</f>
        <v>0</v>
      </c>
      <c r="I13">
        <f t="shared" si="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BEB4E-7DDA-44EB-AEDC-C293E2BD344F}">
  <dimension ref="A1:F5"/>
  <sheetViews>
    <sheetView workbookViewId="0">
      <selection activeCell="F5" sqref="F5"/>
    </sheetView>
  </sheetViews>
  <sheetFormatPr baseColWidth="10" defaultRowHeight="15" x14ac:dyDescent="0.25"/>
  <cols>
    <col min="3" max="3" width="12.7109375" bestFit="1" customWidth="1"/>
    <col min="6" max="6" width="172.7109375" bestFit="1" customWidth="1"/>
  </cols>
  <sheetData>
    <row r="1" spans="1:6" x14ac:dyDescent="0.25">
      <c r="A1" t="s">
        <v>0</v>
      </c>
      <c r="B1" t="s">
        <v>1</v>
      </c>
      <c r="C1" t="s">
        <v>10</v>
      </c>
      <c r="D1" t="s">
        <v>11</v>
      </c>
      <c r="E1" t="s">
        <v>44</v>
      </c>
      <c r="F1" t="s">
        <v>6</v>
      </c>
    </row>
    <row r="2" spans="1:6" x14ac:dyDescent="0.25">
      <c r="A2" t="s">
        <v>72</v>
      </c>
      <c r="B2" s="1">
        <v>46077</v>
      </c>
      <c r="C2" t="s">
        <v>64</v>
      </c>
      <c r="D2" t="s">
        <v>65</v>
      </c>
      <c r="E2">
        <v>-1</v>
      </c>
      <c r="F2" t="s">
        <v>66</v>
      </c>
    </row>
    <row r="3" spans="1:6" x14ac:dyDescent="0.25">
      <c r="A3" t="s">
        <v>79</v>
      </c>
      <c r="B3" s="1">
        <v>46078</v>
      </c>
      <c r="C3" t="s">
        <v>64</v>
      </c>
      <c r="D3" t="s">
        <v>80</v>
      </c>
      <c r="E3">
        <v>0</v>
      </c>
      <c r="F3" t="s">
        <v>81</v>
      </c>
    </row>
    <row r="4" spans="1:6" x14ac:dyDescent="0.25">
      <c r="A4" t="s">
        <v>116</v>
      </c>
      <c r="B4" s="1">
        <v>46098</v>
      </c>
      <c r="C4" t="s">
        <v>64</v>
      </c>
      <c r="D4" t="s">
        <v>65</v>
      </c>
      <c r="E4">
        <v>0</v>
      </c>
      <c r="F4" t="s">
        <v>117</v>
      </c>
    </row>
    <row r="5" spans="1:6" x14ac:dyDescent="0.25">
      <c r="A5" t="s">
        <v>126</v>
      </c>
      <c r="B5" s="1">
        <v>46101</v>
      </c>
      <c r="C5" t="s">
        <v>64</v>
      </c>
      <c r="D5" t="s">
        <v>80</v>
      </c>
      <c r="E5">
        <v>-19.71</v>
      </c>
      <c r="F5" t="s">
        <v>127</v>
      </c>
    </row>
  </sheetData>
  <dataValidations count="3">
    <dataValidation type="list" allowBlank="1" showInputMessage="1" showErrorMessage="1" sqref="C6:C1048576" xr:uid="{E90ED070-6DC6-4337-8AA1-210BB22EB913}">
      <formula1>"Emotiona,Technical"</formula1>
    </dataValidation>
    <dataValidation type="list" allowBlank="1" showInputMessage="1" showErrorMessage="1" sqref="C2:C5" xr:uid="{88B7214E-8E9D-4081-B0FD-1297110AC3FE}">
      <formula1>"Emotional,Technical"</formula1>
    </dataValidation>
    <dataValidation type="list" allowBlank="1" showInputMessage="1" showErrorMessage="1" sqref="D2:D3" xr:uid="{755AB45C-937B-4D2F-B341-462975D65465}">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59AA8-1460-4395-A15C-3B2C7C158D6A}">
  <dimension ref="A1:J7"/>
  <sheetViews>
    <sheetView workbookViewId="0">
      <selection activeCell="E7" sqref="E7"/>
    </sheetView>
  </sheetViews>
  <sheetFormatPr baseColWidth="10" defaultRowHeight="15" x14ac:dyDescent="0.25"/>
  <cols>
    <col min="2" max="2" width="15.28515625" bestFit="1" customWidth="1"/>
    <col min="3" max="3" width="12.7109375" bestFit="1" customWidth="1"/>
    <col min="4" max="4" width="7" bestFit="1" customWidth="1"/>
    <col min="5" max="5" width="56.7109375" customWidth="1"/>
    <col min="6" max="6" width="10.85546875" customWidth="1"/>
    <col min="7" max="7" width="65.140625" customWidth="1"/>
    <col min="8" max="8" width="64.28515625" customWidth="1"/>
    <col min="9" max="9" width="12.42578125" bestFit="1" customWidth="1"/>
  </cols>
  <sheetData>
    <row r="1" spans="1:10" ht="30" x14ac:dyDescent="0.25">
      <c r="A1" t="s">
        <v>1</v>
      </c>
      <c r="B1" t="s">
        <v>45</v>
      </c>
      <c r="C1" t="s">
        <v>14</v>
      </c>
      <c r="D1" t="s">
        <v>46</v>
      </c>
      <c r="E1" t="s">
        <v>47</v>
      </c>
      <c r="F1" s="2" t="s">
        <v>48</v>
      </c>
      <c r="G1" t="s">
        <v>49</v>
      </c>
      <c r="H1" t="s">
        <v>50</v>
      </c>
      <c r="I1" t="s">
        <v>15</v>
      </c>
      <c r="J1" t="s">
        <v>16</v>
      </c>
    </row>
    <row r="2" spans="1:10" ht="30" x14ac:dyDescent="0.25">
      <c r="A2" s="1">
        <v>46077</v>
      </c>
      <c r="B2">
        <v>9076</v>
      </c>
      <c r="C2">
        <v>9117</v>
      </c>
      <c r="D2">
        <f>C2-B2</f>
        <v>41</v>
      </c>
      <c r="E2" s="2" t="s">
        <v>82</v>
      </c>
      <c r="F2" s="3" t="s">
        <v>71</v>
      </c>
      <c r="G2" s="2" t="s">
        <v>67</v>
      </c>
      <c r="H2" s="2" t="s">
        <v>68</v>
      </c>
      <c r="I2" t="s">
        <v>69</v>
      </c>
      <c r="J2" t="s">
        <v>70</v>
      </c>
    </row>
    <row r="3" spans="1:10" ht="30" x14ac:dyDescent="0.25">
      <c r="A3" s="1">
        <v>46078</v>
      </c>
      <c r="B3">
        <v>9117</v>
      </c>
      <c r="C3">
        <v>9113</v>
      </c>
      <c r="D3">
        <f>C3-B3</f>
        <v>-4</v>
      </c>
      <c r="E3" s="2" t="s">
        <v>86</v>
      </c>
      <c r="F3" s="3" t="s">
        <v>71</v>
      </c>
      <c r="G3" t="s">
        <v>83</v>
      </c>
      <c r="H3" s="2" t="s">
        <v>84</v>
      </c>
      <c r="I3" t="s">
        <v>69</v>
      </c>
      <c r="J3" t="s">
        <v>85</v>
      </c>
    </row>
    <row r="4" spans="1:10" ht="45" x14ac:dyDescent="0.25">
      <c r="A4" s="1">
        <v>46079</v>
      </c>
      <c r="B4">
        <v>9113</v>
      </c>
      <c r="C4">
        <v>9171</v>
      </c>
      <c r="D4">
        <f>C4-B4</f>
        <v>58</v>
      </c>
      <c r="E4" s="2" t="s">
        <v>90</v>
      </c>
      <c r="F4" s="3" t="s">
        <v>91</v>
      </c>
      <c r="G4" s="2" t="s">
        <v>87</v>
      </c>
      <c r="H4" t="s">
        <v>92</v>
      </c>
      <c r="I4" t="s">
        <v>69</v>
      </c>
      <c r="J4" t="s">
        <v>70</v>
      </c>
    </row>
    <row r="5" spans="1:10" ht="90" x14ac:dyDescent="0.25">
      <c r="A5" s="1">
        <v>46080</v>
      </c>
      <c r="B5">
        <v>9171</v>
      </c>
      <c r="C5">
        <v>9186</v>
      </c>
      <c r="D5">
        <f>C5-B5</f>
        <v>15</v>
      </c>
      <c r="E5" s="2" t="s">
        <v>95</v>
      </c>
      <c r="F5" s="3" t="s">
        <v>91</v>
      </c>
      <c r="G5" s="2" t="s">
        <v>93</v>
      </c>
      <c r="H5" t="s">
        <v>96</v>
      </c>
      <c r="I5" t="s">
        <v>69</v>
      </c>
      <c r="J5" t="s">
        <v>94</v>
      </c>
    </row>
    <row r="6" spans="1:10" ht="45" x14ac:dyDescent="0.25">
      <c r="A6" s="1">
        <v>46098</v>
      </c>
      <c r="B6">
        <v>8855</v>
      </c>
      <c r="E6" s="2" t="s">
        <v>119</v>
      </c>
      <c r="F6" s="3" t="s">
        <v>91</v>
      </c>
      <c r="G6" s="2" t="s">
        <v>118</v>
      </c>
      <c r="I6" t="s">
        <v>69</v>
      </c>
    </row>
    <row r="7" spans="1:10" x14ac:dyDescent="0.25">
      <c r="A7" s="1">
        <v>46101</v>
      </c>
      <c r="B7">
        <v>8784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DA6BB-7E7E-4D43-B922-A46A9755A746}">
  <dimension ref="A1:B12"/>
  <sheetViews>
    <sheetView tabSelected="1" workbookViewId="0">
      <selection activeCell="D30" sqref="D30"/>
    </sheetView>
  </sheetViews>
  <sheetFormatPr baseColWidth="10" defaultRowHeight="15" x14ac:dyDescent="0.25"/>
  <sheetData>
    <row r="1" spans="1:2" x14ac:dyDescent="0.25">
      <c r="A1" t="s">
        <v>19</v>
      </c>
    </row>
    <row r="2" spans="1:2" x14ac:dyDescent="0.25">
      <c r="A2" t="s">
        <v>17</v>
      </c>
      <c r="B2">
        <f>COUNTA(Trades!A:A)-1</f>
        <v>140</v>
      </c>
    </row>
    <row r="3" spans="1:2" x14ac:dyDescent="0.25">
      <c r="A3" t="s">
        <v>18</v>
      </c>
      <c r="B3">
        <f>COUNTIF(Trades!M:M,"&gt;0")/COUNT(Trades!M:M)</f>
        <v>0.30714285714285716</v>
      </c>
    </row>
    <row r="4" spans="1:2" x14ac:dyDescent="0.25">
      <c r="A4" t="s">
        <v>20</v>
      </c>
      <c r="B4">
        <f>AVERAGE(Trades!N:N)</f>
        <v>-1.3520553961268856E-3</v>
      </c>
    </row>
    <row r="5" spans="1:2" x14ac:dyDescent="0.25">
      <c r="A5" t="s">
        <v>21</v>
      </c>
      <c r="B5">
        <f>SUM(Trades!N:N)</f>
        <v>-0.189287755457764</v>
      </c>
    </row>
    <row r="6" spans="1:2" x14ac:dyDescent="0.25">
      <c r="A6" t="s">
        <v>13</v>
      </c>
      <c r="B6">
        <f>SUMIF(Trades!M:M,"&gt;0")/ABS(SUM(Trades!M:M,""&lt;0))</f>
        <v>6.6290483520393595</v>
      </c>
    </row>
    <row r="8" spans="1:2" x14ac:dyDescent="0.25">
      <c r="A8" t="s">
        <v>22</v>
      </c>
    </row>
    <row r="9" spans="1:2" x14ac:dyDescent="0.25">
      <c r="A9" t="s">
        <v>23</v>
      </c>
      <c r="B9">
        <f>MAX(Trades!M:M)</f>
        <v>80.400000000000034</v>
      </c>
    </row>
    <row r="10" spans="1:2" x14ac:dyDescent="0.25">
      <c r="A10" t="s">
        <v>24</v>
      </c>
      <c r="B10">
        <f>MIN(Trades!M:M)</f>
        <v>-83.800000000000239</v>
      </c>
    </row>
    <row r="11" spans="1:2" x14ac:dyDescent="0.25">
      <c r="A11" t="s">
        <v>25</v>
      </c>
      <c r="B11">
        <f>AVERAGEIF(Trades!M:M,"&gt;0")</f>
        <v>19.930465116279073</v>
      </c>
    </row>
    <row r="12" spans="1:2" x14ac:dyDescent="0.25">
      <c r="A12" t="s">
        <v>26</v>
      </c>
      <c r="B12">
        <f>AVERAGEIF(Trades!M:M,"&lt;0")</f>
        <v>-11.336678160919542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Trades</vt:lpstr>
      <vt:lpstr>Executions</vt:lpstr>
      <vt:lpstr>Setups</vt:lpstr>
      <vt:lpstr>Mistakes</vt:lpstr>
      <vt:lpstr>Daily Journal</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Alonso</dc:creator>
  <cp:lastModifiedBy>Alonso</cp:lastModifiedBy>
  <dcterms:created xsi:type="dcterms:W3CDTF">2026-02-19T21:54:29Z</dcterms:created>
  <dcterms:modified xsi:type="dcterms:W3CDTF">2026-05-07T19:51:22Z</dcterms:modified>
</cp:coreProperties>
</file>