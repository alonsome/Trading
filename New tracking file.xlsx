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66F782CE-6C77-41E9-B28D-3D3E9C7DB045}" xr6:coauthVersionLast="47" xr6:coauthVersionMax="47" xr10:uidLastSave="{00000000-0000-0000-0000-000000000000}"/>
  <bookViews>
    <workbookView xWindow="-120" yWindow="-120" windowWidth="29040" windowHeight="15720" activeTab="1"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466" i="2" l="1"/>
  <c r="D466" i="2"/>
  <c r="H466" i="2"/>
  <c r="I466" i="2" s="1"/>
  <c r="A465" i="2"/>
  <c r="D465" i="2"/>
  <c r="H465" i="2"/>
  <c r="I465" i="2" s="1"/>
  <c r="A443" i="1"/>
  <c r="I443" i="1"/>
  <c r="K443" i="1" s="1"/>
  <c r="Q443" i="1"/>
  <c r="A464" i="2"/>
  <c r="A463" i="2"/>
  <c r="A442" i="1"/>
  <c r="I442" i="1"/>
  <c r="K442" i="1" s="1"/>
  <c r="I441" i="1"/>
  <c r="Q441" i="1" s="1"/>
  <c r="A441" i="1"/>
  <c r="A462" i="2"/>
  <c r="A461" i="2"/>
  <c r="A460" i="2"/>
  <c r="A459" i="2"/>
  <c r="A440" i="1"/>
  <c r="I440" i="1"/>
  <c r="K440" i="1" s="1"/>
  <c r="A458" i="2"/>
  <c r="A439" i="1"/>
  <c r="I439" i="1"/>
  <c r="K439" i="1" s="1"/>
  <c r="A438" i="1"/>
  <c r="I438" i="1"/>
  <c r="K438" i="1" s="1"/>
  <c r="A437" i="1"/>
  <c r="I437" i="1"/>
  <c r="K437" i="1" s="1"/>
  <c r="A436" i="1"/>
  <c r="I436" i="1"/>
  <c r="K436" i="1" s="1"/>
  <c r="A435" i="1"/>
  <c r="I435" i="1"/>
  <c r="K435" i="1" s="1"/>
  <c r="A457" i="2"/>
  <c r="A434" i="1"/>
  <c r="I434" i="1"/>
  <c r="K434" i="1" s="1"/>
  <c r="A456" i="2"/>
  <c r="A455" i="2"/>
  <c r="A454" i="2"/>
  <c r="A453" i="2"/>
  <c r="A433" i="1"/>
  <c r="I433" i="1"/>
  <c r="K433" i="1" s="1"/>
  <c r="A432" i="1"/>
  <c r="I432" i="1"/>
  <c r="K432" i="1" s="1"/>
  <c r="A452" i="2"/>
  <c r="A451" i="2"/>
  <c r="A431" i="1"/>
  <c r="I431" i="1"/>
  <c r="K431" i="1" s="1"/>
  <c r="A450" i="2"/>
  <c r="A449" i="2"/>
  <c r="A430" i="1"/>
  <c r="I430" i="1"/>
  <c r="K430" i="1" s="1"/>
  <c r="A448" i="2"/>
  <c r="A429" i="1"/>
  <c r="I429" i="1"/>
  <c r="K429" i="1" s="1"/>
  <c r="A428" i="1"/>
  <c r="I428" i="1"/>
  <c r="K428" i="1" s="1"/>
  <c r="A427" i="1"/>
  <c r="I427" i="1"/>
  <c r="K427" i="1" s="1"/>
  <c r="A447" i="2"/>
  <c r="A446" i="2"/>
  <c r="A445" i="2"/>
  <c r="A426" i="1"/>
  <c r="I426" i="1"/>
  <c r="K426" i="1" s="1"/>
  <c r="A425" i="1"/>
  <c r="I425" i="1"/>
  <c r="K425" i="1" s="1"/>
  <c r="A444" i="2"/>
  <c r="A443" i="2"/>
  <c r="A424" i="1"/>
  <c r="I424" i="1"/>
  <c r="K424" i="1" s="1"/>
  <c r="A442" i="2"/>
  <c r="A423" i="1"/>
  <c r="I423" i="1"/>
  <c r="K423" i="1" s="1"/>
  <c r="A441" i="2"/>
  <c r="A422" i="1"/>
  <c r="I422" i="1"/>
  <c r="K422" i="1" s="1"/>
  <c r="A440" i="2"/>
  <c r="A439" i="2"/>
  <c r="A421" i="1"/>
  <c r="I421" i="1"/>
  <c r="K421" i="1" s="1"/>
  <c r="A420" i="1"/>
  <c r="I420" i="1"/>
  <c r="K420" i="1" s="1"/>
  <c r="A419" i="1"/>
  <c r="I419" i="1"/>
  <c r="K419" i="1" s="1"/>
  <c r="A438" i="2"/>
  <c r="A437" i="2"/>
  <c r="A436" i="2"/>
  <c r="A418" i="1"/>
  <c r="I418" i="1"/>
  <c r="K418" i="1" s="1"/>
  <c r="A417" i="1"/>
  <c r="I417" i="1"/>
  <c r="K417" i="1" s="1"/>
  <c r="A416" i="1"/>
  <c r="I416" i="1"/>
  <c r="K416" i="1" s="1"/>
  <c r="A435" i="2"/>
  <c r="A415" i="1"/>
  <c r="I415" i="1"/>
  <c r="K415" i="1" s="1"/>
  <c r="A434" i="2"/>
  <c r="A433" i="2"/>
  <c r="A414" i="1"/>
  <c r="I414" i="1"/>
  <c r="K414" i="1" s="1"/>
  <c r="A432" i="2"/>
  <c r="A431" i="2"/>
  <c r="A413" i="1"/>
  <c r="I413" i="1"/>
  <c r="K413" i="1" s="1"/>
  <c r="A412" i="1"/>
  <c r="I412" i="1"/>
  <c r="K412" i="1" s="1"/>
  <c r="A411" i="1"/>
  <c r="I411" i="1"/>
  <c r="O411" i="1" s="1"/>
  <c r="A430" i="2"/>
  <c r="A429" i="2"/>
  <c r="A410" i="1"/>
  <c r="I410" i="1"/>
  <c r="K410" i="1" s="1"/>
  <c r="A428" i="2"/>
  <c r="A427" i="2"/>
  <c r="A409" i="1"/>
  <c r="I409" i="1"/>
  <c r="K409" i="1" s="1"/>
  <c r="A426" i="2"/>
  <c r="A408" i="1"/>
  <c r="I408" i="1"/>
  <c r="K408" i="1" s="1"/>
  <c r="A407" i="1"/>
  <c r="I407" i="1"/>
  <c r="K407" i="1" s="1"/>
  <c r="A406" i="1"/>
  <c r="I406" i="1"/>
  <c r="K406" i="1" s="1"/>
  <c r="A425" i="2"/>
  <c r="A405" i="1"/>
  <c r="I405" i="1"/>
  <c r="K405" i="1" s="1"/>
  <c r="A424" i="2"/>
  <c r="A423" i="2"/>
  <c r="A422" i="2"/>
  <c r="A404" i="1"/>
  <c r="I404" i="1"/>
  <c r="K404" i="1" s="1"/>
  <c r="A403" i="1"/>
  <c r="I403" i="1"/>
  <c r="K403" i="1" s="1"/>
  <c r="A421" i="2"/>
  <c r="A420" i="2"/>
  <c r="A402" i="1"/>
  <c r="I402" i="1"/>
  <c r="K402" i="1" s="1"/>
  <c r="A401" i="1"/>
  <c r="I401" i="1"/>
  <c r="K401" i="1" s="1"/>
  <c r="A400" i="1"/>
  <c r="I400" i="1"/>
  <c r="K400" i="1" s="1"/>
  <c r="A419" i="2"/>
  <c r="A418" i="2"/>
  <c r="A417" i="2"/>
  <c r="A399" i="1"/>
  <c r="I399" i="1"/>
  <c r="K399" i="1" s="1"/>
  <c r="A398" i="1"/>
  <c r="I398" i="1"/>
  <c r="K398" i="1" s="1"/>
  <c r="A416" i="2"/>
  <c r="A397" i="1"/>
  <c r="I397" i="1"/>
  <c r="K397" i="1" s="1"/>
  <c r="A396" i="1"/>
  <c r="I396" i="1"/>
  <c r="K396" i="1" s="1"/>
  <c r="A415" i="2"/>
  <c r="A414" i="2"/>
  <c r="A413" i="2"/>
  <c r="A395" i="1"/>
  <c r="I395" i="1"/>
  <c r="K395" i="1" s="1"/>
  <c r="A394" i="1"/>
  <c r="I394" i="1"/>
  <c r="K394" i="1" s="1"/>
  <c r="A412" i="2"/>
  <c r="A393" i="1"/>
  <c r="I393" i="1"/>
  <c r="K393" i="1" s="1"/>
  <c r="A411" i="2"/>
  <c r="A392" i="1"/>
  <c r="I392" i="1"/>
  <c r="A410" i="2"/>
  <c r="A409" i="2"/>
  <c r="A391" i="1"/>
  <c r="I391" i="1"/>
  <c r="Q391" i="1" s="1"/>
  <c r="A408" i="2"/>
  <c r="A390" i="1"/>
  <c r="I390" i="1"/>
  <c r="Q390" i="1" s="1"/>
  <c r="A407" i="2"/>
  <c r="A389" i="1"/>
  <c r="I389" i="1"/>
  <c r="K389" i="1" s="1"/>
  <c r="A406" i="2"/>
  <c r="A388" i="1"/>
  <c r="I388" i="1"/>
  <c r="K388" i="1" s="1"/>
  <c r="A387" i="1"/>
  <c r="I387" i="1"/>
  <c r="K387" i="1" s="1"/>
  <c r="A405" i="2"/>
  <c r="A404" i="2"/>
  <c r="A386" i="1"/>
  <c r="I386" i="1"/>
  <c r="Q386" i="1" s="1"/>
  <c r="A385" i="1"/>
  <c r="I385" i="1"/>
  <c r="P385" i="1" s="1"/>
  <c r="A403" i="2"/>
  <c r="A384" i="1"/>
  <c r="I384" i="1"/>
  <c r="P384" i="1" s="1"/>
  <c r="A402" i="2"/>
  <c r="A383" i="1"/>
  <c r="I383" i="1"/>
  <c r="P383" i="1" s="1"/>
  <c r="A401" i="2"/>
  <c r="A382" i="1"/>
  <c r="I382" i="1"/>
  <c r="K382" i="1" s="1"/>
  <c r="A400" i="2"/>
  <c r="A399" i="2"/>
  <c r="A381" i="1"/>
  <c r="I381" i="1"/>
  <c r="K381" i="1" s="1"/>
  <c r="A380" i="1"/>
  <c r="I380" i="1"/>
  <c r="K380" i="1" s="1"/>
  <c r="A398" i="2"/>
  <c r="A397" i="2"/>
  <c r="A379" i="1"/>
  <c r="I379" i="1"/>
  <c r="Q379" i="1" s="1"/>
  <c r="A396" i="2"/>
  <c r="A395" i="2"/>
  <c r="A378" i="1"/>
  <c r="I378" i="1"/>
  <c r="Q378" i="1" s="1"/>
  <c r="A394" i="2"/>
  <c r="A393" i="2"/>
  <c r="A377" i="1"/>
  <c r="I377" i="1"/>
  <c r="K377" i="1" s="1"/>
  <c r="A392" i="2"/>
  <c r="A391" i="2"/>
  <c r="A376" i="1"/>
  <c r="I376" i="1"/>
  <c r="Q376" i="1" s="1"/>
  <c r="A390" i="2"/>
  <c r="A389" i="2"/>
  <c r="A375" i="1"/>
  <c r="I375" i="1"/>
  <c r="Q375" i="1" s="1"/>
  <c r="A374" i="1"/>
  <c r="I374" i="1"/>
  <c r="Q374" i="1" s="1"/>
  <c r="A373" i="1"/>
  <c r="I373" i="1"/>
  <c r="K373" i="1" s="1"/>
  <c r="A372" i="1"/>
  <c r="I372" i="1"/>
  <c r="K372" i="1" s="1"/>
  <c r="A388" i="2"/>
  <c r="A387" i="2"/>
  <c r="A386" i="2"/>
  <c r="A385" i="2"/>
  <c r="A371" i="1"/>
  <c r="I371" i="1"/>
  <c r="Q371" i="1" s="1"/>
  <c r="A384" i="2"/>
  <c r="A370" i="1"/>
  <c r="I370" i="1"/>
  <c r="A369" i="1"/>
  <c r="I369" i="1"/>
  <c r="A383" i="2"/>
  <c r="A368" i="1"/>
  <c r="I368" i="1"/>
  <c r="A382" i="2"/>
  <c r="A367" i="1"/>
  <c r="I367" i="1"/>
  <c r="K367" i="1" s="1"/>
  <c r="A366" i="1"/>
  <c r="I366" i="1"/>
  <c r="K366" i="1" s="1"/>
  <c r="A381" i="2"/>
  <c r="A380" i="2"/>
  <c r="A379" i="2"/>
  <c r="A365" i="1"/>
  <c r="I365" i="1"/>
  <c r="K365" i="1" s="1"/>
  <c r="A364" i="1"/>
  <c r="I364" i="1"/>
  <c r="K364" i="1" s="1"/>
  <c r="A363" i="1"/>
  <c r="I363" i="1"/>
  <c r="A378" i="2"/>
  <c r="A377" i="2"/>
  <c r="A376" i="2"/>
  <c r="A362" i="1"/>
  <c r="I362" i="1"/>
  <c r="K362" i="1" s="1"/>
  <c r="A375" i="2"/>
  <c r="A374" i="2"/>
  <c r="A361" i="1"/>
  <c r="I361" i="1"/>
  <c r="A373" i="2"/>
  <c r="A360" i="1"/>
  <c r="I360" i="1"/>
  <c r="Q360" i="1" s="1"/>
  <c r="A372" i="2"/>
  <c r="A359" i="1"/>
  <c r="I359" i="1"/>
  <c r="Q359" i="1" s="1"/>
  <c r="A371" i="2"/>
  <c r="A370" i="2"/>
  <c r="A358" i="1"/>
  <c r="I358" i="1"/>
  <c r="K358" i="1" s="1"/>
  <c r="A357" i="1"/>
  <c r="I357" i="1"/>
  <c r="K357" i="1" s="1"/>
  <c r="A369" i="2"/>
  <c r="A368" i="2"/>
  <c r="A356" i="1"/>
  <c r="I356" i="1"/>
  <c r="K356" i="1" s="1"/>
  <c r="A355" i="1"/>
  <c r="I355" i="1"/>
  <c r="Q355" i="1" s="1"/>
  <c r="A354" i="1"/>
  <c r="I354" i="1"/>
  <c r="P354" i="1" s="1"/>
  <c r="A367" i="2"/>
  <c r="A353" i="1"/>
  <c r="I353" i="1"/>
  <c r="P353" i="1" s="1"/>
  <c r="A366" i="2"/>
  <c r="A352" i="1"/>
  <c r="I352" i="1"/>
  <c r="K352" i="1" s="1"/>
  <c r="A365" i="2"/>
  <c r="A364" i="2"/>
  <c r="A351" i="1"/>
  <c r="I351" i="1"/>
  <c r="A363" i="2"/>
  <c r="A350" i="1"/>
  <c r="I350" i="1"/>
  <c r="K350" i="1" s="1"/>
  <c r="A362" i="2"/>
  <c r="A361" i="2"/>
  <c r="A349" i="1"/>
  <c r="I349" i="1"/>
  <c r="K349" i="1" s="1"/>
  <c r="A348" i="1"/>
  <c r="I348" i="1"/>
  <c r="K348" i="1" s="1"/>
  <c r="A347" i="1"/>
  <c r="I347" i="1"/>
  <c r="A360" i="2"/>
  <c r="A359" i="2"/>
  <c r="A358" i="2"/>
  <c r="I346" i="1"/>
  <c r="K346" i="1" s="1"/>
  <c r="A346" i="1"/>
  <c r="A357" i="2"/>
  <c r="A356" i="2"/>
  <c r="A345" i="1"/>
  <c r="I345" i="1"/>
  <c r="Q345" i="1" s="1"/>
  <c r="A355" i="2"/>
  <c r="A354" i="2"/>
  <c r="A353" i="2"/>
  <c r="A352" i="2"/>
  <c r="A344" i="1"/>
  <c r="I344" i="1"/>
  <c r="A343" i="1"/>
  <c r="I343" i="1"/>
  <c r="K343" i="1" s="1"/>
  <c r="A342" i="1"/>
  <c r="I342" i="1"/>
  <c r="K342" i="1" s="1"/>
  <c r="A341" i="1"/>
  <c r="I341" i="1"/>
  <c r="K341" i="1" s="1"/>
  <c r="A340" i="1"/>
  <c r="I340" i="1"/>
  <c r="K340" i="1" s="1"/>
  <c r="A339" i="1"/>
  <c r="I339" i="1"/>
  <c r="Q339" i="1" s="1"/>
  <c r="A351" i="2"/>
  <c r="A350" i="2"/>
  <c r="A349" i="2"/>
  <c r="A348" i="2"/>
  <c r="A347" i="2"/>
  <c r="A338" i="1"/>
  <c r="I338" i="1"/>
  <c r="P338" i="1" s="1"/>
  <c r="A346" i="2"/>
  <c r="A337" i="1"/>
  <c r="I337" i="1"/>
  <c r="K337" i="1" s="1"/>
  <c r="A345" i="2"/>
  <c r="A336" i="1"/>
  <c r="I336" i="1"/>
  <c r="P336" i="1" s="1"/>
  <c r="A344" i="2"/>
  <c r="A335" i="1"/>
  <c r="I335" i="1"/>
  <c r="P335" i="1" s="1"/>
  <c r="A334" i="1"/>
  <c r="I334" i="1"/>
  <c r="K334" i="1" s="1"/>
  <c r="A333" i="1"/>
  <c r="I333" i="1"/>
  <c r="K333" i="1" s="1"/>
  <c r="A332" i="1"/>
  <c r="I332" i="1"/>
  <c r="K332" i="1" s="1"/>
  <c r="A343" i="2"/>
  <c r="A342" i="2"/>
  <c r="A331" i="1"/>
  <c r="I331" i="1"/>
  <c r="K331" i="1" s="1"/>
  <c r="A330" i="1"/>
  <c r="I330" i="1"/>
  <c r="A329" i="1"/>
  <c r="I329" i="1"/>
  <c r="Q329" i="1" s="1"/>
  <c r="A341" i="2"/>
  <c r="A340" i="2"/>
  <c r="A339" i="2"/>
  <c r="A328" i="1"/>
  <c r="I328" i="1"/>
  <c r="Q328" i="1" s="1"/>
  <c r="A338" i="2"/>
  <c r="A327" i="1"/>
  <c r="I327" i="1"/>
  <c r="A326" i="1"/>
  <c r="I326" i="1"/>
  <c r="K326" i="1" s="1"/>
  <c r="A337" i="2"/>
  <c r="A325" i="1"/>
  <c r="I325" i="1"/>
  <c r="K325" i="1" s="1"/>
  <c r="A336" i="2"/>
  <c r="A335" i="2"/>
  <c r="A324" i="1"/>
  <c r="I324" i="1"/>
  <c r="K324" i="1" s="1"/>
  <c r="A323" i="1"/>
  <c r="I323" i="1"/>
  <c r="A334" i="2"/>
  <c r="A322" i="1"/>
  <c r="I322" i="1"/>
  <c r="A333" i="2"/>
  <c r="A332" i="2"/>
  <c r="A321" i="1"/>
  <c r="I321" i="1"/>
  <c r="K321" i="1" s="1"/>
  <c r="A331" i="2"/>
  <c r="A320" i="1"/>
  <c r="I320" i="1"/>
  <c r="K320" i="1" s="1"/>
  <c r="A330" i="2"/>
  <c r="A319" i="1"/>
  <c r="I319" i="1"/>
  <c r="P319" i="1" s="1"/>
  <c r="A329" i="2"/>
  <c r="A328" i="2"/>
  <c r="A318" i="1"/>
  <c r="I318" i="1"/>
  <c r="K318" i="1" s="1"/>
  <c r="A327" i="2"/>
  <c r="A317" i="1"/>
  <c r="I317" i="1"/>
  <c r="K317" i="1" s="1"/>
  <c r="A326" i="2"/>
  <c r="A316" i="1"/>
  <c r="I316" i="1"/>
  <c r="K316" i="1" s="1"/>
  <c r="A325" i="2"/>
  <c r="A324" i="2"/>
  <c r="A315" i="1"/>
  <c r="I315" i="1"/>
  <c r="A323" i="2"/>
  <c r="A322" i="2"/>
  <c r="A314" i="1"/>
  <c r="I314" i="1"/>
  <c r="Q314" i="1" s="1"/>
  <c r="A313" i="1"/>
  <c r="I313" i="1"/>
  <c r="Q313" i="1" s="1"/>
  <c r="A321" i="2"/>
  <c r="A312" i="1"/>
  <c r="I312" i="1"/>
  <c r="Q312" i="1" s="1"/>
  <c r="I311" i="1"/>
  <c r="Q311" i="1" s="1"/>
  <c r="A311" i="1"/>
  <c r="A310" i="1"/>
  <c r="I310" i="1"/>
  <c r="K310" i="1" s="1"/>
  <c r="A320" i="2"/>
  <c r="A319" i="2"/>
  <c r="A318" i="2"/>
  <c r="A317" i="2"/>
  <c r="A316" i="2"/>
  <c r="A309" i="1"/>
  <c r="I309" i="1"/>
  <c r="K309" i="1" s="1"/>
  <c r="A308" i="1"/>
  <c r="I308" i="1"/>
  <c r="K308" i="1" s="1"/>
  <c r="A315" i="2"/>
  <c r="A314" i="2"/>
  <c r="A307" i="1"/>
  <c r="I307" i="1"/>
  <c r="Q307" i="1" s="1"/>
  <c r="A306" i="1"/>
  <c r="I306" i="1"/>
  <c r="K306" i="1" s="1"/>
  <c r="A305" i="1"/>
  <c r="I305" i="1"/>
  <c r="K305" i="1" s="1"/>
  <c r="A304" i="1"/>
  <c r="I304" i="1"/>
  <c r="A303" i="1"/>
  <c r="I303" i="1"/>
  <c r="P303" i="1" s="1"/>
  <c r="A313" i="2"/>
  <c r="A312" i="2"/>
  <c r="A302" i="1"/>
  <c r="I302" i="1"/>
  <c r="K302" i="1" s="1"/>
  <c r="A311" i="2"/>
  <c r="A310" i="2"/>
  <c r="A309" i="2"/>
  <c r="A308" i="2"/>
  <c r="A301" i="1"/>
  <c r="I301" i="1"/>
  <c r="K301" i="1" s="1"/>
  <c r="A300" i="1"/>
  <c r="I300" i="1"/>
  <c r="K300" i="1" s="1"/>
  <c r="A307" i="2"/>
  <c r="A299" i="1"/>
  <c r="I299" i="1"/>
  <c r="A298" i="1"/>
  <c r="I298" i="1"/>
  <c r="Q298" i="1" s="1"/>
  <c r="A297" i="1"/>
  <c r="I297" i="1"/>
  <c r="Q297" i="1" s="1"/>
  <c r="A306" i="2"/>
  <c r="A296" i="1"/>
  <c r="I296" i="1"/>
  <c r="Q296" i="1" s="1"/>
  <c r="A305" i="2"/>
  <c r="A295" i="1"/>
  <c r="I295" i="1"/>
  <c r="Q295" i="1" s="1"/>
  <c r="A304" i="2"/>
  <c r="A303" i="2"/>
  <c r="A294" i="1"/>
  <c r="I294" i="1"/>
  <c r="K294" i="1" s="1"/>
  <c r="A293" i="1"/>
  <c r="I293" i="1"/>
  <c r="K293" i="1" s="1"/>
  <c r="A302" i="2"/>
  <c r="A301" i="2"/>
  <c r="A292" i="1"/>
  <c r="I292" i="1"/>
  <c r="K292" i="1" s="1"/>
  <c r="A291" i="1"/>
  <c r="I291" i="1"/>
  <c r="Q291" i="1" s="1"/>
  <c r="A300" i="2"/>
  <c r="A299" i="2"/>
  <c r="A290" i="1"/>
  <c r="I290" i="1"/>
  <c r="A298" i="2"/>
  <c r="A289" i="1"/>
  <c r="I289" i="1"/>
  <c r="K289" i="1" s="1"/>
  <c r="A288" i="1"/>
  <c r="I288" i="1"/>
  <c r="A297" i="2"/>
  <c r="A287" i="1"/>
  <c r="I287" i="1"/>
  <c r="P287" i="1" s="1"/>
  <c r="A286" i="1"/>
  <c r="I286" i="1"/>
  <c r="K286" i="1" s="1"/>
  <c r="A296" i="2"/>
  <c r="A285" i="1"/>
  <c r="I285" i="1"/>
  <c r="K285" i="1" s="1"/>
  <c r="A295" i="2"/>
  <c r="A284" i="1"/>
  <c r="I284" i="1"/>
  <c r="K284" i="1" s="1"/>
  <c r="A294" i="2"/>
  <c r="A293" i="2"/>
  <c r="A283" i="1"/>
  <c r="I283" i="1"/>
  <c r="K283" i="1" s="1"/>
  <c r="A292" i="2"/>
  <c r="A291" i="2"/>
  <c r="A290" i="2"/>
  <c r="A282" i="1"/>
  <c r="I282" i="1"/>
  <c r="Q282" i="1" s="1"/>
  <c r="A289" i="2"/>
  <c r="I280" i="1"/>
  <c r="A281" i="1"/>
  <c r="I281" i="1"/>
  <c r="A280" i="1"/>
  <c r="A279" i="1"/>
  <c r="I279" i="1"/>
  <c r="A278" i="1"/>
  <c r="I278" i="1"/>
  <c r="K278" i="1" s="1"/>
  <c r="A288" i="2"/>
  <c r="A277" i="1"/>
  <c r="I277" i="1"/>
  <c r="K277" i="1" s="1"/>
  <c r="A287" i="2"/>
  <c r="A286" i="2"/>
  <c r="A285" i="2"/>
  <c r="A276" i="1"/>
  <c r="I276" i="1"/>
  <c r="K276" i="1" s="1"/>
  <c r="A284" i="2"/>
  <c r="A283" i="2"/>
  <c r="A282" i="2"/>
  <c r="A275" i="1"/>
  <c r="I275" i="1"/>
  <c r="Q275" i="1" s="1"/>
  <c r="A274" i="1"/>
  <c r="I274" i="1"/>
  <c r="K274" i="1" s="1"/>
  <c r="A273" i="1"/>
  <c r="I273" i="1"/>
  <c r="K273" i="1" s="1"/>
  <c r="A272" i="1"/>
  <c r="I272" i="1"/>
  <c r="A281" i="2"/>
  <c r="A280" i="2"/>
  <c r="A271" i="1"/>
  <c r="I271" i="1"/>
  <c r="A270" i="1"/>
  <c r="I270" i="1"/>
  <c r="K270" i="1" s="1"/>
  <c r="A279" i="2"/>
  <c r="A278" i="2"/>
  <c r="A277" i="2"/>
  <c r="A276" i="2"/>
  <c r="A269" i="1"/>
  <c r="I269" i="1"/>
  <c r="K269" i="1" s="1"/>
  <c r="A268" i="1"/>
  <c r="I268" i="1"/>
  <c r="K268" i="1" s="1"/>
  <c r="A275" i="2"/>
  <c r="A274" i="2"/>
  <c r="A267" i="1"/>
  <c r="I267" i="1"/>
  <c r="Q267" i="1" s="1"/>
  <c r="A273" i="2"/>
  <c r="A266" i="1"/>
  <c r="I266" i="1"/>
  <c r="Q266" i="1" s="1"/>
  <c r="A272" i="2"/>
  <c r="A265" i="1"/>
  <c r="I265" i="1"/>
  <c r="Q265" i="1" s="1"/>
  <c r="A271" i="2"/>
  <c r="A270" i="2"/>
  <c r="A264" i="1"/>
  <c r="I264" i="1"/>
  <c r="K264" i="1" s="1"/>
  <c r="A263" i="1"/>
  <c r="I263" i="1"/>
  <c r="K263" i="1" s="1"/>
  <c r="A262" i="1"/>
  <c r="I262" i="1"/>
  <c r="A261" i="1"/>
  <c r="I261" i="1"/>
  <c r="K261" i="1" s="1"/>
  <c r="A269" i="2"/>
  <c r="A260" i="1"/>
  <c r="I260" i="1"/>
  <c r="K260" i="1" s="1"/>
  <c r="A268" i="2"/>
  <c r="A267" i="2"/>
  <c r="A266" i="2"/>
  <c r="A265" i="2"/>
  <c r="A259" i="1"/>
  <c r="I259" i="1"/>
  <c r="A264" i="2"/>
  <c r="A258" i="1"/>
  <c r="I258" i="1"/>
  <c r="K258" i="1" s="1"/>
  <c r="A257" i="1"/>
  <c r="I257" i="1"/>
  <c r="A256" i="1"/>
  <c r="I256" i="1"/>
  <c r="P256" i="1" s="1"/>
  <c r="A263" i="2"/>
  <c r="A262" i="2"/>
  <c r="A261" i="2"/>
  <c r="A260" i="2"/>
  <c r="A259" i="2"/>
  <c r="A258" i="2"/>
  <c r="A255" i="1"/>
  <c r="I255" i="1"/>
  <c r="P255" i="1" s="1"/>
  <c r="A254" i="1"/>
  <c r="I254" i="1"/>
  <c r="K254" i="1" s="1"/>
  <c r="A253" i="1"/>
  <c r="I253" i="1"/>
  <c r="K253" i="1" s="1"/>
  <c r="A252" i="1"/>
  <c r="I252" i="1"/>
  <c r="K252" i="1" s="1"/>
  <c r="A251" i="1"/>
  <c r="I251" i="1"/>
  <c r="Q251" i="1" s="1"/>
  <c r="A257" i="2"/>
  <c r="A256" i="2"/>
  <c r="A250" i="1"/>
  <c r="I250" i="1"/>
  <c r="Q250" i="1" s="1"/>
  <c r="A249" i="1"/>
  <c r="I249" i="1"/>
  <c r="Q249" i="1" s="1"/>
  <c r="A255" i="2"/>
  <c r="A254" i="2"/>
  <c r="A253" i="2"/>
  <c r="A248" i="1"/>
  <c r="I248" i="1"/>
  <c r="K248" i="1" s="1"/>
  <c r="A252" i="2"/>
  <c r="A247" i="1"/>
  <c r="I247" i="1"/>
  <c r="A246" i="1"/>
  <c r="I246" i="1"/>
  <c r="Q246" i="1" s="1"/>
  <c r="A245" i="1"/>
  <c r="I245" i="1"/>
  <c r="K245" i="1" s="1"/>
  <c r="A251" i="2"/>
  <c r="A250" i="2"/>
  <c r="A244" i="1"/>
  <c r="I244" i="1"/>
  <c r="K244" i="1" s="1"/>
  <c r="A243" i="1"/>
  <c r="I243" i="1"/>
  <c r="O243" i="1" s="1"/>
  <c r="A249" i="2"/>
  <c r="A248" i="2"/>
  <c r="A247" i="2"/>
  <c r="A242" i="1"/>
  <c r="I242" i="1"/>
  <c r="K242" i="1" s="1"/>
  <c r="A246" i="2"/>
  <c r="A245" i="2"/>
  <c r="A244" i="2"/>
  <c r="A243" i="2"/>
  <c r="A241" i="1"/>
  <c r="I241" i="1"/>
  <c r="A240" i="1"/>
  <c r="I240" i="1"/>
  <c r="A242" i="2"/>
  <c r="A241" i="2"/>
  <c r="A239" i="1"/>
  <c r="I239" i="1"/>
  <c r="A238" i="1"/>
  <c r="I238" i="1"/>
  <c r="K238" i="1" s="1"/>
  <c r="A240" i="2"/>
  <c r="A237" i="1"/>
  <c r="I237" i="1"/>
  <c r="K237" i="1" s="1"/>
  <c r="A236" i="1"/>
  <c r="I236" i="1"/>
  <c r="K236" i="1" s="1"/>
  <c r="A239" i="2"/>
  <c r="A238" i="2"/>
  <c r="A237" i="2"/>
  <c r="A236" i="2"/>
  <c r="A235" i="1"/>
  <c r="I235" i="1"/>
  <c r="A234" i="1"/>
  <c r="I234" i="1"/>
  <c r="A233" i="1"/>
  <c r="I233" i="1"/>
  <c r="K233" i="1" s="1"/>
  <c r="A232" i="1"/>
  <c r="I232" i="1"/>
  <c r="K232" i="1" s="1"/>
  <c r="A231" i="1"/>
  <c r="I231" i="1"/>
  <c r="A230" i="1"/>
  <c r="I230" i="1"/>
  <c r="Q230" i="1" s="1"/>
  <c r="A235" i="2"/>
  <c r="A234" i="2"/>
  <c r="A229" i="1"/>
  <c r="I229" i="1"/>
  <c r="K229" i="1" s="1"/>
  <c r="A228" i="1"/>
  <c r="I228" i="1"/>
  <c r="K228" i="1" s="1"/>
  <c r="A233" i="2"/>
  <c r="A232" i="2"/>
  <c r="A231" i="2"/>
  <c r="A227" i="1"/>
  <c r="I227" i="1"/>
  <c r="K227" i="1" s="1"/>
  <c r="A230" i="2"/>
  <c r="A229" i="2"/>
  <c r="A228" i="2"/>
  <c r="A227" i="2"/>
  <c r="A226" i="1"/>
  <c r="I226" i="1"/>
  <c r="P226" i="1" s="1"/>
  <c r="A225" i="1"/>
  <c r="I225" i="1"/>
  <c r="P225" i="1" s="1"/>
  <c r="A224" i="1"/>
  <c r="I224" i="1"/>
  <c r="P224" i="1" s="1"/>
  <c r="A223" i="1"/>
  <c r="I223" i="1"/>
  <c r="A222" i="1"/>
  <c r="I222" i="1"/>
  <c r="K222" i="1" s="1"/>
  <c r="A226" i="2"/>
  <c r="A221" i="1"/>
  <c r="I221" i="1"/>
  <c r="K221" i="1" s="1"/>
  <c r="A225" i="2"/>
  <c r="A224" i="2"/>
  <c r="A220" i="1"/>
  <c r="I220" i="1"/>
  <c r="K220" i="1" s="1"/>
  <c r="A223" i="2"/>
  <c r="A222" i="2"/>
  <c r="A221" i="2"/>
  <c r="A219" i="1"/>
  <c r="I219" i="1"/>
  <c r="A218" i="1"/>
  <c r="I218" i="1"/>
  <c r="A217" i="1"/>
  <c r="I217" i="1"/>
  <c r="A220" i="2"/>
  <c r="A219" i="2"/>
  <c r="A218" i="2"/>
  <c r="A216" i="1"/>
  <c r="I216" i="1"/>
  <c r="A215" i="1"/>
  <c r="I215" i="1"/>
  <c r="Q215" i="1" s="1"/>
  <c r="A214" i="1"/>
  <c r="I214" i="1"/>
  <c r="Q214" i="1" s="1"/>
  <c r="A217" i="2"/>
  <c r="A216" i="2"/>
  <c r="A215" i="2"/>
  <c r="A213" i="1"/>
  <c r="I213" i="1"/>
  <c r="K213" i="1" s="1"/>
  <c r="A214" i="2"/>
  <c r="A212" i="1"/>
  <c r="I212" i="1"/>
  <c r="K212" i="1" s="1"/>
  <c r="A211" i="1"/>
  <c r="I211" i="1"/>
  <c r="K211" i="1" s="1"/>
  <c r="A213" i="2"/>
  <c r="A210" i="1"/>
  <c r="I210" i="1"/>
  <c r="A209" i="1"/>
  <c r="I209" i="1"/>
  <c r="A208" i="1"/>
  <c r="I208" i="1"/>
  <c r="P208" i="1" s="1"/>
  <c r="A212" i="2"/>
  <c r="A207" i="1"/>
  <c r="I207" i="1"/>
  <c r="P207" i="1" s="1"/>
  <c r="A206" i="1"/>
  <c r="I206" i="1"/>
  <c r="P206" i="1" s="1"/>
  <c r="A211" i="2"/>
  <c r="A210" i="2"/>
  <c r="A205" i="1"/>
  <c r="I205" i="1"/>
  <c r="K205" i="1" s="1"/>
  <c r="A209" i="2"/>
  <c r="A204" i="1"/>
  <c r="I204" i="1"/>
  <c r="K204" i="1" s="1"/>
  <c r="A208" i="2"/>
  <c r="A203" i="1"/>
  <c r="I203" i="1"/>
  <c r="Q203" i="1" s="1"/>
  <c r="A207" i="2"/>
  <c r="A206" i="2"/>
  <c r="A202" i="1"/>
  <c r="I202" i="1"/>
  <c r="Q202" i="1" s="1"/>
  <c r="A201" i="1"/>
  <c r="I201" i="1"/>
  <c r="Q201" i="1" s="1"/>
  <c r="A205" i="2"/>
  <c r="A204" i="2"/>
  <c r="A203" i="2"/>
  <c r="A200" i="1"/>
  <c r="I200" i="1"/>
  <c r="K200" i="1" s="1"/>
  <c r="A199" i="1"/>
  <c r="I199" i="1"/>
  <c r="A198" i="1"/>
  <c r="I198" i="1"/>
  <c r="Q198" i="1" s="1"/>
  <c r="A202" i="2"/>
  <c r="A201" i="2"/>
  <c r="A197" i="1"/>
  <c r="I197" i="1"/>
  <c r="K197" i="1" s="1"/>
  <c r="A200" i="2"/>
  <c r="A199" i="2"/>
  <c r="A196" i="1"/>
  <c r="I196" i="1"/>
  <c r="A195" i="1"/>
  <c r="I195" i="1"/>
  <c r="A194" i="1"/>
  <c r="I194" i="1"/>
  <c r="K194" i="1" s="1"/>
  <c r="A193" i="1"/>
  <c r="I193" i="1"/>
  <c r="P193" i="1" s="1"/>
  <c r="A198" i="2"/>
  <c r="A197" i="2"/>
  <c r="A192" i="1"/>
  <c r="I192" i="1"/>
  <c r="P192" i="1" s="1"/>
  <c r="A191" i="1"/>
  <c r="I191" i="1"/>
  <c r="P191" i="1" s="1"/>
  <c r="A196" i="2"/>
  <c r="A195" i="2"/>
  <c r="A190" i="1"/>
  <c r="I190" i="1"/>
  <c r="A189" i="1"/>
  <c r="I189" i="1"/>
  <c r="K189" i="1" s="1"/>
  <c r="A194" i="2"/>
  <c r="A188" i="1"/>
  <c r="I188" i="1"/>
  <c r="K188" i="1" s="1"/>
  <c r="A187" i="1"/>
  <c r="I187" i="1"/>
  <c r="A193" i="2"/>
  <c r="A186" i="1"/>
  <c r="I186" i="1"/>
  <c r="Q186" i="1" s="1"/>
  <c r="A185" i="1"/>
  <c r="I185" i="1"/>
  <c r="Q185" i="1" s="1"/>
  <c r="A192" i="2"/>
  <c r="A191" i="2"/>
  <c r="I184" i="1"/>
  <c r="Q184" i="1" s="1"/>
  <c r="A184" i="1"/>
  <c r="A190" i="2"/>
  <c r="A189" i="2"/>
  <c r="A183" i="1"/>
  <c r="I183" i="1"/>
  <c r="K183" i="1" s="1"/>
  <c r="A182" i="1"/>
  <c r="I182" i="1"/>
  <c r="Q182" i="1" s="1"/>
  <c r="A188" i="2"/>
  <c r="A187" i="2"/>
  <c r="A186" i="2"/>
  <c r="A181" i="1"/>
  <c r="I181" i="1"/>
  <c r="K181" i="1" s="1"/>
  <c r="A180" i="1"/>
  <c r="I180" i="1"/>
  <c r="Q180" i="1" s="1"/>
  <c r="A185" i="2"/>
  <c r="A184" i="2"/>
  <c r="A183" i="2"/>
  <c r="A179" i="1"/>
  <c r="I179" i="1"/>
  <c r="O179" i="1" s="1"/>
  <c r="A182" i="2"/>
  <c r="A181" i="2"/>
  <c r="A178" i="1"/>
  <c r="I178" i="1"/>
  <c r="O178" i="1" s="1"/>
  <c r="A180" i="2"/>
  <c r="A179" i="2"/>
  <c r="A178" i="2"/>
  <c r="A177" i="1"/>
  <c r="I177" i="1"/>
  <c r="A177" i="2"/>
  <c r="A176" i="1"/>
  <c r="I176" i="1"/>
  <c r="P176" i="1" s="1"/>
  <c r="A176" i="2"/>
  <c r="A175" i="2"/>
  <c r="A175" i="1"/>
  <c r="I175" i="1"/>
  <c r="P175" i="1" s="1"/>
  <c r="A174" i="1"/>
  <c r="I174" i="1"/>
  <c r="K174" i="1" s="1"/>
  <c r="A173" i="1"/>
  <c r="I173" i="1"/>
  <c r="K173" i="1" s="1"/>
  <c r="A174" i="2"/>
  <c r="A173" i="2"/>
  <c r="A172" i="2"/>
  <c r="A172" i="1"/>
  <c r="I172" i="1"/>
  <c r="K172" i="1" s="1"/>
  <c r="A171" i="2"/>
  <c r="A171" i="1"/>
  <c r="I171" i="1"/>
  <c r="Q171" i="1" s="1"/>
  <c r="A170" i="2"/>
  <c r="A169" i="2"/>
  <c r="A170" i="1"/>
  <c r="I170" i="1"/>
  <c r="A169" i="1"/>
  <c r="I169" i="1"/>
  <c r="K169" i="1" s="1"/>
  <c r="A168" i="2"/>
  <c r="A167" i="2"/>
  <c r="A168" i="1"/>
  <c r="I168" i="1"/>
  <c r="Q168" i="1" s="1"/>
  <c r="A166" i="2"/>
  <c r="A165" i="2"/>
  <c r="A164" i="2"/>
  <c r="A167" i="1"/>
  <c r="I167" i="1"/>
  <c r="A163" i="2"/>
  <c r="A162" i="2"/>
  <c r="A166" i="1"/>
  <c r="I166" i="1"/>
  <c r="A165" i="1"/>
  <c r="I165" i="1"/>
  <c r="K165" i="1" s="1"/>
  <c r="A161" i="2"/>
  <c r="A160" i="2"/>
  <c r="A159" i="2"/>
  <c r="I162" i="1"/>
  <c r="P162" i="1" s="1"/>
  <c r="A164" i="1"/>
  <c r="I164" i="1"/>
  <c r="Q164" i="1" s="1"/>
  <c r="A163" i="1"/>
  <c r="I163" i="1"/>
  <c r="A162" i="1"/>
  <c r="A161" i="1"/>
  <c r="I161" i="1"/>
  <c r="P161" i="1" s="1"/>
  <c r="A160" i="1"/>
  <c r="I160" i="1"/>
  <c r="P160" i="1" s="1"/>
  <c r="A158" i="2"/>
  <c r="A159" i="1"/>
  <c r="I159" i="1"/>
  <c r="A157" i="2"/>
  <c r="A156" i="2"/>
  <c r="A158" i="1"/>
  <c r="I158" i="1"/>
  <c r="P158" i="1" s="1"/>
  <c r="A157" i="1"/>
  <c r="I157" i="1"/>
  <c r="K157" i="1" s="1"/>
  <c r="A155" i="2"/>
  <c r="A156" i="1"/>
  <c r="I156" i="1"/>
  <c r="K156" i="1" s="1"/>
  <c r="A154" i="2"/>
  <c r="A155" i="1"/>
  <c r="I155" i="1"/>
  <c r="Q155" i="1" s="1"/>
  <c r="A153" i="2"/>
  <c r="A154" i="1"/>
  <c r="I154" i="1"/>
  <c r="Q154" i="1" s="1"/>
  <c r="A152" i="2"/>
  <c r="A153" i="1"/>
  <c r="I153" i="1"/>
  <c r="A151" i="2"/>
  <c r="A152" i="1"/>
  <c r="I152" i="1"/>
  <c r="Q152" i="1" s="1"/>
  <c r="A150" i="2"/>
  <c r="A149" i="2"/>
  <c r="A148" i="2"/>
  <c r="A151" i="1"/>
  <c r="I151" i="1"/>
  <c r="Q151" i="1" s="1"/>
  <c r="A147" i="2"/>
  <c r="A150" i="1"/>
  <c r="I150" i="1"/>
  <c r="A146" i="2"/>
  <c r="A149" i="1"/>
  <c r="I149" i="1"/>
  <c r="K149" i="1" s="1"/>
  <c r="A148" i="1"/>
  <c r="I148" i="1"/>
  <c r="A145" i="2"/>
  <c r="A144" i="2"/>
  <c r="A143" i="2"/>
  <c r="A147" i="1"/>
  <c r="I147" i="1"/>
  <c r="A142" i="2"/>
  <c r="A146" i="1"/>
  <c r="I146" i="1"/>
  <c r="A141" i="2"/>
  <c r="A140" i="2"/>
  <c r="A139" i="2"/>
  <c r="A145" i="1"/>
  <c r="I145" i="1"/>
  <c r="A144" i="1"/>
  <c r="I144" i="1"/>
  <c r="K144" i="1" s="1"/>
  <c r="A143" i="1"/>
  <c r="I143" i="1"/>
  <c r="P143" i="1" s="1"/>
  <c r="A142" i="1"/>
  <c r="I142" i="1"/>
  <c r="P142" i="1" s="1"/>
  <c r="A138" i="2"/>
  <c r="A141" i="1"/>
  <c r="I141" i="1"/>
  <c r="K141" i="1" s="1"/>
  <c r="A137" i="2"/>
  <c r="A140" i="1"/>
  <c r="I140" i="1"/>
  <c r="K140" i="1" s="1"/>
  <c r="A136" i="2"/>
  <c r="A135" i="2"/>
  <c r="A134" i="2"/>
  <c r="A133" i="2"/>
  <c r="A139" i="1"/>
  <c r="I139" i="1"/>
  <c r="K139" i="1" s="1"/>
  <c r="A132" i="2"/>
  <c r="A138" i="1"/>
  <c r="I138" i="1"/>
  <c r="A131" i="2"/>
  <c r="A137" i="1"/>
  <c r="I137" i="1"/>
  <c r="Q137" i="1" s="1"/>
  <c r="A136" i="1"/>
  <c r="I136" i="1"/>
  <c r="Q136" i="1" s="1"/>
  <c r="A130" i="2"/>
  <c r="A135" i="1"/>
  <c r="I135" i="1"/>
  <c r="Q135" i="1" s="1"/>
  <c r="A134" i="1"/>
  <c r="I134" i="1"/>
  <c r="Q134" i="1" s="1"/>
  <c r="A133" i="1"/>
  <c r="I133" i="1"/>
  <c r="K133" i="1" s="1"/>
  <c r="A129" i="2"/>
  <c r="A128" i="2"/>
  <c r="A132" i="1"/>
  <c r="I132" i="1"/>
  <c r="Q132" i="1" s="1"/>
  <c r="A131" i="1"/>
  <c r="I131" i="1"/>
  <c r="A130" i="1"/>
  <c r="I130" i="1"/>
  <c r="P130" i="1" s="1"/>
  <c r="I70" i="1"/>
  <c r="P70" i="1" s="1"/>
  <c r="A127" i="2"/>
  <c r="A126" i="2"/>
  <c r="A125" i="2"/>
  <c r="A129" i="1"/>
  <c r="I129" i="1"/>
  <c r="A124" i="2"/>
  <c r="A123" i="2"/>
  <c r="A122" i="2"/>
  <c r="A121" i="2"/>
  <c r="A128" i="1"/>
  <c r="I128" i="1"/>
  <c r="P128" i="1" s="1"/>
  <c r="A127" i="1"/>
  <c r="I127" i="1"/>
  <c r="P127" i="1" s="1"/>
  <c r="A126" i="1"/>
  <c r="I126" i="1"/>
  <c r="A125" i="1"/>
  <c r="I125" i="1"/>
  <c r="K125" i="1" s="1"/>
  <c r="A124" i="1"/>
  <c r="I124" i="1"/>
  <c r="K124" i="1" s="1"/>
  <c r="A120" i="2"/>
  <c r="A119" i="2"/>
  <c r="A118" i="2"/>
  <c r="A123" i="1"/>
  <c r="I123" i="1"/>
  <c r="K123" i="1" s="1"/>
  <c r="A117" i="2"/>
  <c r="A116" i="2"/>
  <c r="A122" i="1"/>
  <c r="I122" i="1"/>
  <c r="Q122" i="1" s="1"/>
  <c r="A115" i="2"/>
  <c r="A114" i="2"/>
  <c r="A121" i="1"/>
  <c r="I121" i="1"/>
  <c r="Q121" i="1" s="1"/>
  <c r="A113" i="2"/>
  <c r="A120" i="1"/>
  <c r="I120" i="1"/>
  <c r="Q120" i="1" s="1"/>
  <c r="A112" i="2"/>
  <c r="A119" i="1"/>
  <c r="I119" i="1"/>
  <c r="M441" i="1" l="1"/>
  <c r="N441" i="1" s="1"/>
  <c r="M443" i="1"/>
  <c r="N443" i="1" s="1"/>
  <c r="P443" i="1"/>
  <c r="O443" i="1"/>
  <c r="Q442" i="1"/>
  <c r="P442" i="1"/>
  <c r="O442" i="1"/>
  <c r="Q440" i="1"/>
  <c r="K441" i="1"/>
  <c r="P440" i="1"/>
  <c r="O441" i="1"/>
  <c r="P441" i="1"/>
  <c r="Q438" i="1"/>
  <c r="O438" i="1"/>
  <c r="P439" i="1"/>
  <c r="O439" i="1"/>
  <c r="O440" i="1"/>
  <c r="P438" i="1"/>
  <c r="Q439" i="1"/>
  <c r="Q437" i="1"/>
  <c r="P437" i="1"/>
  <c r="O437" i="1"/>
  <c r="Q436" i="1"/>
  <c r="P436" i="1"/>
  <c r="O436" i="1"/>
  <c r="Q434" i="1"/>
  <c r="P434" i="1"/>
  <c r="Q435" i="1"/>
  <c r="P435" i="1"/>
  <c r="O435" i="1"/>
  <c r="O434" i="1"/>
  <c r="O433" i="1"/>
  <c r="Q432" i="1"/>
  <c r="P432" i="1"/>
  <c r="Q433" i="1"/>
  <c r="P433" i="1"/>
  <c r="O432" i="1"/>
  <c r="Q431" i="1"/>
  <c r="P431" i="1"/>
  <c r="O431" i="1"/>
  <c r="Q430" i="1"/>
  <c r="P430" i="1"/>
  <c r="O430" i="1"/>
  <c r="Q429" i="1"/>
  <c r="Q428" i="1"/>
  <c r="P428" i="1"/>
  <c r="O428" i="1"/>
  <c r="P429" i="1"/>
  <c r="O429" i="1"/>
  <c r="Q427" i="1"/>
  <c r="P427" i="1"/>
  <c r="O427" i="1"/>
  <c r="Q426" i="1"/>
  <c r="P426" i="1"/>
  <c r="O426" i="1"/>
  <c r="Q423" i="1"/>
  <c r="Q425" i="1"/>
  <c r="P425" i="1"/>
  <c r="O425" i="1"/>
  <c r="Q424" i="1"/>
  <c r="P424" i="1"/>
  <c r="O424" i="1"/>
  <c r="Q422" i="1"/>
  <c r="P422" i="1"/>
  <c r="P423" i="1"/>
  <c r="O423" i="1"/>
  <c r="O422" i="1"/>
  <c r="Q420" i="1"/>
  <c r="Q421" i="1"/>
  <c r="P421" i="1"/>
  <c r="O421" i="1"/>
  <c r="P420" i="1"/>
  <c r="O420" i="1"/>
  <c r="P419" i="1"/>
  <c r="O419" i="1"/>
  <c r="Q417" i="1"/>
  <c r="Q419" i="1"/>
  <c r="Q418" i="1"/>
  <c r="P418" i="1"/>
  <c r="O418" i="1"/>
  <c r="Q415" i="1"/>
  <c r="P417" i="1"/>
  <c r="O417" i="1"/>
  <c r="Q416" i="1"/>
  <c r="P416" i="1"/>
  <c r="O416" i="1"/>
  <c r="P415" i="1"/>
  <c r="O415" i="1"/>
  <c r="Q414" i="1"/>
  <c r="P414" i="1"/>
  <c r="O414" i="1"/>
  <c r="Q413" i="1"/>
  <c r="P413" i="1"/>
  <c r="O413" i="1"/>
  <c r="Q412" i="1"/>
  <c r="P412" i="1"/>
  <c r="O412" i="1"/>
  <c r="Q411" i="1"/>
  <c r="K411" i="1"/>
  <c r="P411" i="1"/>
  <c r="P410" i="1"/>
  <c r="O410" i="1"/>
  <c r="Q408" i="1"/>
  <c r="P408" i="1"/>
  <c r="Q410" i="1"/>
  <c r="Q409" i="1"/>
  <c r="P409" i="1"/>
  <c r="O409" i="1"/>
  <c r="Q401" i="1"/>
  <c r="O408" i="1"/>
  <c r="Q405" i="1"/>
  <c r="Q406" i="1"/>
  <c r="P406" i="1"/>
  <c r="Q407" i="1"/>
  <c r="P407" i="1"/>
  <c r="O407" i="1"/>
  <c r="O406" i="1"/>
  <c r="P405" i="1"/>
  <c r="O405" i="1"/>
  <c r="P404" i="1"/>
  <c r="Q404" i="1"/>
  <c r="O404" i="1"/>
  <c r="Q403" i="1"/>
  <c r="P403" i="1"/>
  <c r="O403" i="1"/>
  <c r="Q402" i="1"/>
  <c r="P402" i="1"/>
  <c r="O402" i="1"/>
  <c r="P401" i="1"/>
  <c r="O401" i="1"/>
  <c r="O399" i="1"/>
  <c r="Q399" i="1"/>
  <c r="Q400" i="1"/>
  <c r="P400" i="1"/>
  <c r="O400" i="1"/>
  <c r="P399" i="1"/>
  <c r="Q398" i="1"/>
  <c r="P398" i="1"/>
  <c r="O398" i="1"/>
  <c r="P396" i="1"/>
  <c r="Q396" i="1"/>
  <c r="Q397" i="1"/>
  <c r="P397" i="1"/>
  <c r="O397" i="1"/>
  <c r="Q395" i="1"/>
  <c r="P395" i="1"/>
  <c r="O395" i="1"/>
  <c r="O396" i="1"/>
  <c r="Q346" i="1"/>
  <c r="P337" i="1"/>
  <c r="P320" i="1"/>
  <c r="Q356" i="1"/>
  <c r="Q387" i="1"/>
  <c r="P305" i="1"/>
  <c r="Q350" i="1"/>
  <c r="Q320" i="1"/>
  <c r="Q205" i="1"/>
  <c r="Q174" i="1"/>
  <c r="Q123" i="1"/>
  <c r="P380" i="1"/>
  <c r="P377" i="1"/>
  <c r="P331" i="1"/>
  <c r="P325" i="1"/>
  <c r="P194" i="1"/>
  <c r="Q380" i="1"/>
  <c r="Q393" i="1"/>
  <c r="Q300" i="1"/>
  <c r="P289" i="1"/>
  <c r="Q318" i="1"/>
  <c r="Q269" i="1"/>
  <c r="P283" i="1"/>
  <c r="Q268" i="1"/>
  <c r="P242" i="1"/>
  <c r="P221" i="1"/>
  <c r="Q394" i="1"/>
  <c r="P394" i="1"/>
  <c r="Q213" i="1"/>
  <c r="P388" i="1"/>
  <c r="P301" i="1"/>
  <c r="P238" i="1"/>
  <c r="Q358" i="1"/>
  <c r="Q317" i="1"/>
  <c r="Q264" i="1"/>
  <c r="Q212" i="1"/>
  <c r="P387" i="1"/>
  <c r="P300" i="1"/>
  <c r="P229" i="1"/>
  <c r="P393" i="1"/>
  <c r="Q357" i="1"/>
  <c r="Q316" i="1"/>
  <c r="Q263" i="1"/>
  <c r="Q211" i="1"/>
  <c r="P334" i="1"/>
  <c r="P294" i="1"/>
  <c r="P228" i="1"/>
  <c r="Q254" i="1"/>
  <c r="Q388" i="1"/>
  <c r="Q253" i="1"/>
  <c r="Q200" i="1"/>
  <c r="P382" i="1"/>
  <c r="P326" i="1"/>
  <c r="P286" i="1"/>
  <c r="P212" i="1"/>
  <c r="Q310" i="1"/>
  <c r="P285" i="1"/>
  <c r="Q382" i="1"/>
  <c r="Q301" i="1"/>
  <c r="Q183" i="1"/>
  <c r="P321" i="1"/>
  <c r="P205" i="1"/>
  <c r="Q342" i="1"/>
  <c r="Q238" i="1"/>
  <c r="Q169" i="1"/>
  <c r="P367" i="1"/>
  <c r="P318" i="1"/>
  <c r="P274" i="1"/>
  <c r="Q343" i="1"/>
  <c r="Q248" i="1"/>
  <c r="P372" i="1"/>
  <c r="Q377" i="1"/>
  <c r="Q340" i="1"/>
  <c r="Q233" i="1"/>
  <c r="Q165" i="1"/>
  <c r="P366" i="1"/>
  <c r="P317" i="1"/>
  <c r="P273" i="1"/>
  <c r="P174" i="1"/>
  <c r="O394" i="1"/>
  <c r="Q294" i="1"/>
  <c r="Q232" i="1"/>
  <c r="P365" i="1"/>
  <c r="P316" i="1"/>
  <c r="P269" i="1"/>
  <c r="P172" i="1"/>
  <c r="O386" i="1"/>
  <c r="Q333" i="1"/>
  <c r="Q283" i="1"/>
  <c r="Q156" i="1"/>
  <c r="P358" i="1"/>
  <c r="P310" i="1"/>
  <c r="P268" i="1"/>
  <c r="P144" i="1"/>
  <c r="P278" i="1"/>
  <c r="O382" i="1"/>
  <c r="Q372" i="1"/>
  <c r="Q331" i="1"/>
  <c r="Q278" i="1"/>
  <c r="Q229" i="1"/>
  <c r="Q139" i="1"/>
  <c r="P357" i="1"/>
  <c r="P309" i="1"/>
  <c r="P258" i="1"/>
  <c r="P141" i="1"/>
  <c r="Q326" i="1"/>
  <c r="Q277" i="1"/>
  <c r="Q227" i="1"/>
  <c r="P352" i="1"/>
  <c r="P308" i="1"/>
  <c r="P254" i="1"/>
  <c r="P139" i="1"/>
  <c r="Q362" i="1"/>
  <c r="Q325" i="1"/>
  <c r="Q270" i="1"/>
  <c r="Q221" i="1"/>
  <c r="P342" i="1"/>
  <c r="P306" i="1"/>
  <c r="P253" i="1"/>
  <c r="P123" i="1"/>
  <c r="O393" i="1"/>
  <c r="K148" i="1"/>
  <c r="P148" i="1"/>
  <c r="K153" i="1"/>
  <c r="P153" i="1"/>
  <c r="K216" i="1"/>
  <c r="P216" i="1"/>
  <c r="K231" i="1"/>
  <c r="P231" i="1"/>
  <c r="K247" i="1"/>
  <c r="P247" i="1"/>
  <c r="O247" i="1"/>
  <c r="K257" i="1"/>
  <c r="Q257" i="1"/>
  <c r="K262" i="1"/>
  <c r="P262" i="1"/>
  <c r="K272" i="1"/>
  <c r="Q272" i="1"/>
  <c r="K288" i="1"/>
  <c r="Q288" i="1"/>
  <c r="K304" i="1"/>
  <c r="Q304" i="1"/>
  <c r="K315" i="1"/>
  <c r="P315" i="1"/>
  <c r="K330" i="1"/>
  <c r="P330" i="1"/>
  <c r="K351" i="1"/>
  <c r="Q351" i="1"/>
  <c r="Q276" i="1"/>
  <c r="Q252" i="1"/>
  <c r="P288" i="1"/>
  <c r="P261" i="1"/>
  <c r="P237" i="1"/>
  <c r="Q334" i="1"/>
  <c r="Q315" i="1"/>
  <c r="Q231" i="1"/>
  <c r="Q157" i="1"/>
  <c r="P386" i="1"/>
  <c r="P364" i="1"/>
  <c r="P260" i="1"/>
  <c r="P236" i="1"/>
  <c r="K159" i="1"/>
  <c r="Q159" i="1"/>
  <c r="K170" i="1"/>
  <c r="P170" i="1"/>
  <c r="K175" i="1"/>
  <c r="Q175" i="1"/>
  <c r="K179" i="1"/>
  <c r="Q179" i="1"/>
  <c r="P179" i="1"/>
  <c r="K195" i="1"/>
  <c r="Q195" i="1"/>
  <c r="P195" i="1"/>
  <c r="Q332" i="1"/>
  <c r="Q293" i="1"/>
  <c r="Q204" i="1"/>
  <c r="Q133" i="1"/>
  <c r="P257" i="1"/>
  <c r="P204" i="1"/>
  <c r="P140" i="1"/>
  <c r="K129" i="1"/>
  <c r="Q129" i="1"/>
  <c r="K134" i="1"/>
  <c r="P134" i="1"/>
  <c r="K166" i="1"/>
  <c r="P166" i="1"/>
  <c r="Q292" i="1"/>
  <c r="Q228" i="1"/>
  <c r="Q181" i="1"/>
  <c r="P356" i="1"/>
  <c r="P333" i="1"/>
  <c r="P284" i="1"/>
  <c r="P197" i="1"/>
  <c r="P165" i="1"/>
  <c r="K178" i="1"/>
  <c r="Q178" i="1"/>
  <c r="K299" i="1"/>
  <c r="P299" i="1"/>
  <c r="K190" i="1"/>
  <c r="Q190" i="1"/>
  <c r="K196" i="1"/>
  <c r="P196" i="1"/>
  <c r="K217" i="1"/>
  <c r="P217" i="1"/>
  <c r="K239" i="1"/>
  <c r="Q239" i="1"/>
  <c r="K259" i="1"/>
  <c r="P259" i="1"/>
  <c r="K279" i="1"/>
  <c r="P279" i="1"/>
  <c r="K290" i="1"/>
  <c r="Q290" i="1"/>
  <c r="K295" i="1"/>
  <c r="P295" i="1"/>
  <c r="K338" i="1"/>
  <c r="Q338" i="1"/>
  <c r="K347" i="1"/>
  <c r="P347" i="1"/>
  <c r="K368" i="1"/>
  <c r="Q368" i="1"/>
  <c r="K378" i="1"/>
  <c r="P378" i="1"/>
  <c r="Q330" i="1"/>
  <c r="Q247" i="1"/>
  <c r="Q153" i="1"/>
  <c r="Q125" i="1"/>
  <c r="P332" i="1"/>
  <c r="P133" i="1"/>
  <c r="K336" i="1"/>
  <c r="Q336" i="1"/>
  <c r="K154" i="1"/>
  <c r="P154" i="1"/>
  <c r="K206" i="1"/>
  <c r="Q206" i="1"/>
  <c r="K344" i="1"/>
  <c r="P344" i="1"/>
  <c r="K383" i="1"/>
  <c r="Q383" i="1"/>
  <c r="K392" i="1"/>
  <c r="P392" i="1"/>
  <c r="Q392" i="1"/>
  <c r="Q373" i="1"/>
  <c r="Q349" i="1"/>
  <c r="Q286" i="1"/>
  <c r="Q222" i="1"/>
  <c r="Q124" i="1"/>
  <c r="P381" i="1"/>
  <c r="P304" i="1"/>
  <c r="K143" i="1"/>
  <c r="Q143" i="1"/>
  <c r="K193" i="1"/>
  <c r="Q193" i="1"/>
  <c r="K223" i="1"/>
  <c r="Q223" i="1"/>
  <c r="K312" i="1"/>
  <c r="P312" i="1"/>
  <c r="K353" i="1"/>
  <c r="Q353" i="1"/>
  <c r="K363" i="1"/>
  <c r="P363" i="1"/>
  <c r="K374" i="1"/>
  <c r="P374" i="1"/>
  <c r="Q348" i="1"/>
  <c r="Q309" i="1"/>
  <c r="Q285" i="1"/>
  <c r="Q245" i="1"/>
  <c r="Q173" i="1"/>
  <c r="Q70" i="1"/>
  <c r="P277" i="1"/>
  <c r="P223" i="1"/>
  <c r="P129" i="1"/>
  <c r="K182" i="1"/>
  <c r="P182" i="1"/>
  <c r="K199" i="1"/>
  <c r="P199" i="1"/>
  <c r="K210" i="1"/>
  <c r="Q210" i="1"/>
  <c r="K150" i="1"/>
  <c r="P150" i="1"/>
  <c r="K135" i="1"/>
  <c r="P135" i="1"/>
  <c r="K155" i="1"/>
  <c r="P155" i="1"/>
  <c r="K201" i="1"/>
  <c r="P201" i="1"/>
  <c r="K243" i="1"/>
  <c r="P243" i="1"/>
  <c r="K327" i="1"/>
  <c r="P327" i="1"/>
  <c r="K151" i="1"/>
  <c r="P151" i="1"/>
  <c r="K180" i="1"/>
  <c r="P180" i="1"/>
  <c r="K202" i="1"/>
  <c r="P202" i="1"/>
  <c r="K207" i="1"/>
  <c r="Q207" i="1"/>
  <c r="K235" i="1"/>
  <c r="P235" i="1"/>
  <c r="K249" i="1"/>
  <c r="P249" i="1"/>
  <c r="K265" i="1"/>
  <c r="P265" i="1"/>
  <c r="K281" i="1"/>
  <c r="P281" i="1"/>
  <c r="K296" i="1"/>
  <c r="P296" i="1"/>
  <c r="K322" i="1"/>
  <c r="O322" i="1"/>
  <c r="Q322" i="1"/>
  <c r="K359" i="1"/>
  <c r="P359" i="1"/>
  <c r="K369" i="1"/>
  <c r="Q369" i="1"/>
  <c r="Q347" i="1"/>
  <c r="Q327" i="1"/>
  <c r="Q308" i="1"/>
  <c r="Q284" i="1"/>
  <c r="Q244" i="1"/>
  <c r="Q220" i="1"/>
  <c r="Q199" i="1"/>
  <c r="Q172" i="1"/>
  <c r="Q150" i="1"/>
  <c r="P351" i="1"/>
  <c r="P302" i="1"/>
  <c r="P276" i="1"/>
  <c r="P252" i="1"/>
  <c r="P222" i="1"/>
  <c r="P159" i="1"/>
  <c r="K255" i="1"/>
  <c r="Q255" i="1"/>
  <c r="K185" i="1"/>
  <c r="P185" i="1"/>
  <c r="K191" i="1"/>
  <c r="Q191" i="1"/>
  <c r="K219" i="1"/>
  <c r="P219" i="1"/>
  <c r="K224" i="1"/>
  <c r="Q224" i="1"/>
  <c r="K240" i="1"/>
  <c r="Q240" i="1"/>
  <c r="K291" i="1"/>
  <c r="P291" i="1"/>
  <c r="K328" i="1"/>
  <c r="P328" i="1"/>
  <c r="K375" i="1"/>
  <c r="P375" i="1"/>
  <c r="O375" i="1"/>
  <c r="K379" i="1"/>
  <c r="P379" i="1"/>
  <c r="K384" i="1"/>
  <c r="Q384" i="1"/>
  <c r="Q366" i="1"/>
  <c r="Q243" i="1"/>
  <c r="Q219" i="1"/>
  <c r="Q149" i="1"/>
  <c r="P373" i="1"/>
  <c r="P350" i="1"/>
  <c r="P324" i="1"/>
  <c r="P245" i="1"/>
  <c r="P190" i="1"/>
  <c r="K119" i="1"/>
  <c r="P119" i="1"/>
  <c r="K275" i="1"/>
  <c r="P275" i="1"/>
  <c r="K311" i="1"/>
  <c r="P311" i="1"/>
  <c r="K218" i="1"/>
  <c r="P218" i="1"/>
  <c r="K121" i="1"/>
  <c r="P121" i="1"/>
  <c r="K136" i="1"/>
  <c r="P136" i="1"/>
  <c r="K126" i="1"/>
  <c r="Q126" i="1"/>
  <c r="K130" i="1"/>
  <c r="Q130" i="1"/>
  <c r="K163" i="1"/>
  <c r="Q163" i="1"/>
  <c r="P163" i="1"/>
  <c r="K177" i="1"/>
  <c r="Q177" i="1"/>
  <c r="K250" i="1"/>
  <c r="P250" i="1"/>
  <c r="K280" i="1"/>
  <c r="P280" i="1"/>
  <c r="K313" i="1"/>
  <c r="P313" i="1"/>
  <c r="K354" i="1"/>
  <c r="Q354" i="1"/>
  <c r="K370" i="1"/>
  <c r="O370" i="1"/>
  <c r="Q370" i="1"/>
  <c r="K390" i="1"/>
  <c r="P390" i="1"/>
  <c r="Q389" i="1"/>
  <c r="Q365" i="1"/>
  <c r="Q302" i="1"/>
  <c r="Q262" i="1"/>
  <c r="Q218" i="1"/>
  <c r="Q197" i="1"/>
  <c r="Q170" i="1"/>
  <c r="Q148" i="1"/>
  <c r="P349" i="1"/>
  <c r="P322" i="1"/>
  <c r="P244" i="1"/>
  <c r="P220" i="1"/>
  <c r="P189" i="1"/>
  <c r="P157" i="1"/>
  <c r="P126" i="1"/>
  <c r="K186" i="1"/>
  <c r="P186" i="1"/>
  <c r="K225" i="1"/>
  <c r="Q225" i="1"/>
  <c r="K297" i="1"/>
  <c r="P297" i="1"/>
  <c r="K323" i="1"/>
  <c r="P323" i="1"/>
  <c r="K360" i="1"/>
  <c r="P360" i="1"/>
  <c r="Q364" i="1"/>
  <c r="Q344" i="1"/>
  <c r="Q324" i="1"/>
  <c r="Q281" i="1"/>
  <c r="Q261" i="1"/>
  <c r="Q237" i="1"/>
  <c r="Q217" i="1"/>
  <c r="Q196" i="1"/>
  <c r="Q141" i="1"/>
  <c r="Q119" i="1"/>
  <c r="P370" i="1"/>
  <c r="P348" i="1"/>
  <c r="P272" i="1"/>
  <c r="P213" i="1"/>
  <c r="P188" i="1"/>
  <c r="P156" i="1"/>
  <c r="P125" i="1"/>
  <c r="K145" i="1"/>
  <c r="Q145" i="1"/>
  <c r="K160" i="1"/>
  <c r="Q160" i="1"/>
  <c r="K184" i="1"/>
  <c r="P184" i="1"/>
  <c r="K234" i="1"/>
  <c r="P234" i="1"/>
  <c r="K171" i="1"/>
  <c r="P171" i="1"/>
  <c r="K146" i="1"/>
  <c r="Q146" i="1"/>
  <c r="K137" i="1"/>
  <c r="P137" i="1"/>
  <c r="K147" i="1"/>
  <c r="Q147" i="1"/>
  <c r="P147" i="1"/>
  <c r="K208" i="1"/>
  <c r="Q208" i="1"/>
  <c r="K241" i="1"/>
  <c r="Q241" i="1"/>
  <c r="K127" i="1"/>
  <c r="Q127" i="1"/>
  <c r="K131" i="1"/>
  <c r="Q131" i="1"/>
  <c r="P131" i="1"/>
  <c r="K164" i="1"/>
  <c r="P164" i="1"/>
  <c r="K203" i="1"/>
  <c r="P203" i="1"/>
  <c r="K214" i="1"/>
  <c r="P214" i="1"/>
  <c r="K271" i="1"/>
  <c r="Q271" i="1"/>
  <c r="K282" i="1"/>
  <c r="P282" i="1"/>
  <c r="K314" i="1"/>
  <c r="P314" i="1"/>
  <c r="K335" i="1"/>
  <c r="Q335" i="1"/>
  <c r="K339" i="1"/>
  <c r="P339" i="1"/>
  <c r="K345" i="1"/>
  <c r="P345" i="1"/>
  <c r="K355" i="1"/>
  <c r="P355" i="1"/>
  <c r="K385" i="1"/>
  <c r="Q385" i="1"/>
  <c r="Q363" i="1"/>
  <c r="Q323" i="1"/>
  <c r="Q280" i="1"/>
  <c r="Q260" i="1"/>
  <c r="Q236" i="1"/>
  <c r="Q216" i="1"/>
  <c r="Q189" i="1"/>
  <c r="Q140" i="1"/>
  <c r="P369" i="1"/>
  <c r="P293" i="1"/>
  <c r="P271" i="1"/>
  <c r="P241" i="1"/>
  <c r="P181" i="1"/>
  <c r="P149" i="1"/>
  <c r="P124" i="1"/>
  <c r="P173" i="1"/>
  <c r="K120" i="1"/>
  <c r="P120" i="1"/>
  <c r="K307" i="1"/>
  <c r="P307" i="1"/>
  <c r="K161" i="1"/>
  <c r="Q161" i="1"/>
  <c r="K176" i="1"/>
  <c r="Q176" i="1"/>
  <c r="K167" i="1"/>
  <c r="P167" i="1"/>
  <c r="K192" i="1"/>
  <c r="Q192" i="1"/>
  <c r="K266" i="1"/>
  <c r="P266" i="1"/>
  <c r="K122" i="1"/>
  <c r="P122" i="1"/>
  <c r="K142" i="1"/>
  <c r="Q142" i="1"/>
  <c r="K152" i="1"/>
  <c r="P152" i="1"/>
  <c r="K168" i="1"/>
  <c r="P168" i="1"/>
  <c r="K198" i="1"/>
  <c r="P198" i="1"/>
  <c r="K209" i="1"/>
  <c r="Q209" i="1"/>
  <c r="K226" i="1"/>
  <c r="Q226" i="1"/>
  <c r="K287" i="1"/>
  <c r="Q287" i="1"/>
  <c r="K298" i="1"/>
  <c r="P298" i="1"/>
  <c r="K371" i="1"/>
  <c r="P371" i="1"/>
  <c r="K376" i="1"/>
  <c r="P376" i="1"/>
  <c r="K391" i="1"/>
  <c r="P391" i="1"/>
  <c r="Q299" i="1"/>
  <c r="Q279" i="1"/>
  <c r="Q259" i="1"/>
  <c r="Q235" i="1"/>
  <c r="Q188" i="1"/>
  <c r="Q167" i="1"/>
  <c r="P368" i="1"/>
  <c r="P341" i="1"/>
  <c r="P292" i="1"/>
  <c r="P270" i="1"/>
  <c r="P240" i="1"/>
  <c r="P210" i="1"/>
  <c r="P178" i="1"/>
  <c r="P146" i="1"/>
  <c r="K128" i="1"/>
  <c r="Q128" i="1"/>
  <c r="K132" i="1"/>
  <c r="P132" i="1"/>
  <c r="K138" i="1"/>
  <c r="P138" i="1"/>
  <c r="K158" i="1"/>
  <c r="Q158" i="1"/>
  <c r="K162" i="1"/>
  <c r="Q162" i="1"/>
  <c r="K187" i="1"/>
  <c r="P187" i="1"/>
  <c r="K215" i="1"/>
  <c r="P215" i="1"/>
  <c r="K230" i="1"/>
  <c r="P230" i="1"/>
  <c r="K246" i="1"/>
  <c r="P246" i="1"/>
  <c r="K251" i="1"/>
  <c r="P251" i="1"/>
  <c r="K256" i="1"/>
  <c r="Q256" i="1"/>
  <c r="K267" i="1"/>
  <c r="P267" i="1"/>
  <c r="K303" i="1"/>
  <c r="Q303" i="1"/>
  <c r="K319" i="1"/>
  <c r="Q319" i="1"/>
  <c r="K329" i="1"/>
  <c r="P329" i="1"/>
  <c r="K361" i="1"/>
  <c r="P361" i="1"/>
  <c r="Q381" i="1"/>
  <c r="Q361" i="1"/>
  <c r="Q341" i="1"/>
  <c r="Q234" i="1"/>
  <c r="Q187" i="1"/>
  <c r="Q166" i="1"/>
  <c r="Q138" i="1"/>
  <c r="P389" i="1"/>
  <c r="P340" i="1"/>
  <c r="P290" i="1"/>
  <c r="P239" i="1"/>
  <c r="P209" i="1"/>
  <c r="P177" i="1"/>
  <c r="P145" i="1"/>
  <c r="P227" i="1"/>
  <c r="P211" i="1"/>
  <c r="Q306" i="1"/>
  <c r="Q274" i="1"/>
  <c r="Q258" i="1"/>
  <c r="Q242" i="1"/>
  <c r="Q194" i="1"/>
  <c r="P362" i="1"/>
  <c r="P346" i="1"/>
  <c r="Q337" i="1"/>
  <c r="Q321" i="1"/>
  <c r="Q305" i="1"/>
  <c r="Q289" i="1"/>
  <c r="Q273" i="1"/>
  <c r="P233" i="1"/>
  <c r="P169" i="1"/>
  <c r="Q352" i="1"/>
  <c r="Q144" i="1"/>
  <c r="P264" i="1"/>
  <c r="P248" i="1"/>
  <c r="P232" i="1"/>
  <c r="P200" i="1"/>
  <c r="Q367" i="1"/>
  <c r="P343" i="1"/>
  <c r="P263" i="1"/>
  <c r="P183" i="1"/>
  <c r="O385" i="1"/>
  <c r="O323" i="1"/>
  <c r="O257" i="1"/>
  <c r="O193" i="1"/>
  <c r="O372" i="1"/>
  <c r="O319" i="1"/>
  <c r="O242" i="1"/>
  <c r="O177" i="1"/>
  <c r="O371" i="1"/>
  <c r="O307" i="1"/>
  <c r="O241" i="1"/>
  <c r="O163" i="1"/>
  <c r="O321" i="1"/>
  <c r="O306" i="1"/>
  <c r="O231" i="1"/>
  <c r="O162" i="1"/>
  <c r="O369" i="1"/>
  <c r="O305" i="1"/>
  <c r="O227" i="1"/>
  <c r="O147" i="1"/>
  <c r="O367" i="1"/>
  <c r="O303" i="1"/>
  <c r="O226" i="1"/>
  <c r="O146" i="1"/>
  <c r="O359" i="1"/>
  <c r="O291" i="1"/>
  <c r="O225" i="1"/>
  <c r="O145" i="1"/>
  <c r="O356" i="1"/>
  <c r="O289" i="1"/>
  <c r="O215" i="1"/>
  <c r="O131" i="1"/>
  <c r="O355" i="1"/>
  <c r="O287" i="1"/>
  <c r="O211" i="1"/>
  <c r="O130" i="1"/>
  <c r="O354" i="1"/>
  <c r="O275" i="1"/>
  <c r="O210" i="1"/>
  <c r="O129" i="1"/>
  <c r="O351" i="1"/>
  <c r="O274" i="1"/>
  <c r="O209" i="1"/>
  <c r="O391" i="1"/>
  <c r="O343" i="1"/>
  <c r="O273" i="1"/>
  <c r="O199" i="1"/>
  <c r="O387" i="1"/>
  <c r="O339" i="1"/>
  <c r="O263" i="1"/>
  <c r="O195" i="1"/>
  <c r="O337" i="1"/>
  <c r="O258" i="1"/>
  <c r="O194" i="1"/>
  <c r="O388" i="1"/>
  <c r="O340" i="1"/>
  <c r="O324" i="1"/>
  <c r="O308" i="1"/>
  <c r="O292" i="1"/>
  <c r="O276" i="1"/>
  <c r="O260" i="1"/>
  <c r="O244" i="1"/>
  <c r="O228" i="1"/>
  <c r="O212" i="1"/>
  <c r="O196" i="1"/>
  <c r="O180" i="1"/>
  <c r="O164" i="1"/>
  <c r="O148" i="1"/>
  <c r="O132" i="1"/>
  <c r="O259" i="1"/>
  <c r="O338" i="1"/>
  <c r="O161" i="1"/>
  <c r="O384" i="1"/>
  <c r="O368" i="1"/>
  <c r="O352" i="1"/>
  <c r="O336" i="1"/>
  <c r="O320" i="1"/>
  <c r="O304" i="1"/>
  <c r="O288" i="1"/>
  <c r="O272" i="1"/>
  <c r="O256" i="1"/>
  <c r="O240" i="1"/>
  <c r="O224" i="1"/>
  <c r="O208" i="1"/>
  <c r="O192" i="1"/>
  <c r="O176" i="1"/>
  <c r="O160" i="1"/>
  <c r="O144" i="1"/>
  <c r="O128" i="1"/>
  <c r="O383" i="1"/>
  <c r="O335" i="1"/>
  <c r="O271" i="1"/>
  <c r="O255" i="1"/>
  <c r="O239" i="1"/>
  <c r="O223" i="1"/>
  <c r="O207" i="1"/>
  <c r="O191" i="1"/>
  <c r="O175" i="1"/>
  <c r="O159" i="1"/>
  <c r="O143" i="1"/>
  <c r="O127" i="1"/>
  <c r="O366" i="1"/>
  <c r="O350" i="1"/>
  <c r="O334" i="1"/>
  <c r="O318" i="1"/>
  <c r="O302" i="1"/>
  <c r="O286" i="1"/>
  <c r="O270" i="1"/>
  <c r="O254" i="1"/>
  <c r="O238" i="1"/>
  <c r="O222" i="1"/>
  <c r="O206" i="1"/>
  <c r="O190" i="1"/>
  <c r="O174" i="1"/>
  <c r="O158" i="1"/>
  <c r="O142" i="1"/>
  <c r="O126" i="1"/>
  <c r="O381" i="1"/>
  <c r="O365" i="1"/>
  <c r="O349" i="1"/>
  <c r="O333" i="1"/>
  <c r="O317" i="1"/>
  <c r="O301" i="1"/>
  <c r="O285" i="1"/>
  <c r="O269" i="1"/>
  <c r="O253" i="1"/>
  <c r="O237" i="1"/>
  <c r="O221" i="1"/>
  <c r="O205" i="1"/>
  <c r="O189" i="1"/>
  <c r="O173" i="1"/>
  <c r="O157" i="1"/>
  <c r="O141" i="1"/>
  <c r="O125" i="1"/>
  <c r="O380" i="1"/>
  <c r="O364" i="1"/>
  <c r="O348" i="1"/>
  <c r="O332" i="1"/>
  <c r="O316" i="1"/>
  <c r="O300" i="1"/>
  <c r="O284" i="1"/>
  <c r="O268" i="1"/>
  <c r="O252" i="1"/>
  <c r="O236" i="1"/>
  <c r="O220" i="1"/>
  <c r="O204" i="1"/>
  <c r="O188" i="1"/>
  <c r="O172" i="1"/>
  <c r="O156" i="1"/>
  <c r="O140" i="1"/>
  <c r="O124" i="1"/>
  <c r="O290" i="1"/>
  <c r="O379" i="1"/>
  <c r="O363" i="1"/>
  <c r="O347" i="1"/>
  <c r="O331" i="1"/>
  <c r="O315" i="1"/>
  <c r="O299" i="1"/>
  <c r="O283" i="1"/>
  <c r="O267" i="1"/>
  <c r="O251" i="1"/>
  <c r="O235" i="1"/>
  <c r="O219" i="1"/>
  <c r="O203" i="1"/>
  <c r="O187" i="1"/>
  <c r="O171" i="1"/>
  <c r="O155" i="1"/>
  <c r="O139" i="1"/>
  <c r="O123" i="1"/>
  <c r="O353" i="1"/>
  <c r="O378" i="1"/>
  <c r="O362" i="1"/>
  <c r="O346" i="1"/>
  <c r="O330" i="1"/>
  <c r="O314" i="1"/>
  <c r="O298" i="1"/>
  <c r="O282" i="1"/>
  <c r="O266" i="1"/>
  <c r="O250" i="1"/>
  <c r="O234" i="1"/>
  <c r="O218" i="1"/>
  <c r="O202" i="1"/>
  <c r="O186" i="1"/>
  <c r="O170" i="1"/>
  <c r="O154" i="1"/>
  <c r="O138" i="1"/>
  <c r="O122" i="1"/>
  <c r="O392" i="1"/>
  <c r="O377" i="1"/>
  <c r="O361" i="1"/>
  <c r="O345" i="1"/>
  <c r="O329" i="1"/>
  <c r="O313" i="1"/>
  <c r="O297" i="1"/>
  <c r="O281" i="1"/>
  <c r="O265" i="1"/>
  <c r="O249" i="1"/>
  <c r="O233" i="1"/>
  <c r="O217" i="1"/>
  <c r="O201" i="1"/>
  <c r="O185" i="1"/>
  <c r="O169" i="1"/>
  <c r="O153" i="1"/>
  <c r="O137" i="1"/>
  <c r="O121" i="1"/>
  <c r="O376" i="1"/>
  <c r="O360" i="1"/>
  <c r="O344" i="1"/>
  <c r="O328" i="1"/>
  <c r="O312" i="1"/>
  <c r="O296" i="1"/>
  <c r="O280" i="1"/>
  <c r="O264" i="1"/>
  <c r="O248" i="1"/>
  <c r="O232" i="1"/>
  <c r="O216" i="1"/>
  <c r="O200" i="1"/>
  <c r="O184" i="1"/>
  <c r="O168" i="1"/>
  <c r="O152" i="1"/>
  <c r="O136" i="1"/>
  <c r="O120" i="1"/>
  <c r="O311" i="1"/>
  <c r="O295" i="1"/>
  <c r="O279" i="1"/>
  <c r="O183" i="1"/>
  <c r="O167" i="1"/>
  <c r="O151" i="1"/>
  <c r="O135" i="1"/>
  <c r="O119" i="1"/>
  <c r="O327" i="1"/>
  <c r="O390" i="1"/>
  <c r="O374" i="1"/>
  <c r="O358" i="1"/>
  <c r="O342" i="1"/>
  <c r="O326" i="1"/>
  <c r="O310" i="1"/>
  <c r="O294" i="1"/>
  <c r="O278" i="1"/>
  <c r="O262" i="1"/>
  <c r="O246" i="1"/>
  <c r="O230" i="1"/>
  <c r="O214" i="1"/>
  <c r="O198" i="1"/>
  <c r="O182" i="1"/>
  <c r="O166" i="1"/>
  <c r="O150" i="1"/>
  <c r="O134" i="1"/>
  <c r="O70" i="1"/>
  <c r="O389" i="1"/>
  <c r="O373" i="1"/>
  <c r="O357" i="1"/>
  <c r="O341" i="1"/>
  <c r="O325" i="1"/>
  <c r="O309" i="1"/>
  <c r="O293" i="1"/>
  <c r="O277" i="1"/>
  <c r="O261" i="1"/>
  <c r="O245" i="1"/>
  <c r="O229" i="1"/>
  <c r="O213" i="1"/>
  <c r="O197" i="1"/>
  <c r="O181" i="1"/>
  <c r="O165" i="1"/>
  <c r="O149" i="1"/>
  <c r="O133" i="1"/>
  <c r="K386" i="1"/>
  <c r="A111" i="2"/>
  <c r="A118" i="1"/>
  <c r="I118" i="1"/>
  <c r="P118" i="1" l="1"/>
  <c r="Q118" i="1"/>
  <c r="O118" i="1"/>
  <c r="K118" i="1"/>
  <c r="A110" i="2"/>
  <c r="A117" i="1"/>
  <c r="I117" i="1"/>
  <c r="A109" i="2"/>
  <c r="A108" i="2"/>
  <c r="A116" i="1"/>
  <c r="I116" i="1"/>
  <c r="A107" i="2"/>
  <c r="A106" i="2"/>
  <c r="A115" i="1"/>
  <c r="I115" i="1"/>
  <c r="A114" i="1"/>
  <c r="I114" i="1"/>
  <c r="A113" i="1"/>
  <c r="I113" i="1"/>
  <c r="A105" i="2"/>
  <c r="A112" i="1"/>
  <c r="I112" i="1"/>
  <c r="A111" i="1"/>
  <c r="I111" i="1"/>
  <c r="A104" i="2"/>
  <c r="A103" i="2"/>
  <c r="A102" i="2"/>
  <c r="A110" i="1"/>
  <c r="I110" i="1"/>
  <c r="A101" i="2"/>
  <c r="A100" i="2"/>
  <c r="A109" i="1"/>
  <c r="I109" i="1"/>
  <c r="A108" i="1"/>
  <c r="I108" i="1"/>
  <c r="A107" i="1"/>
  <c r="I107" i="1"/>
  <c r="A106" i="1"/>
  <c r="I106" i="1"/>
  <c r="A105" i="1"/>
  <c r="I105" i="1"/>
  <c r="A104" i="1"/>
  <c r="I104" i="1"/>
  <c r="A99" i="2"/>
  <c r="A103" i="1"/>
  <c r="I103" i="1"/>
  <c r="A98" i="2"/>
  <c r="A102" i="1"/>
  <c r="I102" i="1"/>
  <c r="A101" i="1"/>
  <c r="I101" i="1"/>
  <c r="A97" i="2"/>
  <c r="A96" i="2"/>
  <c r="A95" i="2"/>
  <c r="A100" i="1"/>
  <c r="I100" i="1"/>
  <c r="A94" i="2"/>
  <c r="A99" i="1"/>
  <c r="I99" i="1"/>
  <c r="A93" i="2"/>
  <c r="A98" i="1"/>
  <c r="I98" i="1"/>
  <c r="A92" i="2"/>
  <c r="A97" i="1"/>
  <c r="I97" i="1"/>
  <c r="A91" i="2"/>
  <c r="A96" i="1"/>
  <c r="I96" i="1"/>
  <c r="A95" i="1"/>
  <c r="I95" i="1"/>
  <c r="A90" i="2"/>
  <c r="A94" i="1"/>
  <c r="I94" i="1"/>
  <c r="A89" i="2"/>
  <c r="A88" i="2"/>
  <c r="A93" i="1"/>
  <c r="I93" i="1"/>
  <c r="A87" i="2"/>
  <c r="A86" i="2"/>
  <c r="A92" i="1"/>
  <c r="I92" i="1"/>
  <c r="A91" i="1"/>
  <c r="I91" i="1"/>
  <c r="A90" i="1"/>
  <c r="I90" i="1"/>
  <c r="A89" i="1"/>
  <c r="I89" i="1"/>
  <c r="A85" i="2"/>
  <c r="A84" i="2"/>
  <c r="A83" i="2"/>
  <c r="A82" i="2"/>
  <c r="A88" i="1"/>
  <c r="I88" i="1"/>
  <c r="A81" i="2"/>
  <c r="A80" i="2"/>
  <c r="A87" i="1"/>
  <c r="I87" i="1"/>
  <c r="A79" i="2"/>
  <c r="A86" i="1"/>
  <c r="I86" i="1"/>
  <c r="A85" i="1"/>
  <c r="I85" i="1"/>
  <c r="A84" i="1"/>
  <c r="I84" i="1"/>
  <c r="A83" i="1"/>
  <c r="I83" i="1"/>
  <c r="A82" i="1"/>
  <c r="I82" i="1"/>
  <c r="A78" i="2"/>
  <c r="I81" i="1"/>
  <c r="A81" i="1"/>
  <c r="I80" i="1"/>
  <c r="A80" i="1"/>
  <c r="A72" i="1"/>
  <c r="A77" i="2"/>
  <c r="A76" i="2"/>
  <c r="A75" i="2"/>
  <c r="I79" i="1"/>
  <c r="A79" i="1"/>
  <c r="A74" i="2"/>
  <c r="F13" i="4"/>
  <c r="A72" i="2"/>
  <c r="A73" i="2"/>
  <c r="I78" i="1"/>
  <c r="A78" i="1"/>
  <c r="A71" i="2"/>
  <c r="A70" i="2"/>
  <c r="A69" i="2"/>
  <c r="A68" i="2"/>
  <c r="I77" i="1"/>
  <c r="A77" i="1"/>
  <c r="A67" i="2"/>
  <c r="I76" i="1"/>
  <c r="A76" i="1"/>
  <c r="I75" i="1"/>
  <c r="A75" i="1"/>
  <c r="A73" i="1"/>
  <c r="A66" i="2"/>
  <c r="A65" i="2"/>
  <c r="I74" i="1"/>
  <c r="A74" i="1"/>
  <c r="I73" i="1"/>
  <c r="I72" i="1"/>
  <c r="A64" i="2"/>
  <c r="A63" i="2"/>
  <c r="A62" i="2"/>
  <c r="I71" i="1"/>
  <c r="A71" i="1"/>
  <c r="K70" i="1"/>
  <c r="A70" i="1"/>
  <c r="A69" i="1"/>
  <c r="I69" i="1"/>
  <c r="I68" i="1"/>
  <c r="A68" i="1"/>
  <c r="A61" i="2"/>
  <c r="I67" i="1"/>
  <c r="A67" i="1"/>
  <c r="I66" i="1"/>
  <c r="A66" i="1"/>
  <c r="I65" i="1"/>
  <c r="A65" i="1"/>
  <c r="A60" i="2"/>
  <c r="I64" i="1"/>
  <c r="A64" i="1"/>
  <c r="A59" i="2"/>
  <c r="A58" i="2"/>
  <c r="A57" i="2"/>
  <c r="I63" i="1"/>
  <c r="A63" i="1"/>
  <c r="A54" i="2"/>
  <c r="A55" i="2"/>
  <c r="A56" i="2"/>
  <c r="A53" i="2"/>
  <c r="A52" i="2"/>
  <c r="I62" i="1"/>
  <c r="A62" i="1"/>
  <c r="A51" i="2"/>
  <c r="I61" i="1"/>
  <c r="A61" i="1"/>
  <c r="A50" i="2"/>
  <c r="A49" i="2"/>
  <c r="A48" i="2"/>
  <c r="I60" i="1"/>
  <c r="A60" i="1"/>
  <c r="A47" i="2"/>
  <c r="I59" i="1"/>
  <c r="A59" i="1"/>
  <c r="I58" i="1"/>
  <c r="A58" i="1"/>
  <c r="A46" i="2"/>
  <c r="I57" i="1"/>
  <c r="A57" i="1"/>
  <c r="I56" i="1"/>
  <c r="A56" i="1"/>
  <c r="A54" i="1"/>
  <c r="O65" i="1" l="1"/>
  <c r="Q65" i="1"/>
  <c r="P65" i="1"/>
  <c r="O80" i="1"/>
  <c r="Q80" i="1"/>
  <c r="P80" i="1"/>
  <c r="O66" i="1"/>
  <c r="Q66" i="1"/>
  <c r="P66" i="1"/>
  <c r="O81" i="1"/>
  <c r="Q81" i="1"/>
  <c r="P81" i="1"/>
  <c r="O98" i="1"/>
  <c r="Q98" i="1"/>
  <c r="P98" i="1"/>
  <c r="O103" i="1"/>
  <c r="P103" i="1"/>
  <c r="Q103" i="1"/>
  <c r="O99" i="1"/>
  <c r="Q99" i="1"/>
  <c r="P99" i="1"/>
  <c r="O104" i="1"/>
  <c r="P104" i="1"/>
  <c r="Q104" i="1"/>
  <c r="O116" i="1"/>
  <c r="P116" i="1"/>
  <c r="Q116" i="1"/>
  <c r="O57" i="1"/>
  <c r="P57" i="1"/>
  <c r="Q57" i="1"/>
  <c r="O94" i="1"/>
  <c r="Q94" i="1"/>
  <c r="P94" i="1"/>
  <c r="O105" i="1"/>
  <c r="P105" i="1"/>
  <c r="Q105" i="1"/>
  <c r="O62" i="1"/>
  <c r="Q62" i="1"/>
  <c r="P62" i="1"/>
  <c r="O84" i="1"/>
  <c r="P84" i="1"/>
  <c r="Q84" i="1"/>
  <c r="O100" i="1"/>
  <c r="P100" i="1"/>
  <c r="Q100" i="1"/>
  <c r="O111" i="1"/>
  <c r="Q111" i="1"/>
  <c r="P111" i="1"/>
  <c r="O72" i="1"/>
  <c r="P72" i="1"/>
  <c r="Q72" i="1"/>
  <c r="O73" i="1"/>
  <c r="P73" i="1"/>
  <c r="Q73" i="1"/>
  <c r="O117" i="1"/>
  <c r="P117" i="1"/>
  <c r="Q117" i="1"/>
  <c r="O93" i="1"/>
  <c r="P93" i="1"/>
  <c r="Q93" i="1"/>
  <c r="O67" i="1"/>
  <c r="Q67" i="1"/>
  <c r="P67" i="1"/>
  <c r="O69" i="1"/>
  <c r="Q69" i="1"/>
  <c r="P69" i="1"/>
  <c r="O79" i="1"/>
  <c r="Q79" i="1"/>
  <c r="P79" i="1"/>
  <c r="O85" i="1"/>
  <c r="P85" i="1"/>
  <c r="Q85" i="1"/>
  <c r="O95" i="1"/>
  <c r="Q95" i="1"/>
  <c r="P95" i="1"/>
  <c r="O112" i="1"/>
  <c r="Q112" i="1"/>
  <c r="P112" i="1"/>
  <c r="O107" i="1"/>
  <c r="P107" i="1"/>
  <c r="Q107" i="1"/>
  <c r="O78" i="1"/>
  <c r="Q78" i="1"/>
  <c r="P78" i="1"/>
  <c r="O86" i="1"/>
  <c r="P86" i="1"/>
  <c r="Q86" i="1"/>
  <c r="O96" i="1"/>
  <c r="Q96" i="1"/>
  <c r="P96" i="1"/>
  <c r="O64" i="1"/>
  <c r="Q64" i="1"/>
  <c r="P64" i="1"/>
  <c r="O71" i="1"/>
  <c r="P71" i="1"/>
  <c r="Q71" i="1"/>
  <c r="O91" i="1"/>
  <c r="P91" i="1"/>
  <c r="Q91" i="1"/>
  <c r="O101" i="1"/>
  <c r="P101" i="1"/>
  <c r="Q101" i="1"/>
  <c r="O108" i="1"/>
  <c r="P108" i="1"/>
  <c r="Q108" i="1"/>
  <c r="O113" i="1"/>
  <c r="Q113" i="1"/>
  <c r="P113" i="1"/>
  <c r="O115" i="1"/>
  <c r="Q115" i="1"/>
  <c r="P115" i="1"/>
  <c r="O88" i="1"/>
  <c r="P88" i="1"/>
  <c r="Q88" i="1"/>
  <c r="O110" i="1"/>
  <c r="Q110" i="1"/>
  <c r="P110" i="1"/>
  <c r="O82" i="1"/>
  <c r="Q82" i="1"/>
  <c r="P82" i="1"/>
  <c r="O59" i="1"/>
  <c r="P59" i="1"/>
  <c r="Q59" i="1"/>
  <c r="O83" i="1"/>
  <c r="Q83" i="1"/>
  <c r="P83" i="1"/>
  <c r="O68" i="1"/>
  <c r="P68" i="1"/>
  <c r="Q68" i="1"/>
  <c r="O63" i="1"/>
  <c r="Q63" i="1"/>
  <c r="P63" i="1"/>
  <c r="O60" i="1"/>
  <c r="P60" i="1"/>
  <c r="Q60" i="1"/>
  <c r="O75" i="1"/>
  <c r="P75" i="1"/>
  <c r="Q75" i="1"/>
  <c r="O89" i="1"/>
  <c r="P89" i="1"/>
  <c r="Q89" i="1"/>
  <c r="O61" i="1"/>
  <c r="P61" i="1"/>
  <c r="Q61" i="1"/>
  <c r="O77" i="1"/>
  <c r="P77" i="1"/>
  <c r="Q77" i="1"/>
  <c r="O58" i="1"/>
  <c r="P58" i="1"/>
  <c r="Q58" i="1"/>
  <c r="O74" i="1"/>
  <c r="P74" i="1"/>
  <c r="Q74" i="1"/>
  <c r="O106" i="1"/>
  <c r="P106" i="1"/>
  <c r="Q106" i="1"/>
  <c r="O76" i="1"/>
  <c r="Q76" i="1"/>
  <c r="P76" i="1"/>
  <c r="O90" i="1"/>
  <c r="P90" i="1"/>
  <c r="Q90" i="1"/>
  <c r="O56" i="1"/>
  <c r="P56" i="1"/>
  <c r="Q56" i="1"/>
  <c r="O87" i="1"/>
  <c r="P87" i="1"/>
  <c r="Q87" i="1"/>
  <c r="O92" i="1"/>
  <c r="P92" i="1"/>
  <c r="Q92" i="1"/>
  <c r="O97" i="1"/>
  <c r="Q97" i="1"/>
  <c r="P97" i="1"/>
  <c r="O102" i="1"/>
  <c r="P102" i="1"/>
  <c r="Q102" i="1"/>
  <c r="O109" i="1"/>
  <c r="P109" i="1"/>
  <c r="Q109" i="1"/>
  <c r="Q114" i="1"/>
  <c r="P114" i="1"/>
  <c r="O114" i="1"/>
  <c r="K71" i="1"/>
  <c r="K64" i="1"/>
  <c r="K77" i="1"/>
  <c r="K65" i="1"/>
  <c r="K108" i="1"/>
  <c r="K102" i="1"/>
  <c r="K62" i="1"/>
  <c r="K81" i="1"/>
  <c r="K74" i="1"/>
  <c r="K101" i="1"/>
  <c r="K56" i="1"/>
  <c r="K109" i="1"/>
  <c r="K72" i="1"/>
  <c r="K98" i="1"/>
  <c r="K110" i="1"/>
  <c r="K82" i="1"/>
  <c r="K116" i="1"/>
  <c r="K94" i="1"/>
  <c r="K57" i="1"/>
  <c r="K73" i="1"/>
  <c r="K88" i="1"/>
  <c r="K58" i="1"/>
  <c r="K104" i="1"/>
  <c r="K63" i="1"/>
  <c r="K69" i="1"/>
  <c r="K84" i="1"/>
  <c r="K100" i="1"/>
  <c r="K111" i="1"/>
  <c r="K91" i="1"/>
  <c r="K87" i="1"/>
  <c r="K115" i="1"/>
  <c r="K106" i="1"/>
  <c r="K117" i="1"/>
  <c r="K61" i="1"/>
  <c r="K97" i="1"/>
  <c r="K66" i="1"/>
  <c r="K67" i="1"/>
  <c r="K99" i="1"/>
  <c r="K68" i="1"/>
  <c r="K105" i="1"/>
  <c r="K75" i="1"/>
  <c r="K79" i="1"/>
  <c r="K85" i="1"/>
  <c r="K95" i="1"/>
  <c r="K112" i="1"/>
  <c r="K89" i="1"/>
  <c r="K76" i="1"/>
  <c r="K90" i="1"/>
  <c r="K107" i="1"/>
  <c r="K113" i="1"/>
  <c r="K92" i="1"/>
  <c r="K80" i="1"/>
  <c r="K103" i="1"/>
  <c r="K93" i="1"/>
  <c r="K78" i="1"/>
  <c r="K59" i="1"/>
  <c r="K83" i="1"/>
  <c r="K60" i="1"/>
  <c r="K86" i="1"/>
  <c r="K96" i="1"/>
  <c r="K114" i="1"/>
  <c r="A45" i="2"/>
  <c r="A44" i="2"/>
  <c r="I55" i="1"/>
  <c r="A55" i="1"/>
  <c r="I54" i="1"/>
  <c r="I53" i="1"/>
  <c r="A53" i="1"/>
  <c r="I52" i="1"/>
  <c r="A52" i="1"/>
  <c r="I51" i="1"/>
  <c r="A51" i="1"/>
  <c r="I50" i="1"/>
  <c r="A50" i="1"/>
  <c r="A43" i="2"/>
  <c r="P52" i="1" l="1"/>
  <c r="Q52" i="1"/>
  <c r="Q51" i="1"/>
  <c r="P51" i="1"/>
  <c r="P53" i="1"/>
  <c r="Q53" i="1"/>
  <c r="P54" i="1"/>
  <c r="Q54" i="1"/>
  <c r="Q50" i="1"/>
  <c r="P50" i="1"/>
  <c r="P55" i="1"/>
  <c r="Q55" i="1"/>
  <c r="O54" i="1"/>
  <c r="O55" i="1"/>
  <c r="O52" i="1"/>
  <c r="O51" i="1"/>
  <c r="O50" i="1"/>
  <c r="O53" i="1"/>
  <c r="K55" i="1"/>
  <c r="K54" i="1"/>
  <c r="K53" i="1"/>
  <c r="K52" i="1"/>
  <c r="K50" i="1"/>
  <c r="K51" i="1"/>
  <c r="A42" i="2"/>
  <c r="I49" i="1"/>
  <c r="A49" i="1"/>
  <c r="A41" i="2"/>
  <c r="I48" i="1"/>
  <c r="A48" i="1"/>
  <c r="A40" i="2"/>
  <c r="I47" i="1"/>
  <c r="A47" i="1"/>
  <c r="I46" i="1"/>
  <c r="A46" i="1"/>
  <c r="A39" i="2"/>
  <c r="I45" i="1"/>
  <c r="A45" i="1"/>
  <c r="A38" i="2"/>
  <c r="I44" i="1"/>
  <c r="A44" i="1"/>
  <c r="A37" i="2"/>
  <c r="Q49" i="1" l="1"/>
  <c r="P49" i="1"/>
  <c r="Q48" i="1"/>
  <c r="P48" i="1"/>
  <c r="O44" i="1"/>
  <c r="P44" i="1"/>
  <c r="Q44" i="1"/>
  <c r="O45" i="1"/>
  <c r="P45" i="1"/>
  <c r="Q45" i="1"/>
  <c r="Q46" i="1"/>
  <c r="P46" i="1"/>
  <c r="Q47" i="1"/>
  <c r="P47" i="1"/>
  <c r="O46" i="1"/>
  <c r="O49" i="1"/>
  <c r="O47" i="1"/>
  <c r="O48" i="1"/>
  <c r="K44" i="1"/>
  <c r="K45" i="1"/>
  <c r="K49" i="1"/>
  <c r="K48" i="1"/>
  <c r="K47" i="1"/>
  <c r="K46" i="1"/>
  <c r="I43" i="1"/>
  <c r="A43" i="1"/>
  <c r="A36" i="2"/>
  <c r="I42" i="1"/>
  <c r="A42" i="1"/>
  <c r="A35" i="2"/>
  <c r="I41" i="1"/>
  <c r="A41" i="1"/>
  <c r="I40" i="1"/>
  <c r="A40" i="1"/>
  <c r="A34" i="2"/>
  <c r="I39" i="1"/>
  <c r="A39" i="1"/>
  <c r="A33" i="2"/>
  <c r="A32" i="2"/>
  <c r="I38" i="1"/>
  <c r="A38" i="1"/>
  <c r="I37" i="1"/>
  <c r="A37" i="1"/>
  <c r="I36" i="1"/>
  <c r="A36" i="1"/>
  <c r="A31" i="2"/>
  <c r="I35" i="1"/>
  <c r="A35" i="1"/>
  <c r="I34" i="1"/>
  <c r="A34" i="1"/>
  <c r="P43" i="1" l="1"/>
  <c r="Q43" i="1"/>
  <c r="Q37" i="1"/>
  <c r="P37" i="1"/>
  <c r="O38" i="1"/>
  <c r="P38" i="1"/>
  <c r="Q38" i="1"/>
  <c r="O35" i="1"/>
  <c r="Q35" i="1"/>
  <c r="P35" i="1"/>
  <c r="O41" i="1"/>
  <c r="P41" i="1"/>
  <c r="Q41" i="1"/>
  <c r="O36" i="1"/>
  <c r="P36" i="1"/>
  <c r="Q36" i="1"/>
  <c r="O39" i="1"/>
  <c r="P39" i="1"/>
  <c r="Q39" i="1"/>
  <c r="O42" i="1"/>
  <c r="P42" i="1"/>
  <c r="Q42" i="1"/>
  <c r="O34" i="1"/>
  <c r="Q34" i="1"/>
  <c r="P34" i="1"/>
  <c r="O40" i="1"/>
  <c r="P40" i="1"/>
  <c r="Q40" i="1"/>
  <c r="O37" i="1"/>
  <c r="O43" i="1"/>
  <c r="K36" i="1"/>
  <c r="K35" i="1"/>
  <c r="K41" i="1"/>
  <c r="K42" i="1"/>
  <c r="K38" i="1"/>
  <c r="K39" i="1"/>
  <c r="K34" i="1"/>
  <c r="K40" i="1"/>
  <c r="K43" i="1"/>
  <c r="K37" i="1"/>
  <c r="A30" i="2"/>
  <c r="A29" i="2"/>
  <c r="I33" i="1"/>
  <c r="A33" i="1"/>
  <c r="A28" i="2"/>
  <c r="I32" i="1"/>
  <c r="A32" i="1"/>
  <c r="A27" i="2"/>
  <c r="I31" i="1"/>
  <c r="A31" i="1"/>
  <c r="A26" i="2"/>
  <c r="I30" i="1"/>
  <c r="A30" i="1"/>
  <c r="A25" i="2"/>
  <c r="A24" i="2"/>
  <c r="I29" i="1"/>
  <c r="A29" i="1"/>
  <c r="I28" i="1"/>
  <c r="A28" i="1"/>
  <c r="A23" i="2"/>
  <c r="I27" i="1"/>
  <c r="A27" i="1"/>
  <c r="I26" i="1"/>
  <c r="A26" i="1"/>
  <c r="A22" i="2"/>
  <c r="I25" i="1"/>
  <c r="A25" i="1"/>
  <c r="Q33" i="1" l="1"/>
  <c r="P33" i="1"/>
  <c r="O27" i="1"/>
  <c r="P27" i="1"/>
  <c r="Q27" i="1"/>
  <c r="O28" i="1"/>
  <c r="P28" i="1"/>
  <c r="Q28" i="1"/>
  <c r="O30" i="1"/>
  <c r="Q30" i="1"/>
  <c r="P30" i="1"/>
  <c r="O26" i="1"/>
  <c r="P26" i="1"/>
  <c r="Q26" i="1"/>
  <c r="Q32" i="1"/>
  <c r="P32" i="1"/>
  <c r="O29" i="1"/>
  <c r="P29" i="1"/>
  <c r="Q29" i="1"/>
  <c r="O25" i="1"/>
  <c r="P25" i="1"/>
  <c r="Q25" i="1"/>
  <c r="Q31" i="1"/>
  <c r="P31" i="1"/>
  <c r="O31" i="1"/>
  <c r="O32" i="1"/>
  <c r="O33" i="1"/>
  <c r="K25" i="1"/>
  <c r="K30" i="1"/>
  <c r="K26" i="1"/>
  <c r="K27" i="1"/>
  <c r="K28" i="1"/>
  <c r="K29" i="1"/>
  <c r="K33" i="1"/>
  <c r="K32" i="1"/>
  <c r="K31" i="1"/>
  <c r="A21" i="2" l="1"/>
  <c r="A20" i="2"/>
  <c r="I24" i="1"/>
  <c r="A24" i="1"/>
  <c r="I23" i="1"/>
  <c r="A23" i="1"/>
  <c r="I22" i="1"/>
  <c r="A22" i="1"/>
  <c r="A19" i="2"/>
  <c r="P22" i="1" l="1"/>
  <c r="Q22" i="1"/>
  <c r="P23" i="1"/>
  <c r="Q23" i="1"/>
  <c r="P24" i="1"/>
  <c r="Q24" i="1"/>
  <c r="O24" i="1"/>
  <c r="O22" i="1"/>
  <c r="O23" i="1"/>
  <c r="K23" i="1"/>
  <c r="K24" i="1"/>
  <c r="K22" i="1"/>
  <c r="A18" i="2"/>
  <c r="A17" i="2"/>
  <c r="I21" i="1"/>
  <c r="A21" i="1"/>
  <c r="A16" i="2"/>
  <c r="P21" i="1" l="1"/>
  <c r="Q21" i="1"/>
  <c r="O21" i="1"/>
  <c r="K21" i="1"/>
  <c r="A15" i="2"/>
  <c r="I20" i="1"/>
  <c r="A20" i="1"/>
  <c r="I19" i="1"/>
  <c r="B12" i="4"/>
  <c r="A19" i="1"/>
  <c r="A13" i="2"/>
  <c r="A14" i="2"/>
  <c r="I18" i="1"/>
  <c r="A18" i="1"/>
  <c r="Q19" i="1" l="1"/>
  <c r="P19" i="1"/>
  <c r="P20" i="1"/>
  <c r="Q20" i="1"/>
  <c r="Q18" i="1"/>
  <c r="P18" i="1"/>
  <c r="O20" i="1"/>
  <c r="O18" i="1"/>
  <c r="O19" i="1"/>
  <c r="K19" i="1"/>
  <c r="K20" i="1"/>
  <c r="K18" i="1"/>
  <c r="I17" i="1"/>
  <c r="B11" i="4"/>
  <c r="A17" i="1"/>
  <c r="I16" i="1"/>
  <c r="A16" i="1"/>
  <c r="A12" i="2"/>
  <c r="A11" i="2"/>
  <c r="A10" i="2"/>
  <c r="A9" i="2"/>
  <c r="I15" i="1"/>
  <c r="A15" i="1"/>
  <c r="A8" i="2"/>
  <c r="Q16" i="1" l="1"/>
  <c r="P16" i="1"/>
  <c r="Q17" i="1"/>
  <c r="P17" i="1"/>
  <c r="Q15" i="1"/>
  <c r="P15" i="1"/>
  <c r="O16" i="1"/>
  <c r="O17" i="1"/>
  <c r="O15" i="1"/>
  <c r="K16" i="1"/>
  <c r="K15" i="1"/>
  <c r="K17" i="1"/>
  <c r="I14" i="1"/>
  <c r="A14" i="1"/>
  <c r="I13" i="1"/>
  <c r="A13" i="1"/>
  <c r="Q13" i="1" l="1"/>
  <c r="P13" i="1"/>
  <c r="Q14" i="1"/>
  <c r="P14" i="1"/>
  <c r="O14" i="1"/>
  <c r="O13" i="1"/>
  <c r="K14" i="1"/>
  <c r="K13" i="1"/>
  <c r="A7" i="2"/>
  <c r="I12" i="1"/>
  <c r="A12" i="1"/>
  <c r="A3" i="2"/>
  <c r="A4" i="2"/>
  <c r="A5" i="2"/>
  <c r="A6" i="2"/>
  <c r="I11" i="1"/>
  <c r="A11" i="1"/>
  <c r="I10" i="1"/>
  <c r="A10" i="1"/>
  <c r="I9" i="1"/>
  <c r="A9" i="1"/>
  <c r="D5" i="5"/>
  <c r="D4" i="5"/>
  <c r="I8" i="1"/>
  <c r="A8" i="1"/>
  <c r="I7" i="1"/>
  <c r="A7" i="1"/>
  <c r="D3" i="5"/>
  <c r="D2" i="5"/>
  <c r="I6" i="1"/>
  <c r="A6" i="1"/>
  <c r="P11" i="1" l="1"/>
  <c r="Q11" i="1"/>
  <c r="P9" i="1"/>
  <c r="Q9" i="1"/>
  <c r="P10" i="1"/>
  <c r="Q10" i="1"/>
  <c r="O6" i="1"/>
  <c r="P6" i="1"/>
  <c r="Q6" i="1"/>
  <c r="O7" i="1"/>
  <c r="P7" i="1"/>
  <c r="Q7" i="1"/>
  <c r="Q12" i="1"/>
  <c r="P12" i="1"/>
  <c r="P8" i="1"/>
  <c r="Q8" i="1"/>
  <c r="O12" i="1"/>
  <c r="O8" i="1"/>
  <c r="O10" i="1"/>
  <c r="O11" i="1"/>
  <c r="O9" i="1"/>
  <c r="K7" i="1"/>
  <c r="K6" i="1"/>
  <c r="K9" i="1"/>
  <c r="K10" i="1"/>
  <c r="K11" i="1"/>
  <c r="K12" i="1"/>
  <c r="K8" i="1"/>
  <c r="I5" i="1"/>
  <c r="A5" i="1"/>
  <c r="I4" i="1"/>
  <c r="A4" i="1"/>
  <c r="I3" i="1"/>
  <c r="A3" i="1"/>
  <c r="A2" i="1"/>
  <c r="B10" i="4"/>
  <c r="I2" i="1"/>
  <c r="H13" i="4"/>
  <c r="D13" i="4"/>
  <c r="C13" i="4"/>
  <c r="B9" i="4"/>
  <c r="B3" i="4"/>
  <c r="B4" i="4"/>
  <c r="B5" i="4"/>
  <c r="B6" i="4"/>
  <c r="B7" i="4"/>
  <c r="B8" i="4"/>
  <c r="B13" i="4"/>
  <c r="D464" i="2" l="1"/>
  <c r="D463" i="2"/>
  <c r="H464" i="2"/>
  <c r="H463" i="2"/>
  <c r="H460" i="2"/>
  <c r="D459" i="2"/>
  <c r="H459" i="2"/>
  <c r="D462" i="2"/>
  <c r="H462" i="2"/>
  <c r="D461" i="2"/>
  <c r="H461" i="2"/>
  <c r="D460" i="2"/>
  <c r="D458" i="2"/>
  <c r="H458" i="2"/>
  <c r="D457" i="2"/>
  <c r="H457" i="2"/>
  <c r="H454" i="2"/>
  <c r="D453" i="2"/>
  <c r="H453" i="2"/>
  <c r="D454" i="2"/>
  <c r="D456" i="2"/>
  <c r="H456" i="2"/>
  <c r="D455" i="2"/>
  <c r="H455" i="2"/>
  <c r="I455" i="2" s="1"/>
  <c r="D452" i="2"/>
  <c r="H452" i="2"/>
  <c r="I452" i="2" s="1"/>
  <c r="D451" i="2"/>
  <c r="H451" i="2"/>
  <c r="D450" i="2"/>
  <c r="H450" i="2"/>
  <c r="D449" i="2"/>
  <c r="H449" i="2"/>
  <c r="D448" i="2"/>
  <c r="H448" i="2"/>
  <c r="H445" i="2"/>
  <c r="D445" i="2"/>
  <c r="D447" i="2"/>
  <c r="H447" i="2"/>
  <c r="D446" i="2"/>
  <c r="H446" i="2"/>
  <c r="D443" i="2"/>
  <c r="D444" i="2"/>
  <c r="H443" i="2"/>
  <c r="H444" i="2"/>
  <c r="I444" i="2" s="1"/>
  <c r="D442" i="2"/>
  <c r="H442" i="2"/>
  <c r="D441" i="2"/>
  <c r="H441" i="2"/>
  <c r="D439" i="2"/>
  <c r="D440" i="2"/>
  <c r="H440" i="2"/>
  <c r="H439" i="2"/>
  <c r="H436" i="2"/>
  <c r="D438" i="2"/>
  <c r="H438" i="2"/>
  <c r="D437" i="2"/>
  <c r="H437" i="2"/>
  <c r="D436" i="2"/>
  <c r="D435" i="2"/>
  <c r="H435" i="2"/>
  <c r="D433" i="2"/>
  <c r="D434" i="2"/>
  <c r="H434" i="2"/>
  <c r="H433" i="2"/>
  <c r="D432" i="2"/>
  <c r="H432" i="2"/>
  <c r="D431" i="2"/>
  <c r="H431" i="2"/>
  <c r="D430" i="2"/>
  <c r="H430" i="2"/>
  <c r="D429" i="2"/>
  <c r="H429" i="2"/>
  <c r="D428" i="2"/>
  <c r="H428" i="2"/>
  <c r="D427" i="2"/>
  <c r="H427" i="2"/>
  <c r="D426" i="2"/>
  <c r="H426" i="2"/>
  <c r="D425" i="2"/>
  <c r="H425" i="2"/>
  <c r="H422" i="2"/>
  <c r="I422" i="2" s="1"/>
  <c r="D424" i="2"/>
  <c r="H424" i="2"/>
  <c r="D423" i="2"/>
  <c r="H423" i="2"/>
  <c r="D422" i="2"/>
  <c r="H420" i="2"/>
  <c r="D421" i="2"/>
  <c r="H421" i="2"/>
  <c r="M402" i="1" s="1"/>
  <c r="N402" i="1" s="1"/>
  <c r="D420" i="2"/>
  <c r="H417" i="2"/>
  <c r="D419" i="2"/>
  <c r="H419" i="2"/>
  <c r="D418" i="2"/>
  <c r="H418" i="2"/>
  <c r="D417" i="2"/>
  <c r="D416" i="2"/>
  <c r="H416" i="2"/>
  <c r="H413" i="2"/>
  <c r="D415" i="2"/>
  <c r="H415" i="2"/>
  <c r="D414" i="2"/>
  <c r="H414" i="2"/>
  <c r="D413" i="2"/>
  <c r="D412" i="2"/>
  <c r="H412" i="2"/>
  <c r="O5" i="1"/>
  <c r="P5" i="1"/>
  <c r="Q5" i="1"/>
  <c r="O4" i="1"/>
  <c r="P4" i="1"/>
  <c r="Q4" i="1"/>
  <c r="O2" i="1"/>
  <c r="Q2" i="1"/>
  <c r="P2" i="1"/>
  <c r="D411" i="2"/>
  <c r="H411" i="2"/>
  <c r="O3" i="1"/>
  <c r="Q3" i="1"/>
  <c r="P3" i="1"/>
  <c r="D410" i="2"/>
  <c r="H410" i="2"/>
  <c r="D409" i="2"/>
  <c r="H409" i="2"/>
  <c r="D408" i="2"/>
  <c r="H408" i="2"/>
  <c r="D407" i="2"/>
  <c r="H407" i="2"/>
  <c r="D406" i="2"/>
  <c r="H406" i="2"/>
  <c r="D405" i="2"/>
  <c r="H405" i="2"/>
  <c r="D404" i="2"/>
  <c r="H404" i="2"/>
  <c r="D403" i="2"/>
  <c r="H403" i="2"/>
  <c r="D402" i="2"/>
  <c r="H402" i="2"/>
  <c r="D401" i="2"/>
  <c r="H401" i="2"/>
  <c r="D400" i="2"/>
  <c r="H400" i="2"/>
  <c r="D399" i="2"/>
  <c r="H399" i="2"/>
  <c r="D398" i="2"/>
  <c r="H398" i="2"/>
  <c r="D397" i="2"/>
  <c r="H397" i="2"/>
  <c r="D396" i="2"/>
  <c r="H396" i="2"/>
  <c r="I396" i="2" s="1"/>
  <c r="D395" i="2"/>
  <c r="H395" i="2"/>
  <c r="D394" i="2"/>
  <c r="H393" i="2"/>
  <c r="H394" i="2"/>
  <c r="D393" i="2"/>
  <c r="D392" i="2"/>
  <c r="H392" i="2"/>
  <c r="H391" i="2"/>
  <c r="D391" i="2"/>
  <c r="D390" i="2"/>
  <c r="H390" i="2"/>
  <c r="D389" i="2"/>
  <c r="H389" i="2"/>
  <c r="H385" i="2"/>
  <c r="D388" i="2"/>
  <c r="H388" i="2"/>
  <c r="D387" i="2"/>
  <c r="H387" i="2"/>
  <c r="D386" i="2"/>
  <c r="H386" i="2"/>
  <c r="D385" i="2"/>
  <c r="D384" i="2"/>
  <c r="H384" i="2"/>
  <c r="D383" i="2"/>
  <c r="H383" i="2"/>
  <c r="D382" i="2"/>
  <c r="H382" i="2"/>
  <c r="D381" i="2"/>
  <c r="H381" i="2"/>
  <c r="D380" i="2"/>
  <c r="H380" i="2"/>
  <c r="D379" i="2"/>
  <c r="H379" i="2"/>
  <c r="D378" i="2"/>
  <c r="H378" i="2"/>
  <c r="D377" i="2"/>
  <c r="H377" i="2"/>
  <c r="D376" i="2"/>
  <c r="H376" i="2"/>
  <c r="D375" i="2"/>
  <c r="H375" i="2"/>
  <c r="D374" i="2"/>
  <c r="H374" i="2"/>
  <c r="D373" i="2"/>
  <c r="H373" i="2"/>
  <c r="D372" i="2"/>
  <c r="H372" i="2"/>
  <c r="D371" i="2"/>
  <c r="H371" i="2"/>
  <c r="D370" i="2"/>
  <c r="H370" i="2"/>
  <c r="D369" i="2"/>
  <c r="H369" i="2"/>
  <c r="D368" i="2"/>
  <c r="H368" i="2"/>
  <c r="D367" i="2"/>
  <c r="H367" i="2"/>
  <c r="D366" i="2"/>
  <c r="H366" i="2"/>
  <c r="D365" i="2"/>
  <c r="H365" i="2"/>
  <c r="D364" i="2"/>
  <c r="H364" i="2"/>
  <c r="D363" i="2"/>
  <c r="H363" i="2"/>
  <c r="D362" i="2"/>
  <c r="H362" i="2"/>
  <c r="D361" i="2"/>
  <c r="H361" i="2"/>
  <c r="D360" i="2"/>
  <c r="H360" i="2"/>
  <c r="D359" i="2"/>
  <c r="H359" i="2"/>
  <c r="K4" i="1"/>
  <c r="K5" i="1"/>
  <c r="K3" i="1"/>
  <c r="K2" i="1"/>
  <c r="D358" i="2"/>
  <c r="H358" i="2"/>
  <c r="D357" i="2"/>
  <c r="H357" i="2"/>
  <c r="D356" i="2"/>
  <c r="H356" i="2"/>
  <c r="H352" i="2"/>
  <c r="H355" i="2"/>
  <c r="D354" i="2"/>
  <c r="D355" i="2"/>
  <c r="H354" i="2"/>
  <c r="D353" i="2"/>
  <c r="H353" i="2"/>
  <c r="D352" i="2"/>
  <c r="H348" i="2"/>
  <c r="D347" i="2"/>
  <c r="H347" i="2"/>
  <c r="D351" i="2"/>
  <c r="H351" i="2"/>
  <c r="D350" i="2"/>
  <c r="H350" i="2"/>
  <c r="D349" i="2"/>
  <c r="H349" i="2"/>
  <c r="D348" i="2"/>
  <c r="D346" i="2"/>
  <c r="H346" i="2"/>
  <c r="D345" i="2"/>
  <c r="H345" i="2"/>
  <c r="D344" i="2"/>
  <c r="H344" i="2"/>
  <c r="D343" i="2"/>
  <c r="H343" i="2"/>
  <c r="D342" i="2"/>
  <c r="H342" i="2"/>
  <c r="D341" i="2"/>
  <c r="H341" i="2"/>
  <c r="D340" i="2"/>
  <c r="H340" i="2"/>
  <c r="D339" i="2"/>
  <c r="H339" i="2"/>
  <c r="D338" i="2"/>
  <c r="H338" i="2"/>
  <c r="D337" i="2"/>
  <c r="H337" i="2"/>
  <c r="D336" i="2"/>
  <c r="H336" i="2"/>
  <c r="D335" i="2"/>
  <c r="H335" i="2"/>
  <c r="D334" i="2"/>
  <c r="H334" i="2"/>
  <c r="D333" i="2"/>
  <c r="H333" i="2"/>
  <c r="D332" i="2"/>
  <c r="H332" i="2"/>
  <c r="D331" i="2"/>
  <c r="H331" i="2"/>
  <c r="D330" i="2"/>
  <c r="H330" i="2"/>
  <c r="H329" i="2"/>
  <c r="D329" i="2"/>
  <c r="D328" i="2"/>
  <c r="H328" i="2"/>
  <c r="D327" i="2"/>
  <c r="H327" i="2"/>
  <c r="H326" i="2"/>
  <c r="D326" i="2"/>
  <c r="D325" i="2"/>
  <c r="H325" i="2"/>
  <c r="D324" i="2"/>
  <c r="H324" i="2"/>
  <c r="D323" i="2"/>
  <c r="D322" i="2"/>
  <c r="H322" i="2"/>
  <c r="H323" i="2"/>
  <c r="D321" i="2"/>
  <c r="H321" i="2"/>
  <c r="H317" i="2"/>
  <c r="D316" i="2"/>
  <c r="H316" i="2"/>
  <c r="D320" i="2"/>
  <c r="H320" i="2"/>
  <c r="D317" i="2"/>
  <c r="D319" i="2"/>
  <c r="H319" i="2"/>
  <c r="H318" i="2"/>
  <c r="D318" i="2"/>
  <c r="D315" i="2"/>
  <c r="H315" i="2"/>
  <c r="D314" i="2"/>
  <c r="H314" i="2"/>
  <c r="D313" i="2"/>
  <c r="H313" i="2"/>
  <c r="D312" i="2"/>
  <c r="H312" i="2"/>
  <c r="H308" i="2"/>
  <c r="H311" i="2"/>
  <c r="D311" i="2"/>
  <c r="D310" i="2"/>
  <c r="H310" i="2"/>
  <c r="D309" i="2"/>
  <c r="H309" i="2"/>
  <c r="D308" i="2"/>
  <c r="D307" i="2"/>
  <c r="H307" i="2"/>
  <c r="D306" i="2"/>
  <c r="H306" i="2"/>
  <c r="D305" i="2"/>
  <c r="H305" i="2"/>
  <c r="D304" i="2"/>
  <c r="H304" i="2"/>
  <c r="D303" i="2"/>
  <c r="H303" i="2"/>
  <c r="H302" i="2"/>
  <c r="D302" i="2"/>
  <c r="D301" i="2"/>
  <c r="H301" i="2"/>
  <c r="D300" i="2"/>
  <c r="H300" i="2"/>
  <c r="D299" i="2"/>
  <c r="H299" i="2"/>
  <c r="D298" i="2"/>
  <c r="H298" i="2"/>
  <c r="D297" i="2"/>
  <c r="H297" i="2"/>
  <c r="D296" i="2"/>
  <c r="H296" i="2"/>
  <c r="D295" i="2"/>
  <c r="H295" i="2"/>
  <c r="H294" i="2"/>
  <c r="D294" i="2"/>
  <c r="D293" i="2"/>
  <c r="H293" i="2"/>
  <c r="D292" i="2"/>
  <c r="H290" i="2"/>
  <c r="H292" i="2"/>
  <c r="D291" i="2"/>
  <c r="H291" i="2"/>
  <c r="D290" i="2"/>
  <c r="D289" i="2"/>
  <c r="H289" i="2"/>
  <c r="D288" i="2"/>
  <c r="H288" i="2"/>
  <c r="D285" i="2"/>
  <c r="H287" i="2"/>
  <c r="H286" i="2"/>
  <c r="D287" i="2"/>
  <c r="D286" i="2"/>
  <c r="H285" i="2"/>
  <c r="D282" i="2"/>
  <c r="D284" i="2"/>
  <c r="H284" i="2"/>
  <c r="D283" i="2"/>
  <c r="H283" i="2"/>
  <c r="H282" i="2"/>
  <c r="D281" i="2"/>
  <c r="H281" i="2"/>
  <c r="D280" i="2"/>
  <c r="H280" i="2"/>
  <c r="H276" i="2"/>
  <c r="I276" i="2" s="1"/>
  <c r="D279" i="2"/>
  <c r="H279" i="2"/>
  <c r="D278" i="2"/>
  <c r="H278" i="2"/>
  <c r="D277" i="2"/>
  <c r="H277" i="2"/>
  <c r="I277" i="2" s="1"/>
  <c r="D276" i="2"/>
  <c r="D275" i="2"/>
  <c r="H275" i="2"/>
  <c r="D274" i="2"/>
  <c r="H274" i="2"/>
  <c r="D273" i="2"/>
  <c r="H273" i="2"/>
  <c r="D272" i="2"/>
  <c r="H272" i="2"/>
  <c r="D271" i="2"/>
  <c r="H271" i="2"/>
  <c r="D270" i="2"/>
  <c r="H270" i="2"/>
  <c r="D269" i="2"/>
  <c r="H269" i="2"/>
  <c r="H265" i="2"/>
  <c r="H267" i="2"/>
  <c r="D268" i="2"/>
  <c r="D267" i="2"/>
  <c r="H268" i="2"/>
  <c r="D265" i="2"/>
  <c r="D266" i="2"/>
  <c r="H266" i="2"/>
  <c r="H264" i="2"/>
  <c r="D264" i="2"/>
  <c r="H260" i="2"/>
  <c r="D259" i="2"/>
  <c r="H259" i="2"/>
  <c r="D258" i="2"/>
  <c r="D263" i="2"/>
  <c r="H258" i="2"/>
  <c r="H263" i="2"/>
  <c r="I263" i="2" s="1"/>
  <c r="H261" i="2"/>
  <c r="D262" i="2"/>
  <c r="H262" i="2"/>
  <c r="D261" i="2"/>
  <c r="D260" i="2"/>
  <c r="D257" i="2"/>
  <c r="H257" i="2"/>
  <c r="H256" i="2"/>
  <c r="I256" i="2" s="1"/>
  <c r="D256" i="2"/>
  <c r="D255" i="2"/>
  <c r="H255" i="2"/>
  <c r="D254" i="2"/>
  <c r="H254" i="2"/>
  <c r="D253" i="2"/>
  <c r="H253" i="2"/>
  <c r="D252" i="2"/>
  <c r="H252" i="2"/>
  <c r="D251" i="2"/>
  <c r="H251" i="2"/>
  <c r="D250" i="2"/>
  <c r="H250" i="2"/>
  <c r="D249" i="2"/>
  <c r="H249" i="2"/>
  <c r="I249" i="2" s="1"/>
  <c r="D248" i="2"/>
  <c r="H248" i="2"/>
  <c r="D247" i="2"/>
  <c r="H247" i="2"/>
  <c r="H243" i="2"/>
  <c r="H246" i="2"/>
  <c r="D246" i="2"/>
  <c r="D245" i="2"/>
  <c r="H245" i="2"/>
  <c r="D244" i="2"/>
  <c r="H244" i="2"/>
  <c r="D243" i="2"/>
  <c r="D241" i="2"/>
  <c r="D242" i="2"/>
  <c r="H242" i="2"/>
  <c r="H241" i="2"/>
  <c r="M239" i="1" s="1"/>
  <c r="N239" i="1" s="1"/>
  <c r="D240" i="2"/>
  <c r="H240" i="2"/>
  <c r="H236" i="2"/>
  <c r="D239" i="2"/>
  <c r="H239" i="2"/>
  <c r="D238" i="2"/>
  <c r="H238" i="2"/>
  <c r="D237" i="2"/>
  <c r="H237" i="2"/>
  <c r="D236" i="2"/>
  <c r="D235" i="2"/>
  <c r="D234" i="2"/>
  <c r="H235" i="2"/>
  <c r="H234" i="2"/>
  <c r="D233" i="2"/>
  <c r="D231" i="2"/>
  <c r="H233" i="2"/>
  <c r="D232" i="2"/>
  <c r="H232" i="2"/>
  <c r="H231" i="2"/>
  <c r="I231" i="2" s="1"/>
  <c r="H227" i="2"/>
  <c r="D230" i="2"/>
  <c r="H230" i="2"/>
  <c r="D229" i="2"/>
  <c r="H229" i="2"/>
  <c r="I229" i="2" s="1"/>
  <c r="H228" i="2"/>
  <c r="D227" i="2"/>
  <c r="D228" i="2"/>
  <c r="D226" i="2"/>
  <c r="H226" i="2"/>
  <c r="D225" i="2"/>
  <c r="H225" i="2"/>
  <c r="D224" i="2"/>
  <c r="H224" i="2"/>
  <c r="H221" i="2"/>
  <c r="D223" i="2"/>
  <c r="H223" i="2"/>
  <c r="D222" i="2"/>
  <c r="D221" i="2"/>
  <c r="H222" i="2"/>
  <c r="D218" i="2"/>
  <c r="D220" i="2"/>
  <c r="H220" i="2"/>
  <c r="D219" i="2"/>
  <c r="H219" i="2"/>
  <c r="H218" i="2"/>
  <c r="D217" i="2"/>
  <c r="H217" i="2"/>
  <c r="D216" i="2"/>
  <c r="H216" i="2"/>
  <c r="D215" i="2"/>
  <c r="H215" i="2"/>
  <c r="D214" i="2"/>
  <c r="H214" i="2"/>
  <c r="D213" i="2"/>
  <c r="H213" i="2"/>
  <c r="D212" i="2"/>
  <c r="H212" i="2"/>
  <c r="D211" i="2"/>
  <c r="H211" i="2"/>
  <c r="D210" i="2"/>
  <c r="H210" i="2"/>
  <c r="H209" i="2"/>
  <c r="D209" i="2"/>
  <c r="D208" i="2"/>
  <c r="H208" i="2"/>
  <c r="D206" i="2"/>
  <c r="D207" i="2"/>
  <c r="H207" i="2"/>
  <c r="I207" i="2" s="1"/>
  <c r="H206" i="2"/>
  <c r="D205" i="2"/>
  <c r="H205" i="2"/>
  <c r="D204" i="2"/>
  <c r="H204" i="2"/>
  <c r="D203" i="2"/>
  <c r="H203" i="2"/>
  <c r="D202" i="2"/>
  <c r="H202" i="2"/>
  <c r="D201" i="2"/>
  <c r="H201" i="2"/>
  <c r="I201" i="2" s="1"/>
  <c r="D199" i="2"/>
  <c r="D200" i="2"/>
  <c r="H200" i="2"/>
  <c r="H199" i="2"/>
  <c r="D198" i="2"/>
  <c r="H198" i="2"/>
  <c r="D197" i="2"/>
  <c r="H197" i="2"/>
  <c r="D196" i="2"/>
  <c r="H196" i="2"/>
  <c r="D195" i="2"/>
  <c r="H195" i="2"/>
  <c r="D194" i="2"/>
  <c r="H194" i="2"/>
  <c r="D193" i="2"/>
  <c r="H193" i="2"/>
  <c r="D192" i="2"/>
  <c r="H192" i="2"/>
  <c r="D191" i="2"/>
  <c r="H191" i="2"/>
  <c r="H190" i="2"/>
  <c r="D190" i="2"/>
  <c r="D189" i="2"/>
  <c r="H189" i="2"/>
  <c r="D188" i="2"/>
  <c r="H188" i="2"/>
  <c r="D187" i="2"/>
  <c r="H187" i="2"/>
  <c r="D186" i="2"/>
  <c r="H186" i="2"/>
  <c r="D184" i="2"/>
  <c r="H185" i="2"/>
  <c r="I185" i="2" s="1"/>
  <c r="D185" i="2"/>
  <c r="H184" i="2"/>
  <c r="D183" i="2"/>
  <c r="H183" i="2"/>
  <c r="I183" i="2" s="1"/>
  <c r="D182" i="2"/>
  <c r="H182" i="2"/>
  <c r="I182" i="2" s="1"/>
  <c r="D181" i="2"/>
  <c r="H181" i="2"/>
  <c r="D178" i="2"/>
  <c r="D179" i="2"/>
  <c r="H178" i="2"/>
  <c r="D180" i="2"/>
  <c r="H180" i="2"/>
  <c r="H179" i="2"/>
  <c r="D177" i="2"/>
  <c r="H177" i="2"/>
  <c r="D176" i="2"/>
  <c r="H176" i="2"/>
  <c r="D175" i="2"/>
  <c r="H175" i="2"/>
  <c r="D174" i="2"/>
  <c r="H174" i="2"/>
  <c r="I174" i="2" s="1"/>
  <c r="D173" i="2"/>
  <c r="H173" i="2"/>
  <c r="D172" i="2"/>
  <c r="H172" i="2"/>
  <c r="D171" i="2"/>
  <c r="H171" i="2"/>
  <c r="I171" i="2" s="1"/>
  <c r="D170" i="2"/>
  <c r="H170" i="2"/>
  <c r="I170" i="2" s="1"/>
  <c r="D169" i="2"/>
  <c r="H169" i="2"/>
  <c r="I169" i="2" s="1"/>
  <c r="D168" i="2"/>
  <c r="H168" i="2"/>
  <c r="I168" i="2" s="1"/>
  <c r="D167" i="2"/>
  <c r="H167" i="2"/>
  <c r="I167" i="2" s="1"/>
  <c r="H166" i="2"/>
  <c r="I166" i="2" s="1"/>
  <c r="D165" i="2"/>
  <c r="D164" i="2"/>
  <c r="H164" i="2"/>
  <c r="I164" i="2" s="1"/>
  <c r="D166" i="2"/>
  <c r="H165" i="2"/>
  <c r="I165" i="2" s="1"/>
  <c r="D163" i="2"/>
  <c r="H163" i="2"/>
  <c r="I163" i="2" s="1"/>
  <c r="D162" i="2"/>
  <c r="H162" i="2"/>
  <c r="I162" i="2" s="1"/>
  <c r="D161" i="2"/>
  <c r="H159" i="2"/>
  <c r="I159" i="2" s="1"/>
  <c r="H161" i="2"/>
  <c r="I161" i="2" s="1"/>
  <c r="D160" i="2"/>
  <c r="D159" i="2"/>
  <c r="H160" i="2"/>
  <c r="I160" i="2" s="1"/>
  <c r="D158" i="2"/>
  <c r="H158" i="2"/>
  <c r="I158" i="2" s="1"/>
  <c r="H156" i="2"/>
  <c r="I156" i="2" s="1"/>
  <c r="D157" i="2"/>
  <c r="H157" i="2"/>
  <c r="I157" i="2" s="1"/>
  <c r="D156" i="2"/>
  <c r="D155" i="2"/>
  <c r="H155" i="2"/>
  <c r="I155" i="2" s="1"/>
  <c r="D154" i="2"/>
  <c r="H154" i="2"/>
  <c r="I154" i="2" s="1"/>
  <c r="D153" i="2"/>
  <c r="H153" i="2"/>
  <c r="I153" i="2" s="1"/>
  <c r="D152" i="2"/>
  <c r="H152" i="2"/>
  <c r="I152" i="2" s="1"/>
  <c r="D151" i="2"/>
  <c r="H151" i="2"/>
  <c r="I151" i="2" s="1"/>
  <c r="D150" i="2"/>
  <c r="H150" i="2"/>
  <c r="I150" i="2" s="1"/>
  <c r="D149" i="2"/>
  <c r="H149" i="2"/>
  <c r="I149" i="2" s="1"/>
  <c r="D148" i="2"/>
  <c r="H148" i="2"/>
  <c r="I148" i="2" s="1"/>
  <c r="D147" i="2"/>
  <c r="H147" i="2"/>
  <c r="I147" i="2" s="1"/>
  <c r="H146" i="2"/>
  <c r="I146" i="2" s="1"/>
  <c r="D146" i="2"/>
  <c r="D145" i="2"/>
  <c r="H145" i="2"/>
  <c r="I145" i="2" s="1"/>
  <c r="D144" i="2"/>
  <c r="H144" i="2"/>
  <c r="I144" i="2" s="1"/>
  <c r="D143" i="2"/>
  <c r="H143" i="2"/>
  <c r="I143" i="2" s="1"/>
  <c r="D142" i="2"/>
  <c r="H142" i="2"/>
  <c r="I142" i="2" s="1"/>
  <c r="D141" i="2"/>
  <c r="D140" i="2"/>
  <c r="H141" i="2"/>
  <c r="I141" i="2" s="1"/>
  <c r="H140" i="2"/>
  <c r="I140" i="2" s="1"/>
  <c r="D139" i="2"/>
  <c r="H139" i="2"/>
  <c r="I139" i="2" s="1"/>
  <c r="D138" i="2"/>
  <c r="H138" i="2"/>
  <c r="I138" i="2" s="1"/>
  <c r="D137" i="2"/>
  <c r="H137" i="2"/>
  <c r="I137" i="2" s="1"/>
  <c r="H133" i="2"/>
  <c r="I133" i="2" s="1"/>
  <c r="D136" i="2"/>
  <c r="D134" i="2"/>
  <c r="H134" i="2"/>
  <c r="I134" i="2" s="1"/>
  <c r="H135" i="2"/>
  <c r="I135" i="2" s="1"/>
  <c r="H136" i="2"/>
  <c r="I136" i="2" s="1"/>
  <c r="D135" i="2"/>
  <c r="D133" i="2"/>
  <c r="H132" i="2"/>
  <c r="I132" i="2" s="1"/>
  <c r="D132" i="2"/>
  <c r="D131" i="2"/>
  <c r="H131" i="2"/>
  <c r="I131" i="2" s="1"/>
  <c r="H130" i="2"/>
  <c r="I130" i="2" s="1"/>
  <c r="D130" i="2"/>
  <c r="D129" i="2"/>
  <c r="H129" i="2"/>
  <c r="I129" i="2" s="1"/>
  <c r="D128" i="2"/>
  <c r="H128" i="2"/>
  <c r="I128" i="2" s="1"/>
  <c r="D125" i="2"/>
  <c r="D127" i="2"/>
  <c r="H127" i="2"/>
  <c r="I127" i="2" s="1"/>
  <c r="H126" i="2"/>
  <c r="I126" i="2" s="1"/>
  <c r="H125" i="2"/>
  <c r="I125" i="2" s="1"/>
  <c r="D126" i="2"/>
  <c r="H121" i="2"/>
  <c r="I121" i="2" s="1"/>
  <c r="D121" i="2"/>
  <c r="D124" i="2"/>
  <c r="D122" i="2"/>
  <c r="H124" i="2"/>
  <c r="I124" i="2" s="1"/>
  <c r="H122" i="2"/>
  <c r="I122" i="2" s="1"/>
  <c r="H123" i="2"/>
  <c r="I123" i="2" s="1"/>
  <c r="D123" i="2"/>
  <c r="D120" i="2"/>
  <c r="H120" i="2"/>
  <c r="I120" i="2" s="1"/>
  <c r="D119" i="2"/>
  <c r="H119" i="2"/>
  <c r="I119" i="2" s="1"/>
  <c r="D118" i="2"/>
  <c r="H118" i="2"/>
  <c r="I118" i="2" s="1"/>
  <c r="H116" i="2"/>
  <c r="I116" i="2" s="1"/>
  <c r="D116" i="2"/>
  <c r="D117" i="2"/>
  <c r="H117" i="2"/>
  <c r="I117" i="2" s="1"/>
  <c r="D114" i="2"/>
  <c r="D115" i="2"/>
  <c r="H115" i="2"/>
  <c r="I115" i="2" s="1"/>
  <c r="H114" i="2"/>
  <c r="I114" i="2" s="1"/>
  <c r="D113" i="2"/>
  <c r="H113" i="2"/>
  <c r="I113" i="2" s="1"/>
  <c r="D112" i="2"/>
  <c r="H112" i="2"/>
  <c r="I112" i="2" s="1"/>
  <c r="D111" i="2"/>
  <c r="H111" i="2"/>
  <c r="I111" i="2" s="1"/>
  <c r="D110" i="2"/>
  <c r="H110" i="2"/>
  <c r="I110" i="2" s="1"/>
  <c r="H109" i="2"/>
  <c r="I109" i="2" s="1"/>
  <c r="D109" i="2"/>
  <c r="D108" i="2"/>
  <c r="H108" i="2"/>
  <c r="I108" i="2" s="1"/>
  <c r="D107" i="2"/>
  <c r="H107" i="2"/>
  <c r="I107" i="2" s="1"/>
  <c r="D106" i="2"/>
  <c r="H106" i="2"/>
  <c r="I106" i="2" s="1"/>
  <c r="D105" i="2"/>
  <c r="H105" i="2"/>
  <c r="I105" i="2" s="1"/>
  <c r="D104" i="2"/>
  <c r="H104" i="2"/>
  <c r="I104" i="2" s="1"/>
  <c r="D103" i="2"/>
  <c r="H103" i="2"/>
  <c r="I103" i="2" s="1"/>
  <c r="D102" i="2"/>
  <c r="H102" i="2"/>
  <c r="I102" i="2" s="1"/>
  <c r="D101" i="2"/>
  <c r="H101" i="2"/>
  <c r="I101" i="2" s="1"/>
  <c r="D100" i="2"/>
  <c r="H100" i="2"/>
  <c r="I100" i="2" s="1"/>
  <c r="H99" i="2"/>
  <c r="I99" i="2" s="1"/>
  <c r="D99" i="2"/>
  <c r="H98" i="2"/>
  <c r="I98" i="2" s="1"/>
  <c r="D98" i="2"/>
  <c r="D97" i="2"/>
  <c r="H97" i="2"/>
  <c r="I97" i="2" s="1"/>
  <c r="D96" i="2"/>
  <c r="H96" i="2"/>
  <c r="I96" i="2" s="1"/>
  <c r="D95" i="2"/>
  <c r="H95" i="2"/>
  <c r="I95" i="2" s="1"/>
  <c r="D94" i="2"/>
  <c r="H94" i="2"/>
  <c r="I94" i="2" s="1"/>
  <c r="D93" i="2"/>
  <c r="H93" i="2"/>
  <c r="I93" i="2" s="1"/>
  <c r="D92" i="2"/>
  <c r="H92" i="2"/>
  <c r="I92" i="2" s="1"/>
  <c r="D91" i="2"/>
  <c r="H91" i="2"/>
  <c r="I91" i="2" s="1"/>
  <c r="D90" i="2"/>
  <c r="H90" i="2"/>
  <c r="I90" i="2" s="1"/>
  <c r="D89" i="2"/>
  <c r="H89" i="2"/>
  <c r="I89" i="2" s="1"/>
  <c r="D88" i="2"/>
  <c r="H88" i="2"/>
  <c r="I88" i="2" s="1"/>
  <c r="H87" i="2"/>
  <c r="I87" i="2" s="1"/>
  <c r="D87" i="2"/>
  <c r="H86" i="2"/>
  <c r="I86" i="2" s="1"/>
  <c r="D86" i="2"/>
  <c r="D85" i="2"/>
  <c r="H85" i="2"/>
  <c r="I85" i="2" s="1"/>
  <c r="H82" i="2"/>
  <c r="I82" i="2" s="1"/>
  <c r="D84" i="2"/>
  <c r="H84" i="2"/>
  <c r="I84" i="2" s="1"/>
  <c r="D83" i="2"/>
  <c r="H83" i="2"/>
  <c r="I83" i="2" s="1"/>
  <c r="D82" i="2"/>
  <c r="D81" i="2"/>
  <c r="H81" i="2"/>
  <c r="I81" i="2" s="1"/>
  <c r="H80" i="2"/>
  <c r="I80" i="2" s="1"/>
  <c r="D80" i="2"/>
  <c r="D79" i="2"/>
  <c r="H79" i="2"/>
  <c r="I79" i="2" s="1"/>
  <c r="D77" i="2"/>
  <c r="H72" i="2"/>
  <c r="I72" i="2" s="1"/>
  <c r="H69" i="2"/>
  <c r="I69" i="2" s="1"/>
  <c r="H73" i="2"/>
  <c r="I73" i="2" s="1"/>
  <c r="H68" i="2"/>
  <c r="I68" i="2" s="1"/>
  <c r="D66" i="2"/>
  <c r="H76" i="2"/>
  <c r="I76" i="2" s="1"/>
  <c r="D72" i="2"/>
  <c r="D76" i="2"/>
  <c r="D73" i="2"/>
  <c r="D78" i="2"/>
  <c r="H75" i="2"/>
  <c r="I75" i="2" s="1"/>
  <c r="H67" i="2"/>
  <c r="I67" i="2" s="1"/>
  <c r="D71" i="2"/>
  <c r="H66" i="2"/>
  <c r="I66" i="2" s="1"/>
  <c r="H78" i="2"/>
  <c r="I78" i="2" s="1"/>
  <c r="D75" i="2"/>
  <c r="H71" i="2"/>
  <c r="I71" i="2" s="1"/>
  <c r="D70" i="2"/>
  <c r="H74" i="2"/>
  <c r="I74" i="2" s="1"/>
  <c r="D74" i="2"/>
  <c r="D68" i="2"/>
  <c r="D69" i="2"/>
  <c r="H77" i="2"/>
  <c r="I77" i="2" s="1"/>
  <c r="H70" i="2"/>
  <c r="I70" i="2" s="1"/>
  <c r="H65" i="2"/>
  <c r="I65" i="2" s="1"/>
  <c r="D67" i="2"/>
  <c r="D65" i="2"/>
  <c r="H48" i="2"/>
  <c r="I48" i="2" s="1"/>
  <c r="D48" i="2"/>
  <c r="H51" i="2"/>
  <c r="I51" i="2" s="1"/>
  <c r="D59" i="2"/>
  <c r="D57" i="2"/>
  <c r="H52" i="2"/>
  <c r="I52" i="2" s="1"/>
  <c r="H60" i="2"/>
  <c r="I60" i="2" s="1"/>
  <c r="H55" i="2"/>
  <c r="I55" i="2" s="1"/>
  <c r="H46" i="2"/>
  <c r="I46" i="2" s="1"/>
  <c r="D49" i="2"/>
  <c r="D47" i="2"/>
  <c r="H50" i="2"/>
  <c r="I50" i="2" s="1"/>
  <c r="D63" i="2"/>
  <c r="D44" i="2"/>
  <c r="H62" i="2"/>
  <c r="I62" i="2" s="1"/>
  <c r="D56" i="2"/>
  <c r="D45" i="2"/>
  <c r="D60" i="2"/>
  <c r="H56" i="2"/>
  <c r="I56" i="2" s="1"/>
  <c r="D51" i="2"/>
  <c r="H47" i="2"/>
  <c r="I47" i="2" s="1"/>
  <c r="H61" i="2"/>
  <c r="I61" i="2" s="1"/>
  <c r="H58" i="2"/>
  <c r="I58" i="2" s="1"/>
  <c r="H53" i="2"/>
  <c r="I53" i="2" s="1"/>
  <c r="D58" i="2"/>
  <c r="D52" i="2"/>
  <c r="H64" i="2"/>
  <c r="I64" i="2" s="1"/>
  <c r="D55" i="2"/>
  <c r="H54" i="2"/>
  <c r="I54" i="2" s="1"/>
  <c r="H57" i="2"/>
  <c r="I57" i="2" s="1"/>
  <c r="D64" i="2"/>
  <c r="D50" i="2"/>
  <c r="D53" i="2"/>
  <c r="D46" i="2"/>
  <c r="H59" i="2"/>
  <c r="I59" i="2" s="1"/>
  <c r="D54" i="2"/>
  <c r="H49" i="2"/>
  <c r="I49" i="2" s="1"/>
  <c r="H63" i="2"/>
  <c r="I63" i="2" s="1"/>
  <c r="D61" i="2"/>
  <c r="D62" i="2"/>
  <c r="H45" i="2"/>
  <c r="I45" i="2" s="1"/>
  <c r="H44" i="2"/>
  <c r="I44" i="2" s="1"/>
  <c r="D43" i="2"/>
  <c r="H43" i="2"/>
  <c r="I43" i="2" s="1"/>
  <c r="H42" i="2"/>
  <c r="I42" i="2" s="1"/>
  <c r="H37" i="2"/>
  <c r="I37" i="2" s="1"/>
  <c r="D40" i="2"/>
  <c r="D42" i="2"/>
  <c r="D35" i="2"/>
  <c r="H40" i="2"/>
  <c r="I40" i="2" s="1"/>
  <c r="H38" i="2"/>
  <c r="I38" i="2" s="1"/>
  <c r="D41" i="2"/>
  <c r="H39" i="2"/>
  <c r="I39" i="2" s="1"/>
  <c r="D37" i="2"/>
  <c r="D38" i="2"/>
  <c r="D36" i="2"/>
  <c r="H41" i="2"/>
  <c r="I41" i="2" s="1"/>
  <c r="D39" i="2"/>
  <c r="H36" i="2"/>
  <c r="I36" i="2" s="1"/>
  <c r="H35" i="2"/>
  <c r="I35" i="2" s="1"/>
  <c r="H33" i="2"/>
  <c r="I33" i="2" s="1"/>
  <c r="D33" i="2"/>
  <c r="H31" i="2"/>
  <c r="I31" i="2" s="1"/>
  <c r="D31" i="2"/>
  <c r="D32" i="2"/>
  <c r="H32" i="2"/>
  <c r="I32" i="2" s="1"/>
  <c r="H34" i="2"/>
  <c r="I34" i="2" s="1"/>
  <c r="D34" i="2"/>
  <c r="H30" i="2"/>
  <c r="I30" i="2" s="1"/>
  <c r="D23" i="2"/>
  <c r="H25" i="2"/>
  <c r="I25" i="2" s="1"/>
  <c r="H27" i="2"/>
  <c r="I27" i="2" s="1"/>
  <c r="H22" i="2"/>
  <c r="I22" i="2" s="1"/>
  <c r="D30" i="2"/>
  <c r="D22" i="2"/>
  <c r="H24" i="2"/>
  <c r="I24" i="2" s="1"/>
  <c r="H29" i="2"/>
  <c r="I29" i="2" s="1"/>
  <c r="D29" i="2"/>
  <c r="D24" i="2"/>
  <c r="D26" i="2"/>
  <c r="H26" i="2"/>
  <c r="I26" i="2" s="1"/>
  <c r="D27" i="2"/>
  <c r="H28" i="2"/>
  <c r="I28" i="2" s="1"/>
  <c r="D28" i="2"/>
  <c r="D25" i="2"/>
  <c r="H23" i="2"/>
  <c r="I23" i="2" s="1"/>
  <c r="H21" i="2"/>
  <c r="I21" i="2" s="1"/>
  <c r="D15" i="2"/>
  <c r="D20" i="2"/>
  <c r="D19" i="2"/>
  <c r="D21" i="2"/>
  <c r="H19" i="2"/>
  <c r="I19" i="2" s="1"/>
  <c r="D16" i="2"/>
  <c r="D17" i="2"/>
  <c r="H20" i="2"/>
  <c r="I20" i="2" s="1"/>
  <c r="D18" i="2"/>
  <c r="H16" i="2"/>
  <c r="I16" i="2" s="1"/>
  <c r="H17" i="2"/>
  <c r="I17" i="2" s="1"/>
  <c r="H18" i="2"/>
  <c r="I18" i="2" s="1"/>
  <c r="H13" i="2"/>
  <c r="I13" i="2" s="1"/>
  <c r="H14" i="2"/>
  <c r="I14" i="2" s="1"/>
  <c r="D13" i="2"/>
  <c r="H15" i="2"/>
  <c r="I15" i="2" s="1"/>
  <c r="D14" i="2"/>
  <c r="H11" i="2"/>
  <c r="I11" i="2" s="1"/>
  <c r="D3" i="2"/>
  <c r="D11" i="2"/>
  <c r="D4" i="2"/>
  <c r="D5" i="2"/>
  <c r="D6" i="2"/>
  <c r="D8" i="2"/>
  <c r="D7" i="2"/>
  <c r="D10" i="2"/>
  <c r="H9" i="2"/>
  <c r="I9" i="2" s="1"/>
  <c r="H8" i="2"/>
  <c r="I8" i="2" s="1"/>
  <c r="D2" i="2"/>
  <c r="D9" i="2"/>
  <c r="H12" i="2"/>
  <c r="I12" i="2" s="1"/>
  <c r="D12" i="2"/>
  <c r="H10" i="2"/>
  <c r="I10" i="2" s="1"/>
  <c r="H4" i="2"/>
  <c r="I4" i="2" s="1"/>
  <c r="H5" i="2"/>
  <c r="I5" i="2" s="1"/>
  <c r="H2" i="2"/>
  <c r="I2" i="2" s="1"/>
  <c r="H7" i="2"/>
  <c r="I7" i="2" s="1"/>
  <c r="H6" i="2"/>
  <c r="I6" i="2" s="1"/>
  <c r="H3" i="2"/>
  <c r="I3" i="2" s="1"/>
  <c r="E13" i="4"/>
  <c r="I13" i="4"/>
  <c r="G13" i="4"/>
  <c r="I463" i="2" l="1"/>
  <c r="M442" i="1"/>
  <c r="N442" i="1" s="1"/>
  <c r="I464" i="2"/>
  <c r="M435" i="1"/>
  <c r="N435" i="1" s="1"/>
  <c r="I461" i="2"/>
  <c r="M439" i="1"/>
  <c r="N439" i="1" s="1"/>
  <c r="I462" i="2"/>
  <c r="M440" i="1"/>
  <c r="N440" i="1" s="1"/>
  <c r="I459" i="2"/>
  <c r="M436" i="1"/>
  <c r="N436" i="1" s="1"/>
  <c r="I460" i="2"/>
  <c r="M437" i="1"/>
  <c r="N437" i="1" s="1"/>
  <c r="I458" i="2"/>
  <c r="M438" i="1"/>
  <c r="N438" i="1" s="1"/>
  <c r="I457" i="2"/>
  <c r="M434" i="1"/>
  <c r="N434" i="1" s="1"/>
  <c r="I456" i="2"/>
  <c r="M432" i="1"/>
  <c r="N432" i="1" s="1"/>
  <c r="I453" i="2"/>
  <c r="M429" i="1"/>
  <c r="N429" i="1" s="1"/>
  <c r="I454" i="2"/>
  <c r="M433" i="1"/>
  <c r="N433" i="1" s="1"/>
  <c r="I451" i="2"/>
  <c r="M431" i="1"/>
  <c r="N431" i="1" s="1"/>
  <c r="I449" i="2"/>
  <c r="M430" i="1"/>
  <c r="N430" i="1" s="1"/>
  <c r="I450" i="2"/>
  <c r="M427" i="1"/>
  <c r="N427" i="1" s="1"/>
  <c r="I448" i="2"/>
  <c r="M428" i="1"/>
  <c r="N428" i="1" s="1"/>
  <c r="I446" i="2"/>
  <c r="M425" i="1"/>
  <c r="N425" i="1" s="1"/>
  <c r="I447" i="2"/>
  <c r="M426" i="1"/>
  <c r="N426" i="1" s="1"/>
  <c r="I445" i="2"/>
  <c r="M422" i="1"/>
  <c r="N422" i="1" s="1"/>
  <c r="I443" i="2"/>
  <c r="M424" i="1"/>
  <c r="N424" i="1" s="1"/>
  <c r="I442" i="2"/>
  <c r="M423" i="1"/>
  <c r="N423" i="1" s="1"/>
  <c r="I441" i="2"/>
  <c r="M421" i="1"/>
  <c r="N421" i="1" s="1"/>
  <c r="I439" i="2"/>
  <c r="M419" i="1"/>
  <c r="N419" i="1" s="1"/>
  <c r="I440" i="2"/>
  <c r="M420" i="1"/>
  <c r="N420" i="1" s="1"/>
  <c r="I437" i="2"/>
  <c r="M417" i="1"/>
  <c r="N417" i="1" s="1"/>
  <c r="I438" i="2"/>
  <c r="M418" i="1"/>
  <c r="N418" i="1" s="1"/>
  <c r="I436" i="2"/>
  <c r="M416" i="1"/>
  <c r="N416" i="1" s="1"/>
  <c r="I435" i="2"/>
  <c r="M411" i="1"/>
  <c r="N411" i="1" s="1"/>
  <c r="I434" i="2"/>
  <c r="M415" i="1"/>
  <c r="N415" i="1" s="1"/>
  <c r="I433" i="2"/>
  <c r="M414" i="1"/>
  <c r="N414" i="1" s="1"/>
  <c r="I431" i="2"/>
  <c r="M412" i="1"/>
  <c r="N412" i="1" s="1"/>
  <c r="I432" i="2"/>
  <c r="M413" i="1"/>
  <c r="N413" i="1" s="1"/>
  <c r="I430" i="2"/>
  <c r="M408" i="1"/>
  <c r="N408" i="1" s="1"/>
  <c r="I429" i="2"/>
  <c r="M410" i="1"/>
  <c r="N410" i="1" s="1"/>
  <c r="I427" i="2"/>
  <c r="M406" i="1"/>
  <c r="N406" i="1" s="1"/>
  <c r="I428" i="2"/>
  <c r="M409" i="1"/>
  <c r="N409" i="1" s="1"/>
  <c r="I426" i="2"/>
  <c r="M407" i="1"/>
  <c r="N407" i="1" s="1"/>
  <c r="I425" i="2"/>
  <c r="M405" i="1"/>
  <c r="N405" i="1" s="1"/>
  <c r="I423" i="2"/>
  <c r="M403" i="1"/>
  <c r="N403" i="1" s="1"/>
  <c r="I424" i="2"/>
  <c r="M404" i="1"/>
  <c r="N404" i="1" s="1"/>
  <c r="I421" i="2"/>
  <c r="M401" i="1"/>
  <c r="N401" i="1" s="1"/>
  <c r="M400" i="1"/>
  <c r="N400" i="1" s="1"/>
  <c r="I420" i="2"/>
  <c r="I418" i="2"/>
  <c r="M396" i="1"/>
  <c r="N396" i="1" s="1"/>
  <c r="I419" i="2"/>
  <c r="M399" i="1"/>
  <c r="N399" i="1" s="1"/>
  <c r="I417" i="2"/>
  <c r="M398" i="1"/>
  <c r="N398" i="1" s="1"/>
  <c r="I416" i="2"/>
  <c r="M397" i="1"/>
  <c r="N397" i="1" s="1"/>
  <c r="I414" i="2"/>
  <c r="M393" i="1"/>
  <c r="N393" i="1" s="1"/>
  <c r="I415" i="2"/>
  <c r="M395" i="1"/>
  <c r="N395" i="1" s="1"/>
  <c r="I413" i="2"/>
  <c r="M394" i="1"/>
  <c r="N394" i="1" s="1"/>
  <c r="I412" i="2"/>
  <c r="M392" i="1"/>
  <c r="N392" i="1" s="1"/>
  <c r="I411" i="2"/>
  <c r="M390" i="1"/>
  <c r="N390" i="1" s="1"/>
  <c r="I409" i="2"/>
  <c r="M391" i="1"/>
  <c r="N391" i="1" s="1"/>
  <c r="I410" i="2"/>
  <c r="M387" i="1"/>
  <c r="N387" i="1" s="1"/>
  <c r="I408" i="2"/>
  <c r="M294" i="1"/>
  <c r="N294" i="1" s="1"/>
  <c r="I407" i="2"/>
  <c r="M389" i="1"/>
  <c r="N389" i="1" s="1"/>
  <c r="I406" i="2"/>
  <c r="M388" i="1"/>
  <c r="N388" i="1" s="1"/>
  <c r="I404" i="2"/>
  <c r="M385" i="1"/>
  <c r="N385" i="1" s="1"/>
  <c r="I405" i="2"/>
  <c r="M386" i="1"/>
  <c r="N386" i="1" s="1"/>
  <c r="I403" i="2"/>
  <c r="M384" i="1"/>
  <c r="N384" i="1" s="1"/>
  <c r="I402" i="2"/>
  <c r="M383" i="1"/>
  <c r="N383" i="1" s="1"/>
  <c r="I401" i="2"/>
  <c r="M382" i="1"/>
  <c r="N382" i="1" s="1"/>
  <c r="I399" i="2"/>
  <c r="M380" i="1"/>
  <c r="N380" i="1" s="1"/>
  <c r="I400" i="2"/>
  <c r="M381" i="1"/>
  <c r="N381" i="1" s="1"/>
  <c r="I397" i="2"/>
  <c r="M379" i="1"/>
  <c r="N379" i="1" s="1"/>
  <c r="M234" i="1"/>
  <c r="N234" i="1" s="1"/>
  <c r="I398" i="2"/>
  <c r="I395" i="2"/>
  <c r="M378" i="1"/>
  <c r="N378" i="1" s="1"/>
  <c r="I394" i="2"/>
  <c r="M377" i="1"/>
  <c r="N377" i="1" s="1"/>
  <c r="I393" i="2"/>
  <c r="M374" i="1"/>
  <c r="N374" i="1" s="1"/>
  <c r="I391" i="2"/>
  <c r="M376" i="1"/>
  <c r="N376" i="1" s="1"/>
  <c r="I392" i="2"/>
  <c r="M373" i="1"/>
  <c r="N373" i="1" s="1"/>
  <c r="I389" i="2"/>
  <c r="M375" i="1"/>
  <c r="N375" i="1" s="1"/>
  <c r="I390" i="2"/>
  <c r="M372" i="1"/>
  <c r="N372" i="1" s="1"/>
  <c r="I386" i="2"/>
  <c r="M369" i="1"/>
  <c r="N369" i="1" s="1"/>
  <c r="I387" i="2"/>
  <c r="M293" i="1"/>
  <c r="N293" i="1" s="1"/>
  <c r="I388" i="2"/>
  <c r="M371" i="1"/>
  <c r="N371" i="1" s="1"/>
  <c r="I385" i="2"/>
  <c r="M370" i="1"/>
  <c r="N370" i="1" s="1"/>
  <c r="I384" i="2"/>
  <c r="M367" i="1"/>
  <c r="N367" i="1" s="1"/>
  <c r="I383" i="2"/>
  <c r="M368" i="1"/>
  <c r="N368" i="1" s="1"/>
  <c r="I382" i="2"/>
  <c r="M366" i="1"/>
  <c r="N366" i="1" s="1"/>
  <c r="I379" i="2"/>
  <c r="M363" i="1"/>
  <c r="N363" i="1" s="1"/>
  <c r="I380" i="2"/>
  <c r="M364" i="1"/>
  <c r="N364" i="1" s="1"/>
  <c r="I381" i="2"/>
  <c r="M365" i="1"/>
  <c r="N365" i="1" s="1"/>
  <c r="I378" i="2"/>
  <c r="M353" i="1"/>
  <c r="N353" i="1" s="1"/>
  <c r="I376" i="2"/>
  <c r="M319" i="1"/>
  <c r="N319" i="1" s="1"/>
  <c r="I377" i="2"/>
  <c r="M362" i="1"/>
  <c r="N362" i="1" s="1"/>
  <c r="I374" i="2"/>
  <c r="M361" i="1"/>
  <c r="N361" i="1" s="1"/>
  <c r="I375" i="2"/>
  <c r="M360" i="1"/>
  <c r="N360" i="1" s="1"/>
  <c r="I373" i="2"/>
  <c r="M356" i="1"/>
  <c r="N356" i="1" s="1"/>
  <c r="I372" i="2"/>
  <c r="M359" i="1"/>
  <c r="N359" i="1" s="1"/>
  <c r="I370" i="2"/>
  <c r="M357" i="1"/>
  <c r="N357" i="1" s="1"/>
  <c r="I371" i="2"/>
  <c r="M358" i="1"/>
  <c r="N358" i="1" s="1"/>
  <c r="I368" i="2"/>
  <c r="M355" i="1"/>
  <c r="N355" i="1" s="1"/>
  <c r="I369" i="2"/>
  <c r="M354" i="1"/>
  <c r="N354" i="1" s="1"/>
  <c r="I367" i="2"/>
  <c r="M352" i="1"/>
  <c r="N352" i="1" s="1"/>
  <c r="I366" i="2"/>
  <c r="M346" i="1"/>
  <c r="N346" i="1" s="1"/>
  <c r="I364" i="2"/>
  <c r="M351" i="1"/>
  <c r="N351" i="1" s="1"/>
  <c r="I365" i="2"/>
  <c r="M349" i="1"/>
  <c r="N349" i="1" s="1"/>
  <c r="I363" i="2"/>
  <c r="M350" i="1"/>
  <c r="N350" i="1" s="1"/>
  <c r="I361" i="2"/>
  <c r="M347" i="1"/>
  <c r="N347" i="1" s="1"/>
  <c r="I362" i="2"/>
  <c r="M348" i="1"/>
  <c r="N348" i="1" s="1"/>
  <c r="I359" i="2"/>
  <c r="M341" i="1"/>
  <c r="N341" i="1" s="1"/>
  <c r="I360" i="2"/>
  <c r="M212" i="1"/>
  <c r="N212" i="1" s="1"/>
  <c r="I358" i="2"/>
  <c r="M340" i="1"/>
  <c r="N340" i="1" s="1"/>
  <c r="I356" i="2"/>
  <c r="M345" i="1"/>
  <c r="N345" i="1" s="1"/>
  <c r="I357" i="2"/>
  <c r="M342" i="1"/>
  <c r="N342" i="1" s="1"/>
  <c r="I353" i="2"/>
  <c r="M329" i="1"/>
  <c r="N329" i="1" s="1"/>
  <c r="I354" i="2"/>
  <c r="M344" i="1"/>
  <c r="N344" i="1" s="1"/>
  <c r="I355" i="2"/>
  <c r="M343" i="1"/>
  <c r="N343" i="1" s="1"/>
  <c r="I352" i="2"/>
  <c r="M339" i="1"/>
  <c r="N339" i="1" s="1"/>
  <c r="M332" i="1"/>
  <c r="N332" i="1" s="1"/>
  <c r="I349" i="2"/>
  <c r="I350" i="2"/>
  <c r="M222" i="1"/>
  <c r="N222" i="1" s="1"/>
  <c r="I351" i="2"/>
  <c r="M333" i="1"/>
  <c r="N333" i="1" s="1"/>
  <c r="I347" i="2"/>
  <c r="M338" i="1"/>
  <c r="N338" i="1" s="1"/>
  <c r="I348" i="2"/>
  <c r="M334" i="1"/>
  <c r="N334" i="1" s="1"/>
  <c r="I346" i="2"/>
  <c r="M337" i="1"/>
  <c r="N337" i="1" s="1"/>
  <c r="I345" i="2"/>
  <c r="M336" i="1"/>
  <c r="N336" i="1" s="1"/>
  <c r="I344" i="2"/>
  <c r="M335" i="1"/>
  <c r="N335" i="1" s="1"/>
  <c r="I342" i="2"/>
  <c r="M330" i="1"/>
  <c r="N330" i="1" s="1"/>
  <c r="I343" i="2"/>
  <c r="M331" i="1"/>
  <c r="N331" i="1" s="1"/>
  <c r="I339" i="2"/>
  <c r="M327" i="1"/>
  <c r="N327" i="1" s="1"/>
  <c r="I340" i="2"/>
  <c r="M328" i="1"/>
  <c r="N328" i="1" s="1"/>
  <c r="I341" i="2"/>
  <c r="M285" i="1"/>
  <c r="N285" i="1" s="1"/>
  <c r="I338" i="2"/>
  <c r="M326" i="1"/>
  <c r="N326" i="1" s="1"/>
  <c r="I337" i="2"/>
  <c r="M325" i="1"/>
  <c r="N325" i="1" s="1"/>
  <c r="I335" i="2"/>
  <c r="M324" i="1"/>
  <c r="N324" i="1" s="1"/>
  <c r="I336" i="2"/>
  <c r="M323" i="1"/>
  <c r="N323" i="1" s="1"/>
  <c r="I334" i="2"/>
  <c r="M322" i="1"/>
  <c r="N322" i="1" s="1"/>
  <c r="I332" i="2"/>
  <c r="M320" i="1"/>
  <c r="N320" i="1" s="1"/>
  <c r="I333" i="2"/>
  <c r="M321" i="1"/>
  <c r="N321" i="1" s="1"/>
  <c r="I331" i="2"/>
  <c r="M299" i="1"/>
  <c r="N299" i="1" s="1"/>
  <c r="I330" i="2"/>
  <c r="M230" i="1"/>
  <c r="N230" i="1" s="1"/>
  <c r="I328" i="2"/>
  <c r="M318" i="1"/>
  <c r="N318" i="1" s="1"/>
  <c r="I329" i="2"/>
  <c r="M310" i="1"/>
  <c r="N310" i="1" s="1"/>
  <c r="I327" i="2"/>
  <c r="M317" i="1"/>
  <c r="N317" i="1" s="1"/>
  <c r="I326" i="2"/>
  <c r="M316" i="1"/>
  <c r="N316" i="1" s="1"/>
  <c r="I324" i="2"/>
  <c r="M315" i="1"/>
  <c r="N315" i="1" s="1"/>
  <c r="I325" i="2"/>
  <c r="M313" i="1"/>
  <c r="N313" i="1" s="1"/>
  <c r="I323" i="2"/>
  <c r="M312" i="1"/>
  <c r="N312" i="1" s="1"/>
  <c r="I322" i="2"/>
  <c r="M314" i="1"/>
  <c r="N314" i="1" s="1"/>
  <c r="I321" i="2"/>
  <c r="M311" i="1"/>
  <c r="N311" i="1" s="1"/>
  <c r="I318" i="2"/>
  <c r="M304" i="1"/>
  <c r="N304" i="1" s="1"/>
  <c r="I319" i="2"/>
  <c r="M305" i="1"/>
  <c r="N305" i="1" s="1"/>
  <c r="I320" i="2"/>
  <c r="M303" i="1"/>
  <c r="N303" i="1" s="1"/>
  <c r="I316" i="2"/>
  <c r="M309" i="1"/>
  <c r="N309" i="1" s="1"/>
  <c r="I317" i="2"/>
  <c r="M308" i="1"/>
  <c r="N308" i="1" s="1"/>
  <c r="I314" i="2"/>
  <c r="M307" i="1"/>
  <c r="N307" i="1" s="1"/>
  <c r="I315" i="2"/>
  <c r="M306" i="1"/>
  <c r="N306" i="1" s="1"/>
  <c r="I312" i="2"/>
  <c r="M301" i="1"/>
  <c r="N301" i="1" s="1"/>
  <c r="I313" i="2"/>
  <c r="M302" i="1"/>
  <c r="N302" i="1" s="1"/>
  <c r="I309" i="2"/>
  <c r="M283" i="1"/>
  <c r="N283" i="1" s="1"/>
  <c r="I310" i="2"/>
  <c r="M289" i="1"/>
  <c r="N289" i="1" s="1"/>
  <c r="I311" i="2"/>
  <c r="M297" i="1"/>
  <c r="N297" i="1" s="1"/>
  <c r="I308" i="2"/>
  <c r="M300" i="1"/>
  <c r="N300" i="1" s="1"/>
  <c r="I307" i="2"/>
  <c r="M298" i="1"/>
  <c r="N298" i="1" s="1"/>
  <c r="I306" i="2"/>
  <c r="M296" i="1"/>
  <c r="N296" i="1" s="1"/>
  <c r="I305" i="2"/>
  <c r="M295" i="1"/>
  <c r="N295" i="1" s="1"/>
  <c r="M130" i="1"/>
  <c r="N130" i="1" s="1"/>
  <c r="I303" i="2"/>
  <c r="I304" i="2"/>
  <c r="M282" i="1"/>
  <c r="N282" i="1" s="1"/>
  <c r="I301" i="2"/>
  <c r="M292" i="1"/>
  <c r="N292" i="1" s="1"/>
  <c r="I302" i="2"/>
  <c r="M291" i="1"/>
  <c r="N291" i="1" s="1"/>
  <c r="I299" i="2"/>
  <c r="M290" i="1"/>
  <c r="N290" i="1" s="1"/>
  <c r="I300" i="2"/>
  <c r="M288" i="1"/>
  <c r="N288" i="1" s="1"/>
  <c r="I298" i="2"/>
  <c r="M286" i="1"/>
  <c r="N286" i="1" s="1"/>
  <c r="I297" i="2"/>
  <c r="M287" i="1"/>
  <c r="N287" i="1" s="1"/>
  <c r="I296" i="2"/>
  <c r="M277" i="1"/>
  <c r="N277" i="1" s="1"/>
  <c r="I295" i="2"/>
  <c r="M284" i="1"/>
  <c r="N284" i="1" s="1"/>
  <c r="I293" i="2"/>
  <c r="M279" i="1"/>
  <c r="N279" i="1" s="1"/>
  <c r="I294" i="2"/>
  <c r="M280" i="1"/>
  <c r="N280" i="1" s="1"/>
  <c r="I291" i="2"/>
  <c r="M261" i="1"/>
  <c r="N261" i="1" s="1"/>
  <c r="I292" i="2"/>
  <c r="M281" i="1"/>
  <c r="N281" i="1" s="1"/>
  <c r="I290" i="2"/>
  <c r="M278" i="1"/>
  <c r="N278" i="1" s="1"/>
  <c r="I289" i="2"/>
  <c r="M225" i="1"/>
  <c r="N225" i="1" s="1"/>
  <c r="I288" i="2"/>
  <c r="M273" i="1"/>
  <c r="N273" i="1" s="1"/>
  <c r="I285" i="2"/>
  <c r="M274" i="1"/>
  <c r="N274" i="1" s="1"/>
  <c r="I286" i="2"/>
  <c r="M276" i="1"/>
  <c r="N276" i="1" s="1"/>
  <c r="I287" i="2"/>
  <c r="M275" i="1"/>
  <c r="N275" i="1" s="1"/>
  <c r="I282" i="2"/>
  <c r="M271" i="1"/>
  <c r="N271" i="1" s="1"/>
  <c r="I283" i="2"/>
  <c r="M195" i="1"/>
  <c r="N195" i="1" s="1"/>
  <c r="I284" i="2"/>
  <c r="M272" i="1"/>
  <c r="N272" i="1" s="1"/>
  <c r="I280" i="2"/>
  <c r="M270" i="1"/>
  <c r="N270" i="1" s="1"/>
  <c r="I281" i="2"/>
  <c r="M259" i="1"/>
  <c r="N259" i="1" s="1"/>
  <c r="I278" i="2"/>
  <c r="M269" i="1"/>
  <c r="N269" i="1" s="1"/>
  <c r="I279" i="2"/>
  <c r="M265" i="1"/>
  <c r="N265" i="1" s="1"/>
  <c r="I275" i="2"/>
  <c r="M268" i="1"/>
  <c r="N268" i="1" s="1"/>
  <c r="I274" i="2"/>
  <c r="M267" i="1"/>
  <c r="N267" i="1" s="1"/>
  <c r="I273" i="2"/>
  <c r="M266" i="1"/>
  <c r="N266" i="1" s="1"/>
  <c r="I272" i="2"/>
  <c r="M263" i="1"/>
  <c r="N263" i="1" s="1"/>
  <c r="I270" i="2"/>
  <c r="M262" i="1"/>
  <c r="N262" i="1" s="1"/>
  <c r="I271" i="2"/>
  <c r="M264" i="1"/>
  <c r="N264" i="1" s="1"/>
  <c r="I269" i="2"/>
  <c r="M260" i="1"/>
  <c r="N260" i="1" s="1"/>
  <c r="I266" i="2"/>
  <c r="M256" i="1"/>
  <c r="N256" i="1" s="1"/>
  <c r="I268" i="2"/>
  <c r="M252" i="1"/>
  <c r="N252" i="1" s="1"/>
  <c r="I267" i="2"/>
  <c r="M257" i="1"/>
  <c r="N257" i="1" s="1"/>
  <c r="I265" i="2"/>
  <c r="M258" i="1"/>
  <c r="N258" i="1" s="1"/>
  <c r="I264" i="2"/>
  <c r="M206" i="1"/>
  <c r="N206" i="1" s="1"/>
  <c r="I262" i="2"/>
  <c r="M255" i="1"/>
  <c r="N255" i="1" s="1"/>
  <c r="I261" i="2"/>
  <c r="M253" i="1"/>
  <c r="N253" i="1" s="1"/>
  <c r="I258" i="2"/>
  <c r="M254" i="1"/>
  <c r="N254" i="1" s="1"/>
  <c r="I259" i="2"/>
  <c r="M250" i="1"/>
  <c r="N250" i="1" s="1"/>
  <c r="I260" i="2"/>
  <c r="M251" i="1"/>
  <c r="N251" i="1" s="1"/>
  <c r="I257" i="2"/>
  <c r="M245" i="1"/>
  <c r="N245" i="1" s="1"/>
  <c r="I255" i="2"/>
  <c r="M249" i="1"/>
  <c r="N249" i="1" s="1"/>
  <c r="I253" i="2"/>
  <c r="M246" i="1"/>
  <c r="N246" i="1" s="1"/>
  <c r="I254" i="2"/>
  <c r="M248" i="1"/>
  <c r="N248" i="1" s="1"/>
  <c r="I252" i="2"/>
  <c r="M247" i="1"/>
  <c r="N247" i="1" s="1"/>
  <c r="I250" i="2"/>
  <c r="M244" i="1"/>
  <c r="N244" i="1" s="1"/>
  <c r="I251" i="2"/>
  <c r="M243" i="1"/>
  <c r="N243" i="1" s="1"/>
  <c r="I247" i="2"/>
  <c r="M242" i="1"/>
  <c r="N242" i="1" s="1"/>
  <c r="I248" i="2"/>
  <c r="M187" i="1"/>
  <c r="N187" i="1" s="1"/>
  <c r="I244" i="2"/>
  <c r="M240" i="1"/>
  <c r="N240" i="1" s="1"/>
  <c r="I245" i="2"/>
  <c r="M185" i="1"/>
  <c r="N185" i="1" s="1"/>
  <c r="I246" i="2"/>
  <c r="M241" i="1"/>
  <c r="N241" i="1" s="1"/>
  <c r="I243" i="2"/>
  <c r="M238" i="1"/>
  <c r="N238" i="1" s="1"/>
  <c r="I241" i="2"/>
  <c r="I242" i="2"/>
  <c r="M236" i="1"/>
  <c r="N236" i="1" s="1"/>
  <c r="I240" i="2"/>
  <c r="M237" i="1"/>
  <c r="N237" i="1" s="1"/>
  <c r="M232" i="1"/>
  <c r="N232" i="1" s="1"/>
  <c r="I237" i="2"/>
  <c r="I238" i="2"/>
  <c r="M235" i="1"/>
  <c r="N235" i="1" s="1"/>
  <c r="I239" i="2"/>
  <c r="M233" i="1"/>
  <c r="N233" i="1" s="1"/>
  <c r="I236" i="2"/>
  <c r="M231" i="1"/>
  <c r="N231" i="1" s="1"/>
  <c r="I234" i="2"/>
  <c r="M228" i="1"/>
  <c r="N228" i="1" s="1"/>
  <c r="I235" i="2"/>
  <c r="M229" i="1"/>
  <c r="N229" i="1" s="1"/>
  <c r="I232" i="2"/>
  <c r="M221" i="1"/>
  <c r="N221" i="1" s="1"/>
  <c r="I233" i="2"/>
  <c r="M227" i="1"/>
  <c r="N227" i="1" s="1"/>
  <c r="I228" i="2"/>
  <c r="M224" i="1"/>
  <c r="N224" i="1" s="1"/>
  <c r="I230" i="2"/>
  <c r="M226" i="1"/>
  <c r="N226" i="1" s="1"/>
  <c r="I227" i="2"/>
  <c r="M223" i="1"/>
  <c r="N223" i="1" s="1"/>
  <c r="I226" i="2"/>
  <c r="M193" i="1"/>
  <c r="N193" i="1" s="1"/>
  <c r="I224" i="2"/>
  <c r="M218" i="1"/>
  <c r="N218" i="1" s="1"/>
  <c r="I225" i="2"/>
  <c r="M220" i="1"/>
  <c r="N220" i="1" s="1"/>
  <c r="I222" i="2"/>
  <c r="M217" i="1"/>
  <c r="N217" i="1" s="1"/>
  <c r="I223" i="2"/>
  <c r="M131" i="1"/>
  <c r="N131" i="1" s="1"/>
  <c r="I221" i="2"/>
  <c r="M219" i="1"/>
  <c r="N219" i="1" s="1"/>
  <c r="I218" i="2"/>
  <c r="M214" i="1"/>
  <c r="N214" i="1" s="1"/>
  <c r="I219" i="2"/>
  <c r="M216" i="1"/>
  <c r="N216" i="1" s="1"/>
  <c r="I220" i="2"/>
  <c r="M215" i="1"/>
  <c r="N215" i="1" s="1"/>
  <c r="I215" i="2"/>
  <c r="M211" i="1"/>
  <c r="N211" i="1" s="1"/>
  <c r="I216" i="2"/>
  <c r="M213" i="1"/>
  <c r="N213" i="1" s="1"/>
  <c r="I217" i="2"/>
  <c r="M209" i="1"/>
  <c r="N209" i="1" s="1"/>
  <c r="I214" i="2"/>
  <c r="M210" i="1"/>
  <c r="N210" i="1" s="1"/>
  <c r="I213" i="2"/>
  <c r="M208" i="1"/>
  <c r="N208" i="1" s="1"/>
  <c r="I212" i="2"/>
  <c r="M207" i="1"/>
  <c r="N207" i="1" s="1"/>
  <c r="I210" i="2"/>
  <c r="M204" i="1"/>
  <c r="N204" i="1" s="1"/>
  <c r="I211" i="2"/>
  <c r="M205" i="1"/>
  <c r="N205" i="1" s="1"/>
  <c r="I209" i="2"/>
  <c r="M201" i="1"/>
  <c r="N201" i="1" s="1"/>
  <c r="I208" i="2"/>
  <c r="M203" i="1"/>
  <c r="N203" i="1" s="1"/>
  <c r="I206" i="2"/>
  <c r="M202" i="1"/>
  <c r="N202" i="1" s="1"/>
  <c r="I203" i="2"/>
  <c r="M198" i="1"/>
  <c r="N198" i="1" s="1"/>
  <c r="I204" i="2"/>
  <c r="M200" i="1"/>
  <c r="N200" i="1" s="1"/>
  <c r="I205" i="2"/>
  <c r="M199" i="1"/>
  <c r="N199" i="1" s="1"/>
  <c r="I202" i="2"/>
  <c r="M197" i="1"/>
  <c r="N197" i="1" s="1"/>
  <c r="I199" i="2"/>
  <c r="M194" i="1"/>
  <c r="N194" i="1" s="1"/>
  <c r="I200" i="2"/>
  <c r="M196" i="1"/>
  <c r="N196" i="1" s="1"/>
  <c r="I197" i="2"/>
  <c r="M191" i="1"/>
  <c r="N191" i="1" s="1"/>
  <c r="I198" i="2"/>
  <c r="M192" i="1"/>
  <c r="N192" i="1" s="1"/>
  <c r="I195" i="2"/>
  <c r="M190" i="1"/>
  <c r="N190" i="1" s="1"/>
  <c r="I196" i="2"/>
  <c r="M189" i="1"/>
  <c r="N189" i="1" s="1"/>
  <c r="I194" i="2"/>
  <c r="M188" i="1"/>
  <c r="N188" i="1" s="1"/>
  <c r="I193" i="2"/>
  <c r="M186" i="1"/>
  <c r="N186" i="1" s="1"/>
  <c r="I191" i="2"/>
  <c r="M179" i="1"/>
  <c r="N179" i="1" s="1"/>
  <c r="I192" i="2"/>
  <c r="M184" i="1"/>
  <c r="N184" i="1" s="1"/>
  <c r="I189" i="2"/>
  <c r="M183" i="1"/>
  <c r="N183" i="1" s="1"/>
  <c r="I190" i="2"/>
  <c r="M182" i="1"/>
  <c r="N182" i="1" s="1"/>
  <c r="I186" i="2"/>
  <c r="M180" i="1"/>
  <c r="N180" i="1" s="1"/>
  <c r="I187" i="2"/>
  <c r="M181" i="1"/>
  <c r="N181" i="1" s="1"/>
  <c r="I188" i="2"/>
  <c r="M162" i="1"/>
  <c r="N162" i="1" s="1"/>
  <c r="M114" i="1"/>
  <c r="N114" i="1" s="1"/>
  <c r="I184" i="2"/>
  <c r="I181" i="2"/>
  <c r="M178" i="1"/>
  <c r="N178" i="1" s="1"/>
  <c r="I179" i="2"/>
  <c r="M157" i="1"/>
  <c r="N157" i="1" s="1"/>
  <c r="I180" i="2"/>
  <c r="M174" i="1"/>
  <c r="N174" i="1" s="1"/>
  <c r="I178" i="2"/>
  <c r="M177" i="1"/>
  <c r="N177" i="1" s="1"/>
  <c r="I177" i="2"/>
  <c r="M176" i="1"/>
  <c r="N176" i="1" s="1"/>
  <c r="I175" i="2"/>
  <c r="M173" i="1"/>
  <c r="N173" i="1" s="1"/>
  <c r="I176" i="2"/>
  <c r="M175" i="1"/>
  <c r="N175" i="1" s="1"/>
  <c r="I172" i="2"/>
  <c r="M148" i="1"/>
  <c r="N148" i="1" s="1"/>
  <c r="I173" i="2"/>
  <c r="M172" i="1"/>
  <c r="N172" i="1" s="1"/>
  <c r="M116" i="1"/>
  <c r="N116" i="1" s="1"/>
  <c r="M171" i="1"/>
  <c r="N171" i="1" s="1"/>
  <c r="M170" i="1"/>
  <c r="N170" i="1" s="1"/>
  <c r="M168" i="1"/>
  <c r="N168" i="1" s="1"/>
  <c r="M169" i="1"/>
  <c r="N169" i="1" s="1"/>
  <c r="M164" i="1"/>
  <c r="N164" i="1" s="1"/>
  <c r="M167" i="1"/>
  <c r="N167" i="1" s="1"/>
  <c r="M159" i="1"/>
  <c r="N159" i="1" s="1"/>
  <c r="M165" i="1"/>
  <c r="N165" i="1" s="1"/>
  <c r="M166" i="1"/>
  <c r="N166" i="1" s="1"/>
  <c r="M160" i="1"/>
  <c r="N160" i="1" s="1"/>
  <c r="M163" i="1"/>
  <c r="N163" i="1" s="1"/>
  <c r="M161" i="1"/>
  <c r="N161" i="1" s="1"/>
  <c r="M145" i="1"/>
  <c r="N145" i="1" s="1"/>
  <c r="M158" i="1"/>
  <c r="N158" i="1" s="1"/>
  <c r="M154" i="1"/>
  <c r="N154" i="1" s="1"/>
  <c r="M156" i="1"/>
  <c r="N156" i="1" s="1"/>
  <c r="M155" i="1"/>
  <c r="N155" i="1" s="1"/>
  <c r="M144" i="1"/>
  <c r="N144" i="1" s="1"/>
  <c r="M153" i="1"/>
  <c r="N153" i="1" s="1"/>
  <c r="M152" i="1"/>
  <c r="N152" i="1" s="1"/>
  <c r="M151" i="1"/>
  <c r="N151" i="1" s="1"/>
  <c r="M107" i="1"/>
  <c r="N107" i="1" s="1"/>
  <c r="M133" i="1"/>
  <c r="N133" i="1" s="1"/>
  <c r="M150" i="1"/>
  <c r="N150" i="1" s="1"/>
  <c r="M149" i="1"/>
  <c r="N149" i="1" s="1"/>
  <c r="M137" i="1"/>
  <c r="N137" i="1" s="1"/>
  <c r="M147" i="1"/>
  <c r="N147" i="1" s="1"/>
  <c r="M146" i="1"/>
  <c r="N146" i="1" s="1"/>
  <c r="M142" i="1"/>
  <c r="N142" i="1" s="1"/>
  <c r="M118" i="1"/>
  <c r="N118" i="1" s="1"/>
  <c r="M143" i="1"/>
  <c r="N143" i="1" s="1"/>
  <c r="M141" i="1"/>
  <c r="N141" i="1" s="1"/>
  <c r="M140" i="1"/>
  <c r="N140" i="1" s="1"/>
  <c r="M139" i="1"/>
  <c r="N139" i="1" s="1"/>
  <c r="M134" i="1"/>
  <c r="N134" i="1" s="1"/>
  <c r="M132" i="1"/>
  <c r="N132" i="1" s="1"/>
  <c r="M111" i="1"/>
  <c r="N111" i="1" s="1"/>
  <c r="M138" i="1"/>
  <c r="N138" i="1" s="1"/>
  <c r="M136" i="1"/>
  <c r="N136" i="1" s="1"/>
  <c r="M135" i="1"/>
  <c r="N135" i="1" s="1"/>
  <c r="M104" i="1"/>
  <c r="N104" i="1" s="1"/>
  <c r="M128" i="1"/>
  <c r="N128" i="1" s="1"/>
  <c r="M129" i="1"/>
  <c r="N129" i="1" s="1"/>
  <c r="M126" i="1"/>
  <c r="N126" i="1" s="1"/>
  <c r="M125" i="1"/>
  <c r="N125" i="1" s="1"/>
  <c r="M127" i="1"/>
  <c r="N127" i="1" s="1"/>
  <c r="M124" i="1"/>
  <c r="N124" i="1" s="1"/>
  <c r="M103" i="1"/>
  <c r="N103" i="1" s="1"/>
  <c r="M123" i="1"/>
  <c r="N123" i="1" s="1"/>
  <c r="M122" i="1"/>
  <c r="N122" i="1" s="1"/>
  <c r="M121" i="1"/>
  <c r="N121" i="1" s="1"/>
  <c r="M105" i="1"/>
  <c r="N105" i="1" s="1"/>
  <c r="M120" i="1"/>
  <c r="N120" i="1" s="1"/>
  <c r="M119" i="1"/>
  <c r="N119" i="1" s="1"/>
  <c r="M117" i="1"/>
  <c r="N117" i="1" s="1"/>
  <c r="M113" i="1"/>
  <c r="M112" i="1"/>
  <c r="N112" i="1" s="1"/>
  <c r="M115" i="1"/>
  <c r="N115" i="1" s="1"/>
  <c r="M108" i="1"/>
  <c r="N108" i="1" s="1"/>
  <c r="M110" i="1"/>
  <c r="N110" i="1" s="1"/>
  <c r="M106" i="1"/>
  <c r="N106" i="1" s="1"/>
  <c r="M109" i="1"/>
  <c r="N109" i="1" s="1"/>
  <c r="M102" i="1"/>
  <c r="N102" i="1" s="1"/>
  <c r="M101" i="1"/>
  <c r="N101" i="1" s="1"/>
  <c r="M96" i="1"/>
  <c r="N96" i="1" s="1"/>
  <c r="M100" i="1"/>
  <c r="N100" i="1" s="1"/>
  <c r="M99" i="1"/>
  <c r="N99" i="1" s="1"/>
  <c r="M98" i="1"/>
  <c r="N98" i="1" s="1"/>
  <c r="M97" i="1"/>
  <c r="N97" i="1" s="1"/>
  <c r="M95" i="1"/>
  <c r="N95" i="1" s="1"/>
  <c r="M94" i="1"/>
  <c r="N94" i="1" s="1"/>
  <c r="N113" i="1" l="1"/>
  <c r="F3" i="4" s="1"/>
  <c r="D3" i="4"/>
  <c r="C3" i="4"/>
  <c r="E3" i="4" s="1"/>
  <c r="H3" i="4"/>
  <c r="B2" i="4"/>
  <c r="A2" i="2"/>
  <c r="G3" i="4" l="1"/>
  <c r="I3" i="4"/>
  <c r="M75" i="1"/>
  <c r="N75" i="1" s="1"/>
  <c r="M89" i="1"/>
  <c r="N89" i="1" s="1"/>
  <c r="M91" i="1"/>
  <c r="N91" i="1" s="1"/>
  <c r="M90" i="1"/>
  <c r="N90" i="1" s="1"/>
  <c r="M93" i="1"/>
  <c r="N93" i="1" s="1"/>
  <c r="M72" i="1"/>
  <c r="N72" i="1" s="1"/>
  <c r="M80" i="1"/>
  <c r="N80" i="1" s="1"/>
  <c r="M47" i="1"/>
  <c r="N47" i="1" s="1"/>
  <c r="M3" i="1"/>
  <c r="M87" i="1"/>
  <c r="N87" i="1" s="1"/>
  <c r="M66" i="1"/>
  <c r="N66" i="1" s="1"/>
  <c r="M40" i="1"/>
  <c r="N40" i="1" s="1"/>
  <c r="M38" i="1"/>
  <c r="N38" i="1" s="1"/>
  <c r="M17" i="1"/>
  <c r="M12" i="1"/>
  <c r="N12" i="1" s="1"/>
  <c r="M11" i="1"/>
  <c r="N11" i="1" s="1"/>
  <c r="M65" i="1"/>
  <c r="N65" i="1" s="1"/>
  <c r="M36" i="1"/>
  <c r="N36" i="1" s="1"/>
  <c r="M2" i="1"/>
  <c r="N2" i="1" s="1"/>
  <c r="M70" i="1"/>
  <c r="M56" i="1"/>
  <c r="N56" i="1" s="1"/>
  <c r="M50" i="1"/>
  <c r="N50" i="1" s="1"/>
  <c r="M49" i="1"/>
  <c r="N49" i="1" s="1"/>
  <c r="M14" i="1"/>
  <c r="N14" i="1" s="1"/>
  <c r="M44" i="1"/>
  <c r="N44" i="1" s="1"/>
  <c r="M18" i="1"/>
  <c r="M28" i="1"/>
  <c r="N28" i="1" s="1"/>
  <c r="M51" i="1"/>
  <c r="N51" i="1" s="1"/>
  <c r="M61" i="1"/>
  <c r="N61" i="1" s="1"/>
  <c r="M86" i="1"/>
  <c r="N86" i="1" s="1"/>
  <c r="M84" i="1"/>
  <c r="N84" i="1" s="1"/>
  <c r="M48" i="1"/>
  <c r="N48" i="1" s="1"/>
  <c r="M20" i="1"/>
  <c r="N20" i="1" s="1"/>
  <c r="M23" i="1"/>
  <c r="N23" i="1" s="1"/>
  <c r="M25" i="1"/>
  <c r="N25" i="1" s="1"/>
  <c r="M21" i="1"/>
  <c r="N21" i="1" s="1"/>
  <c r="M10" i="1"/>
  <c r="N10" i="1" s="1"/>
  <c r="M7" i="1"/>
  <c r="M26" i="1"/>
  <c r="N26" i="1" s="1"/>
  <c r="M62" i="1"/>
  <c r="N62" i="1" s="1"/>
  <c r="M54" i="1"/>
  <c r="N54" i="1" s="1"/>
  <c r="M46" i="1"/>
  <c r="N46" i="1" s="1"/>
  <c r="M9" i="1"/>
  <c r="N9" i="1" s="1"/>
  <c r="M35" i="1"/>
  <c r="N35" i="1" s="1"/>
  <c r="M30" i="1"/>
  <c r="N30" i="1" s="1"/>
  <c r="M71" i="1"/>
  <c r="N71" i="1" s="1"/>
  <c r="M31" i="1"/>
  <c r="M43" i="1"/>
  <c r="N43" i="1" s="1"/>
  <c r="M39" i="1"/>
  <c r="N39" i="1" s="1"/>
  <c r="M92" i="1"/>
  <c r="N92" i="1" s="1"/>
  <c r="M85" i="1"/>
  <c r="N85" i="1" s="1"/>
  <c r="M41" i="1"/>
  <c r="N41" i="1" s="1"/>
  <c r="M63" i="1"/>
  <c r="N63" i="1" s="1"/>
  <c r="M16" i="1"/>
  <c r="N16" i="1" s="1"/>
  <c r="M27" i="1"/>
  <c r="N27" i="1" s="1"/>
  <c r="M4" i="1"/>
  <c r="M8" i="1"/>
  <c r="N8" i="1" s="1"/>
  <c r="M37" i="1"/>
  <c r="N37" i="1" s="1"/>
  <c r="M5" i="1"/>
  <c r="N5" i="1" s="1"/>
  <c r="M64" i="1"/>
  <c r="N64" i="1" s="1"/>
  <c r="M58" i="1"/>
  <c r="N58" i="1" s="1"/>
  <c r="M42" i="1"/>
  <c r="N42" i="1" s="1"/>
  <c r="M52" i="1"/>
  <c r="N52" i="1" s="1"/>
  <c r="M34" i="1"/>
  <c r="N34" i="1" s="1"/>
  <c r="M33" i="1"/>
  <c r="N33" i="1" s="1"/>
  <c r="M13" i="1"/>
  <c r="N13" i="1" s="1"/>
  <c r="M24" i="1"/>
  <c r="N24" i="1" s="1"/>
  <c r="M82" i="1"/>
  <c r="N82" i="1" s="1"/>
  <c r="M67" i="1"/>
  <c r="N67" i="1" s="1"/>
  <c r="M53" i="1"/>
  <c r="N53" i="1" s="1"/>
  <c r="M76" i="1"/>
  <c r="N76" i="1" s="1"/>
  <c r="M45" i="1"/>
  <c r="N45" i="1" s="1"/>
  <c r="M29" i="1"/>
  <c r="N29" i="1" s="1"/>
  <c r="M19" i="1"/>
  <c r="M88" i="1"/>
  <c r="N88" i="1" s="1"/>
  <c r="M81" i="1"/>
  <c r="N81" i="1" s="1"/>
  <c r="M73" i="1"/>
  <c r="N73" i="1" s="1"/>
  <c r="M68" i="1"/>
  <c r="N68" i="1" s="1"/>
  <c r="M69" i="1"/>
  <c r="N69" i="1" s="1"/>
  <c r="M6" i="1"/>
  <c r="N6" i="1" s="1"/>
  <c r="M22" i="1"/>
  <c r="N22" i="1" s="1"/>
  <c r="M79" i="1"/>
  <c r="N79" i="1" s="1"/>
  <c r="M78" i="1"/>
  <c r="N78" i="1" s="1"/>
  <c r="M55" i="1"/>
  <c r="N55" i="1" s="1"/>
  <c r="M74" i="1"/>
  <c r="N74" i="1" s="1"/>
  <c r="M32" i="1"/>
  <c r="N32" i="1" s="1"/>
  <c r="M83" i="1"/>
  <c r="N83" i="1" s="1"/>
  <c r="M60" i="1"/>
  <c r="N60" i="1" s="1"/>
  <c r="M57" i="1"/>
  <c r="N57" i="1" s="1"/>
  <c r="M15" i="1"/>
  <c r="N15" i="1" s="1"/>
  <c r="M59" i="1"/>
  <c r="N59" i="1" s="1"/>
  <c r="M77" i="1"/>
  <c r="N70" i="1" l="1"/>
  <c r="F7" i="4" s="1"/>
  <c r="D7" i="4"/>
  <c r="C7" i="4"/>
  <c r="E7" i="4" s="1"/>
  <c r="H7" i="4"/>
  <c r="N17" i="1"/>
  <c r="F11" i="4" s="1"/>
  <c r="D11" i="4"/>
  <c r="H11" i="4"/>
  <c r="C11" i="4"/>
  <c r="E11" i="4" s="1"/>
  <c r="N3" i="1"/>
  <c r="F9" i="4" s="1"/>
  <c r="D9" i="4"/>
  <c r="C9" i="4"/>
  <c r="E9" i="4" s="1"/>
  <c r="H9" i="4"/>
  <c r="D5" i="4"/>
  <c r="H5" i="4"/>
  <c r="N7" i="1"/>
  <c r="F5" i="4" s="1"/>
  <c r="C5" i="4"/>
  <c r="E5" i="4" s="1"/>
  <c r="N31" i="1"/>
  <c r="F4" i="4" s="1"/>
  <c r="D4" i="4"/>
  <c r="C4" i="4"/>
  <c r="E4" i="4" s="1"/>
  <c r="H4" i="4"/>
  <c r="N77" i="1"/>
  <c r="F6" i="4" s="1"/>
  <c r="D6" i="4"/>
  <c r="C6" i="4"/>
  <c r="E6" i="4" s="1"/>
  <c r="H6" i="4"/>
  <c r="N19" i="1"/>
  <c r="F12" i="4" s="1"/>
  <c r="C12" i="4"/>
  <c r="E12" i="4" s="1"/>
  <c r="D12" i="4"/>
  <c r="H12" i="4"/>
  <c r="N18" i="1"/>
  <c r="F8" i="4" s="1"/>
  <c r="C8" i="4"/>
  <c r="E8" i="4" s="1"/>
  <c r="H8" i="4"/>
  <c r="D8" i="4"/>
  <c r="N4" i="1"/>
  <c r="F2" i="4" s="1"/>
  <c r="C2" i="4"/>
  <c r="E2" i="4" s="1"/>
  <c r="D2" i="4"/>
  <c r="H2" i="4"/>
  <c r="F10" i="4"/>
  <c r="B2" i="6"/>
  <c r="I7" i="4" l="1"/>
  <c r="G7" i="4"/>
  <c r="B4" i="6"/>
  <c r="B5" i="6"/>
  <c r="G4" i="4"/>
  <c r="I4" i="4"/>
  <c r="I5" i="4"/>
  <c r="G5" i="4"/>
  <c r="G2" i="4"/>
  <c r="I2" i="4"/>
  <c r="G8" i="4"/>
  <c r="I8" i="4"/>
  <c r="G12" i="4"/>
  <c r="I12" i="4"/>
  <c r="G9" i="4"/>
  <c r="I9" i="4"/>
  <c r="G6" i="4"/>
  <c r="I6" i="4"/>
  <c r="I11" i="4"/>
  <c r="G11" i="4"/>
  <c r="I10" i="4"/>
  <c r="B12" i="6"/>
  <c r="B6" i="6"/>
  <c r="B11" i="6"/>
  <c r="B10" i="6"/>
  <c r="B9" i="6"/>
  <c r="B3" i="6"/>
  <c r="C10" i="4"/>
  <c r="E10" i="4" s="1"/>
  <c r="D10" i="4"/>
  <c r="H10" i="4"/>
  <c r="G10" i="4" l="1"/>
</calcChain>
</file>

<file path=xl/sharedStrings.xml><?xml version="1.0" encoding="utf-8"?>
<sst xmlns="http://schemas.openxmlformats.org/spreadsheetml/2006/main" count="2816" uniqueCount="679">
  <si>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</si>
  <si>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</si>
  <si>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</si>
  <si>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</si>
  <si>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</si>
  <si>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</si>
  <si>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</si>
  <si>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</si>
  <si>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</si>
  <si>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</si>
  <si>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</si>
  <si>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</si>
  <si>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</si>
  <si>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</si>
  <si>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</si>
  <si>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</si>
  <si>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</si>
  <si>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</si>
  <si>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</si>
  <si>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</si>
  <si>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</si>
  <si>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</si>
  <si>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</si>
  <si>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</si>
  <si>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</si>
  <si>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</si>
  <si>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</si>
  <si>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</si>
  <si>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</si>
  <si>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</si>
  <si>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Action</t>
  </si>
  <si>
    <t>Status</t>
  </si>
  <si>
    <t>Shares Closed</t>
  </si>
  <si>
    <t>Date Opened</t>
  </si>
  <si>
    <t>Direction</t>
  </si>
  <si>
    <t>Entry Price</t>
  </si>
  <si>
    <t>Position Size (shares)</t>
  </si>
  <si>
    <t>Planned R Target</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</si>
  <si>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</si>
  <si>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</si>
  <si>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</si>
  <si>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</si>
  <si>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</si>
  <si>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</si>
  <si>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</si>
  <si>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</si>
  <si>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</si>
  <si>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</si>
  <si>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</si>
  <si>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</si>
  <si>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</si>
  <si>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</si>
  <si>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</si>
  <si>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</si>
  <si>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</si>
  <si>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</si>
  <si>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</si>
  <si>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</si>
  <si>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</si>
  <si>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</si>
  <si>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</si>
  <si>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</si>
  <si>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</si>
  <si>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</si>
  <si>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</si>
  <si>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</si>
  <si>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</si>
  <si>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</si>
  <si>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</si>
  <si>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</si>
  <si>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</si>
  <si>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</si>
  <si>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</si>
  <si>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</si>
  <si>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</si>
  <si>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</si>
  <si>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</si>
  <si>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</si>
  <si>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</si>
  <si>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</si>
  <si>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</si>
  <si>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</si>
  <si>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</si>
  <si>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</si>
  <si>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</si>
  <si>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</si>
  <si>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</si>
  <si>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</si>
  <si>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</si>
  <si>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</si>
  <si>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</si>
  <si>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</si>
  <si>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</si>
  <si>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</si>
  <si>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</si>
  <si>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</si>
  <si>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</si>
  <si>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</si>
  <si>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</si>
  <si>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</si>
  <si>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</si>
  <si>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</si>
  <si>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</si>
  <si>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</si>
  <si>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</si>
  <si>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</si>
  <si>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</si>
  <si>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</si>
  <si>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</si>
  <si>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</si>
  <si>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</si>
  <si>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</si>
  <si>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</si>
  <si>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</si>
  <si>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</si>
  <si>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</si>
  <si>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</si>
  <si>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</si>
  <si>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</si>
  <si>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</si>
  <si>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</si>
  <si>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</si>
  <si>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</si>
  <si>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</si>
  <si>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</si>
  <si>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</si>
  <si>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</si>
  <si>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</si>
  <si>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</si>
  <si>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</si>
  <si>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</si>
  <si>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</si>
  <si>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</si>
  <si>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</si>
  <si>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</si>
  <si>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</si>
  <si>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</si>
  <si>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</si>
  <si>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</si>
  <si>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</si>
  <si>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</si>
  <si>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</si>
  <si>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</si>
  <si>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</si>
  <si>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</si>
  <si>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</si>
  <si>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</si>
  <si>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</si>
  <si>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</si>
  <si>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</si>
  <si>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</si>
  <si>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</si>
  <si>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</si>
  <si>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</si>
  <si>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</si>
  <si>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</si>
  <si>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</si>
  <si>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</si>
  <si>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</si>
  <si>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</si>
  <si>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</si>
  <si>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</si>
  <si>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</si>
  <si>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</si>
  <si>
    <t>NVDA</t>
  </si>
  <si>
    <t>T-043</t>
  </si>
  <si>
    <t>T-044</t>
  </si>
  <si>
    <t>SCHD</t>
  </si>
  <si>
    <t>T-021</t>
  </si>
  <si>
    <t>APLD</t>
  </si>
  <si>
    <t>T-045</t>
  </si>
  <si>
    <t>T-039</t>
  </si>
  <si>
    <t>T-048</t>
  </si>
  <si>
    <t>PLTR</t>
  </si>
  <si>
    <t>GILD</t>
  </si>
  <si>
    <t>T-054</t>
  </si>
  <si>
    <t>T-027</t>
  </si>
  <si>
    <t>CELH</t>
  </si>
  <si>
    <t>T-056</t>
  </si>
  <si>
    <t>SNOW</t>
  </si>
  <si>
    <t>T-058</t>
  </si>
  <si>
    <t>PATH</t>
  </si>
  <si>
    <t>T-057</t>
  </si>
  <si>
    <t>T-031</t>
  </si>
  <si>
    <t>T-033</t>
  </si>
  <si>
    <t>T-053</t>
  </si>
  <si>
    <t>AMZN</t>
  </si>
  <si>
    <t>CLX</t>
  </si>
  <si>
    <t>T-059</t>
  </si>
  <si>
    <t>T-060</t>
  </si>
  <si>
    <t>T-061</t>
  </si>
  <si>
    <t>T-049</t>
  </si>
  <si>
    <t>T-047</t>
  </si>
  <si>
    <t>MRVL</t>
  </si>
  <si>
    <t>T-055</t>
  </si>
  <si>
    <t>T-062</t>
  </si>
  <si>
    <t>T-063</t>
  </si>
  <si>
    <t>MDT</t>
  </si>
  <si>
    <t>KO</t>
  </si>
  <si>
    <t>T-064</t>
  </si>
  <si>
    <t>Realized P&amp;L</t>
  </si>
  <si>
    <t>Realized R</t>
  </si>
  <si>
    <t>SOUN</t>
  </si>
  <si>
    <t>T-065</t>
  </si>
  <si>
    <t>T-070</t>
  </si>
  <si>
    <t>T-068</t>
  </si>
  <si>
    <t>AMPY</t>
  </si>
  <si>
    <t>SMCI</t>
  </si>
  <si>
    <t>T-073</t>
  </si>
  <si>
    <t>T-051</t>
  </si>
  <si>
    <t>CADL</t>
  </si>
  <si>
    <t>RCAT</t>
  </si>
  <si>
    <t>T-072</t>
  </si>
  <si>
    <t>QS</t>
  </si>
  <si>
    <t>T-066</t>
  </si>
  <si>
    <t>T-052</t>
  </si>
  <si>
    <t>T-075</t>
  </si>
  <si>
    <t>T-076</t>
  </si>
  <si>
    <t>T-077</t>
  </si>
  <si>
    <t>T-067</t>
  </si>
  <si>
    <t>T-078</t>
  </si>
  <si>
    <t>T-040</t>
  </si>
  <si>
    <t>T-069</t>
  </si>
  <si>
    <t>NRDS</t>
  </si>
  <si>
    <t>T-050</t>
  </si>
  <si>
    <t>QCOM</t>
  </si>
  <si>
    <t>T-085</t>
  </si>
  <si>
    <t>T-086</t>
  </si>
  <si>
    <t>T-083</t>
  </si>
  <si>
    <t>T-087</t>
  </si>
  <si>
    <t>T-082</t>
  </si>
  <si>
    <t>T-036</t>
  </si>
  <si>
    <t>T-080</t>
  </si>
  <si>
    <t>MSFT</t>
  </si>
  <si>
    <t>ASTS</t>
  </si>
  <si>
    <t>SANM</t>
  </si>
  <si>
    <t>T-090</t>
  </si>
  <si>
    <t>T-091</t>
  </si>
  <si>
    <t>T-081</t>
  </si>
  <si>
    <t>SEI</t>
  </si>
  <si>
    <t>T-092</t>
  </si>
  <si>
    <t>T-093</t>
  </si>
  <si>
    <t>KOPN</t>
  </si>
  <si>
    <t>V</t>
  </si>
  <si>
    <t>T-094</t>
  </si>
  <si>
    <t>STX</t>
  </si>
  <si>
    <t>T-096</t>
  </si>
  <si>
    <t>T-097</t>
  </si>
  <si>
    <t>T-098</t>
  </si>
  <si>
    <t>T-099</t>
  </si>
  <si>
    <t>T-089</t>
  </si>
  <si>
    <t>T-095</t>
  </si>
  <si>
    <t>T-100</t>
  </si>
  <si>
    <t>T-101</t>
  </si>
  <si>
    <t>FSLY</t>
  </si>
  <si>
    <t>AAPL</t>
  </si>
  <si>
    <t>EL</t>
  </si>
  <si>
    <t>T-105</t>
  </si>
  <si>
    <t>T-108</t>
  </si>
  <si>
    <t>T-107</t>
  </si>
  <si>
    <t>T-109</t>
  </si>
  <si>
    <t>ABTC</t>
  </si>
  <si>
    <t>ASM</t>
  </si>
  <si>
    <t>T-111</t>
  </si>
  <si>
    <t>EBAY</t>
  </si>
  <si>
    <t>T-115</t>
  </si>
  <si>
    <t>T-112</t>
  </si>
  <si>
    <t>T-046</t>
  </si>
  <si>
    <t>T-088</t>
  </si>
  <si>
    <t>ASAN</t>
  </si>
  <si>
    <t>T-116</t>
  </si>
  <si>
    <t>AMAT</t>
  </si>
  <si>
    <t>T-118</t>
  </si>
  <si>
    <t>T-119</t>
  </si>
  <si>
    <t>T-120</t>
  </si>
  <si>
    <t>T-104</t>
  </si>
  <si>
    <t>T-121</t>
  </si>
  <si>
    <t>T-102</t>
  </si>
  <si>
    <t>T-122</t>
  </si>
  <si>
    <t>MU</t>
  </si>
  <si>
    <t>T-123</t>
  </si>
  <si>
    <t>T-124</t>
  </si>
  <si>
    <t>T-125</t>
  </si>
  <si>
    <t>T-126</t>
  </si>
  <si>
    <t>T-127</t>
  </si>
  <si>
    <t>T-128</t>
  </si>
  <si>
    <t>T-071</t>
  </si>
  <si>
    <t>RKT</t>
  </si>
  <si>
    <t>T-079</t>
  </si>
  <si>
    <t>T-103</t>
  </si>
  <si>
    <t>NET</t>
  </si>
  <si>
    <t>T-134</t>
  </si>
  <si>
    <t>T-135</t>
  </si>
  <si>
    <t>T-137</t>
  </si>
  <si>
    <t>ORCL</t>
  </si>
  <si>
    <t>T-110</t>
  </si>
  <si>
    <t>T-131</t>
  </si>
  <si>
    <t>T-133</t>
  </si>
  <si>
    <t>T-138</t>
  </si>
  <si>
    <t>T-139</t>
  </si>
  <si>
    <t>DDOG</t>
  </si>
  <si>
    <t>T-140</t>
  </si>
  <si>
    <t>MARA</t>
  </si>
  <si>
    <t>CTMX</t>
  </si>
  <si>
    <t>T-141</t>
  </si>
  <si>
    <t>T-117</t>
  </si>
  <si>
    <t>T-142</t>
  </si>
  <si>
    <t>T-145</t>
  </si>
  <si>
    <t>T-136</t>
  </si>
  <si>
    <t>T-146</t>
  </si>
  <si>
    <t>T-148</t>
  </si>
  <si>
    <t>T-149</t>
  </si>
  <si>
    <t>T-150</t>
  </si>
  <si>
    <t>T-106</t>
  </si>
  <si>
    <t>T-132</t>
  </si>
  <si>
    <t>T-151</t>
  </si>
  <si>
    <t>T-152</t>
  </si>
  <si>
    <t>MRNA</t>
  </si>
  <si>
    <t>T-143</t>
  </si>
  <si>
    <t>T-154</t>
  </si>
  <si>
    <t>T-155</t>
  </si>
  <si>
    <t>T-153</t>
  </si>
  <si>
    <t>T-157</t>
  </si>
  <si>
    <t>VIPS</t>
  </si>
  <si>
    <t>T-144</t>
  </si>
  <si>
    <t>ZBRA</t>
  </si>
  <si>
    <t>CSCO</t>
  </si>
  <si>
    <t>RTX</t>
  </si>
  <si>
    <t>QUBT</t>
  </si>
  <si>
    <t>T-160</t>
  </si>
  <si>
    <t>T-162</t>
  </si>
  <si>
    <t>T-159</t>
  </si>
  <si>
    <t>T-164</t>
  </si>
  <si>
    <t>T-165</t>
  </si>
  <si>
    <t>T-166</t>
  </si>
  <si>
    <t>T-163</t>
  </si>
  <si>
    <t>T-158</t>
  </si>
  <si>
    <t>T-084</t>
  </si>
  <si>
    <t>T-168</t>
  </si>
  <si>
    <t>T-169</t>
  </si>
  <si>
    <t>T-167</t>
  </si>
  <si>
    <t>TXN</t>
  </si>
  <si>
    <t>T-170</t>
  </si>
  <si>
    <t>T-147</t>
  </si>
  <si>
    <t>T-171</t>
  </si>
  <si>
    <t>Initial Risk $</t>
  </si>
  <si>
    <t>T-172</t>
  </si>
  <si>
    <t>T-174</t>
  </si>
  <si>
    <t>ON</t>
  </si>
  <si>
    <t>T-175</t>
  </si>
  <si>
    <t>T-176</t>
  </si>
  <si>
    <t>T-156</t>
  </si>
  <si>
    <t>T-173</t>
  </si>
  <si>
    <t>T-177</t>
  </si>
  <si>
    <t>T-114</t>
  </si>
  <si>
    <t>T-113</t>
  </si>
  <si>
    <t>T-179</t>
  </si>
  <si>
    <t>T-180</t>
  </si>
  <si>
    <t>T-161</t>
  </si>
  <si>
    <t>NFLX</t>
  </si>
  <si>
    <t>T-182</t>
  </si>
  <si>
    <t>T-181</t>
  </si>
  <si>
    <t>T-178</t>
  </si>
  <si>
    <t>T-183</t>
  </si>
  <si>
    <t>T-185</t>
  </si>
  <si>
    <t>T-187</t>
  </si>
  <si>
    <t>T-189</t>
  </si>
  <si>
    <t>T-188</t>
  </si>
  <si>
    <t>T-190</t>
  </si>
  <si>
    <t>T-191</t>
  </si>
  <si>
    <t>GTLB</t>
  </si>
  <si>
    <t>T-193</t>
  </si>
  <si>
    <t>T-195</t>
  </si>
  <si>
    <t>T-196</t>
  </si>
  <si>
    <t>T-197</t>
  </si>
  <si>
    <t>T-199</t>
  </si>
  <si>
    <t>T-198</t>
  </si>
  <si>
    <t>T-201</t>
  </si>
  <si>
    <t>T-202</t>
  </si>
  <si>
    <t>T-203</t>
  </si>
  <si>
    <t>T-200</t>
  </si>
  <si>
    <t>T-204</t>
  </si>
  <si>
    <t>T-206</t>
  </si>
  <si>
    <t>CRWD</t>
  </si>
  <si>
    <t>T-207</t>
  </si>
  <si>
    <t>NIO</t>
  </si>
  <si>
    <t>T-209</t>
  </si>
  <si>
    <t>AVGO</t>
  </si>
  <si>
    <t>T-210</t>
  </si>
  <si>
    <t>T-212</t>
  </si>
  <si>
    <t>T-208</t>
  </si>
  <si>
    <t>T-213</t>
  </si>
  <si>
    <t>T-215</t>
  </si>
  <si>
    <t>T-214</t>
  </si>
  <si>
    <t>T-218</t>
  </si>
  <si>
    <t>T-216</t>
  </si>
  <si>
    <t>T-130</t>
  </si>
  <si>
    <t>T-217</t>
  </si>
  <si>
    <t>T-219</t>
  </si>
  <si>
    <t>HPQ</t>
  </si>
  <si>
    <t>T-192</t>
  </si>
  <si>
    <t>VUZI</t>
  </si>
  <si>
    <t>BB</t>
  </si>
  <si>
    <t>T-223</t>
  </si>
  <si>
    <t>T-222</t>
  </si>
  <si>
    <t>T-225</t>
  </si>
  <si>
    <t>T-220</t>
  </si>
  <si>
    <t>T-226</t>
  </si>
  <si>
    <t>T-227</t>
  </si>
  <si>
    <t>T-228</t>
  </si>
  <si>
    <t>SMTC</t>
  </si>
  <si>
    <t>NCPL</t>
  </si>
  <si>
    <t>T-230</t>
  </si>
  <si>
    <t>T-231</t>
  </si>
  <si>
    <t>T-234</t>
  </si>
  <si>
    <t>T-232</t>
  </si>
  <si>
    <t>T-236</t>
  </si>
  <si>
    <t>APP</t>
  </si>
  <si>
    <t>T-238</t>
  </si>
  <si>
    <t>T-235</t>
  </si>
  <si>
    <t>T-237</t>
  </si>
  <si>
    <t>T-239</t>
  </si>
  <si>
    <t>T-184</t>
  </si>
  <si>
    <t>T-240</t>
  </si>
  <si>
    <t>T-241</t>
  </si>
  <si>
    <t>T-186</t>
  </si>
  <si>
    <t>T-242</t>
  </si>
  <si>
    <t>T-243</t>
  </si>
  <si>
    <t>DELL</t>
  </si>
  <si>
    <t>T-246</t>
  </si>
  <si>
    <t>T-245</t>
  </si>
  <si>
    <t>T-247</t>
  </si>
  <si>
    <t>T-248</t>
  </si>
  <si>
    <t>T-244</t>
  </si>
  <si>
    <t>T-253</t>
  </si>
  <si>
    <t>T-249</t>
  </si>
  <si>
    <t>T-250</t>
  </si>
  <si>
    <t>T-252</t>
  </si>
  <si>
    <t>T-254</t>
  </si>
  <si>
    <t>T-205</t>
  </si>
  <si>
    <t>T-257</t>
  </si>
  <si>
    <t>T-255</t>
  </si>
  <si>
    <t>T-256</t>
  </si>
  <si>
    <t>T-251</t>
  </si>
  <si>
    <t>T-259</t>
  </si>
  <si>
    <t>HPE</t>
  </si>
  <si>
    <t>T-261</t>
  </si>
  <si>
    <t>T-263</t>
  </si>
  <si>
    <t>T-262</t>
  </si>
  <si>
    <t>T-265</t>
  </si>
  <si>
    <t>T-266</t>
  </si>
  <si>
    <t>T-267</t>
  </si>
  <si>
    <t>T-268</t>
  </si>
  <si>
    <t>T-264</t>
  </si>
  <si>
    <t>T-269</t>
  </si>
  <si>
    <t>T-258</t>
  </si>
  <si>
    <t>T-270</t>
  </si>
  <si>
    <t>T-194</t>
  </si>
  <si>
    <t>T-271</t>
  </si>
  <si>
    <t>T-273</t>
  </si>
  <si>
    <t>T-275</t>
  </si>
  <si>
    <t>T-274</t>
  </si>
  <si>
    <t>RIOT</t>
  </si>
  <si>
    <t>T-272</t>
  </si>
  <si>
    <t>T-224</t>
  </si>
  <si>
    <t>T-277</t>
  </si>
  <si>
    <t>T-260</t>
  </si>
  <si>
    <t>T-280</t>
  </si>
  <si>
    <t>T-278</t>
  </si>
  <si>
    <t>T-279</t>
  </si>
  <si>
    <t>T-283</t>
  </si>
  <si>
    <t>T-276</t>
  </si>
  <si>
    <t>UNH</t>
  </si>
  <si>
    <t>T-286</t>
  </si>
  <si>
    <t>ABBV</t>
  </si>
  <si>
    <t>T-285</t>
  </si>
  <si>
    <t>T-289</t>
  </si>
  <si>
    <t>T-287</t>
  </si>
  <si>
    <t>T-291</t>
  </si>
  <si>
    <t>T-290</t>
  </si>
  <si>
    <t>BUSE</t>
  </si>
  <si>
    <t>T-129</t>
  </si>
  <si>
    <t>T-281</t>
  </si>
  <si>
    <t>T-294</t>
  </si>
  <si>
    <t>T-295</t>
  </si>
  <si>
    <t>T-297</t>
  </si>
  <si>
    <t>TSLA</t>
  </si>
  <si>
    <t>T-299</t>
  </si>
  <si>
    <t>T-282</t>
  </si>
  <si>
    <t>T-288</t>
  </si>
  <si>
    <t>T-296</t>
  </si>
  <si>
    <t>ABAT</t>
  </si>
  <si>
    <t>T-300</t>
  </si>
  <si>
    <t>T-301</t>
  </si>
  <si>
    <t>META</t>
  </si>
  <si>
    <t>HUM</t>
  </si>
  <si>
    <t>T-306</t>
  </si>
  <si>
    <t>T-305</t>
  </si>
  <si>
    <t>T-308</t>
  </si>
  <si>
    <t>T-307</t>
  </si>
  <si>
    <t>T-303</t>
  </si>
  <si>
    <t>T-304</t>
  </si>
  <si>
    <t>T-302</t>
  </si>
  <si>
    <t>T-310</t>
  </si>
  <si>
    <t>T-313</t>
  </si>
  <si>
    <t>T-311</t>
  </si>
  <si>
    <t>T-314</t>
  </si>
  <si>
    <t>T-312</t>
  </si>
  <si>
    <t>T-315</t>
  </si>
  <si>
    <t>T-316</t>
  </si>
  <si>
    <t>T-317</t>
  </si>
  <si>
    <t>T-309</t>
  </si>
  <si>
    <t>DKNG</t>
  </si>
  <si>
    <t>T-229</t>
  </si>
  <si>
    <t>T-298</t>
  </si>
  <si>
    <t>T-319</t>
  </si>
  <si>
    <t>T-320</t>
  </si>
  <si>
    <t>T-321</t>
  </si>
  <si>
    <t>T-323</t>
  </si>
  <si>
    <t>T-322</t>
  </si>
  <si>
    <t>T-324</t>
  </si>
  <si>
    <t>T-325</t>
  </si>
  <si>
    <t>ANET</t>
  </si>
  <si>
    <t>T-326</t>
  </si>
  <si>
    <t>T-327</t>
  </si>
  <si>
    <t>T-284</t>
  </si>
  <si>
    <t>POET</t>
  </si>
  <si>
    <t>T-329</t>
  </si>
  <si>
    <t>T-330</t>
  </si>
  <si>
    <t>UPS</t>
  </si>
  <si>
    <t>T-334</t>
  </si>
  <si>
    <t>T-335</t>
  </si>
  <si>
    <t>T-336</t>
  </si>
  <si>
    <t>SPCX</t>
  </si>
  <si>
    <t>T-337</t>
  </si>
  <si>
    <t>T-333</t>
  </si>
  <si>
    <t>T-331</t>
  </si>
  <si>
    <t>T-221</t>
  </si>
  <si>
    <t>T-332</t>
  </si>
  <si>
    <t>MA</t>
  </si>
  <si>
    <t>T-338</t>
  </si>
  <si>
    <t>T-328</t>
  </si>
  <si>
    <t>T-343</t>
  </si>
  <si>
    <t>T-342</t>
  </si>
  <si>
    <t>T-344</t>
  </si>
  <si>
    <t>T-341</t>
  </si>
  <si>
    <t>T-339</t>
  </si>
  <si>
    <t>Expected 3R</t>
  </si>
  <si>
    <t>T-340</t>
  </si>
  <si>
    <t>T-211</t>
  </si>
  <si>
    <t>AFRM</t>
  </si>
  <si>
    <t>T-346</t>
  </si>
  <si>
    <t>T-347</t>
  </si>
  <si>
    <t>T-349</t>
  </si>
  <si>
    <t>WDC</t>
  </si>
  <si>
    <t>T-350</t>
  </si>
  <si>
    <t>T-348</t>
  </si>
  <si>
    <t>UBER</t>
  </si>
  <si>
    <t>T-345</t>
  </si>
  <si>
    <t>T-351</t>
  </si>
  <si>
    <t>D</t>
  </si>
  <si>
    <t>ABNB</t>
  </si>
  <si>
    <t>T-354</t>
  </si>
  <si>
    <t>T-353</t>
  </si>
  <si>
    <t>PTRN</t>
  </si>
  <si>
    <t>T-356</t>
  </si>
  <si>
    <t>T-357</t>
  </si>
  <si>
    <t>WFC</t>
  </si>
  <si>
    <t>T-358</t>
  </si>
  <si>
    <t>T-355</t>
  </si>
  <si>
    <t>DOW</t>
  </si>
  <si>
    <t>T-360</t>
  </si>
  <si>
    <t>T-359</t>
  </si>
  <si>
    <t>T-318</t>
  </si>
  <si>
    <t>T-361</t>
  </si>
  <si>
    <t>T-352</t>
  </si>
  <si>
    <t>SOFI</t>
  </si>
  <si>
    <t>T-362</t>
  </si>
  <si>
    <t>T-363</t>
  </si>
  <si>
    <t>T-364</t>
  </si>
  <si>
    <t>T-365</t>
  </si>
  <si>
    <t>T-367</t>
  </si>
  <si>
    <t>DIS</t>
  </si>
  <si>
    <t>T-366</t>
  </si>
  <si>
    <t>T-369</t>
  </si>
  <si>
    <t>T-368</t>
  </si>
  <si>
    <t>T-292</t>
  </si>
  <si>
    <t>T-370</t>
  </si>
  <si>
    <t>HOOD</t>
  </si>
  <si>
    <t>HIMS</t>
  </si>
  <si>
    <t>T-374</t>
  </si>
  <si>
    <t>T-371</t>
  </si>
  <si>
    <t>T-375</t>
  </si>
  <si>
    <t>T-372</t>
  </si>
  <si>
    <t>T-373</t>
  </si>
  <si>
    <t>T-376</t>
  </si>
  <si>
    <t>T-377</t>
  </si>
  <si>
    <t>T-378</t>
  </si>
  <si>
    <t>T-233</t>
  </si>
  <si>
    <t>T-379</t>
  </si>
  <si>
    <t>T-380</t>
  </si>
  <si>
    <t>INFQ</t>
  </si>
  <si>
    <t>T-381</t>
  </si>
  <si>
    <t>QUBTS</t>
  </si>
  <si>
    <t>T-382</t>
  </si>
  <si>
    <t>T-383</t>
  </si>
  <si>
    <t>2026-06-23</t>
  </si>
  <si>
    <t>T-384</t>
  </si>
  <si>
    <t>T-385</t>
  </si>
  <si>
    <t>RCL</t>
  </si>
  <si>
    <t>T-387</t>
  </si>
  <si>
    <t>T-388</t>
  </si>
  <si>
    <t>ACGL</t>
  </si>
  <si>
    <t>T-293</t>
  </si>
  <si>
    <t>T-390</t>
  </si>
  <si>
    <t>T-386</t>
  </si>
  <si>
    <t>Expected 2R</t>
  </si>
  <si>
    <t>Expected 1R</t>
  </si>
  <si>
    <t>T-389</t>
  </si>
  <si>
    <t>T-391</t>
  </si>
  <si>
    <t>MRK</t>
  </si>
  <si>
    <t>T-393</t>
  </si>
  <si>
    <t>T-392</t>
  </si>
  <si>
    <t>T-394</t>
  </si>
  <si>
    <t>T-396</t>
  </si>
  <si>
    <t>T-397</t>
  </si>
  <si>
    <t>T-395</t>
  </si>
  <si>
    <t>T-398</t>
  </si>
  <si>
    <t>WEN</t>
  </si>
  <si>
    <t>T-400</t>
  </si>
  <si>
    <t>T-401</t>
  </si>
  <si>
    <t>KHC</t>
  </si>
  <si>
    <t>NEE</t>
  </si>
  <si>
    <t>T-399</t>
  </si>
  <si>
    <t>T-402</t>
  </si>
  <si>
    <t>T-403</t>
  </si>
  <si>
    <t>Open</t>
  </si>
  <si>
    <t>T-404</t>
  </si>
  <si>
    <t>CNC</t>
  </si>
  <si>
    <t>T-406</t>
  </si>
  <si>
    <t>T-405</t>
  </si>
  <si>
    <t>T-408</t>
  </si>
  <si>
    <t>T-409</t>
  </si>
  <si>
    <t>T-407</t>
  </si>
  <si>
    <t>T-411</t>
  </si>
  <si>
    <t>T-412</t>
  </si>
  <si>
    <t>T-413</t>
  </si>
  <si>
    <t>T-414</t>
  </si>
  <si>
    <t>T-410</t>
  </si>
  <si>
    <t>T-415</t>
  </si>
  <si>
    <t>T-416</t>
  </si>
  <si>
    <t>T-417</t>
  </si>
  <si>
    <t>CNP</t>
  </si>
  <si>
    <t>T-418</t>
  </si>
  <si>
    <t>T-419</t>
  </si>
  <si>
    <t>T-420</t>
  </si>
  <si>
    <t>T-422</t>
  </si>
  <si>
    <t>T-423</t>
  </si>
  <si>
    <t>T-421</t>
  </si>
  <si>
    <t>T-424</t>
  </si>
  <si>
    <t>T-425</t>
  </si>
  <si>
    <t>T-427</t>
  </si>
  <si>
    <t>T-429</t>
  </si>
  <si>
    <t>T-426</t>
  </si>
  <si>
    <t>T-430</t>
  </si>
  <si>
    <t>T-428</t>
  </si>
  <si>
    <t>T-432</t>
  </si>
  <si>
    <t>T-431</t>
  </si>
  <si>
    <t>T-433</t>
  </si>
  <si>
    <t>BABA</t>
  </si>
  <si>
    <t>T-437</t>
  </si>
  <si>
    <t>T-435</t>
  </si>
  <si>
    <t>T-436</t>
  </si>
  <si>
    <t>T-438</t>
  </si>
  <si>
    <t>T-439</t>
  </si>
  <si>
    <t>T-441</t>
  </si>
  <si>
    <t>T-434</t>
  </si>
  <si>
    <t>T-442</t>
  </si>
  <si>
    <t>T-440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</si>
</sst>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applyAlignment="1">
      <alignment wrapText="1"/>
    </xf>
    <xf numFmtId="49" fontId="0" fillId="0" borderId="0" xfId="0" applyNumberFormat="1"/>
    <xf numFmtId="0" fontId="0" fillId="0" borderId="0" xfId="0" applyNumberFormat="1"/>
    <xf numFmtId="14" fontId="0" fillId="0" borderId="0" xfId="0" applyNumberFormat="1" applyAlignment="1">
      <alignment horizontal="center" vertical="center" wrapText="1"/>
    </xf>
    <xf numFmtId="0" fontId="0" fillId="0" borderId="0" xfId="0" applyAlignment="1">
      <alignment horizontal="center" vertical="center" wrapText="1"/>
    </xf>
  </cellXfs>
  <cellStyles count="1">
    <cellStyle name="Normal" xfId="0" builtinId="0"/>
  </cellStyles>
  <dxfs count="10">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numFmt numFmtId="19" formatCode="yyyy/mm/dd"/>
    </dxf>
    <dxf>
      <numFmt numFmtId="0" formatCode="General"/>
    </dxf>
    <dxf>
      <numFmt numFmtId="0" formatCode="General"/>
    </dxf>
    <dxf>
      <numFmt numFmtId="0" formatCode="General"/>
    </dxf>
    <dxf>
      <numFmt numFmtId="19" formatCode="yyyy/mm/dd"/>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 rate per Setup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Setups!$C$1</c:f>
              <c:strCache>
                <c:ptCount val="1"/>
                <c:pt idx="0">
                  <c:v>Wins</c:v>
                </c:pt>
              </c:strCache>
            </c:strRef>
          </c:tx>
          <c:spPr>
            <a:solidFill>
              <a:schemeClr val="accent6"/>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Setups!$C$2:$C$13</c:f>
              <c:numCache>
                <c:formatCode>General</c:formatCode>
                <c:ptCount val="12"/>
                <c:pt idx="0">
                  <c:v>2</c:v>
                </c:pt>
                <c:pt idx="1">
                  <c:v>6</c:v>
                </c:pt>
                <c:pt idx="2">
                  <c:v>0</c:v>
                </c:pt>
                <c:pt idx="3">
                  <c:v>2</c:v>
                </c:pt>
                <c:pt idx="4">
                  <c:v>9</c:v>
                </c:pt>
                <c:pt idx="5">
                  <c:v>1</c:v>
                </c:pt>
                <c:pt idx="6">
                  <c:v>0</c:v>
                </c:pt>
                <c:pt idx="7">
                  <c:v>81</c:v>
                </c:pt>
                <c:pt idx="8">
                  <c:v>2</c:v>
                </c:pt>
                <c:pt idx="9">
                  <c:v>0</c:v>
                </c:pt>
                <c:pt idx="10">
                  <c:v>38</c:v>
                </c:pt>
                <c:pt idx="11">
                  <c:v>0</c:v>
                </c:pt>
              </c:numCache>
            </c:numRef>
          </c:val>
          <c:extLst>
            <c:ext xmlns:c16="http://schemas.microsoft.com/office/drawing/2014/chart" uri="{C3380CC4-5D6E-409C-BE32-E72D297353CC}">
              <c16:uniqueId val="{00000000-1AA2-499B-B6D5-B194BF182F60}"/>
            </c:ext>
          </c:extLst>
        </c:ser>
        <c:ser>
          <c:idx val="1"/>
          <c:order val="1"/>
          <c:tx>
            <c:strRef>
              <c:f>Setups!$D$1</c:f>
              <c:strCache>
                <c:ptCount val="1"/>
                <c:pt idx="0">
                  <c:v>Losses</c:v>
                </c:pt>
              </c:strCache>
            </c:strRef>
          </c:tx>
          <c:spPr>
            <a:solidFill>
              <a:srgbClr val="FF0000"/>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Setups!$D$2:$D$13</c:f>
              <c:numCache>
                <c:formatCode>General</c:formatCode>
                <c:ptCount val="12"/>
                <c:pt idx="0">
                  <c:v>1</c:v>
                </c:pt>
                <c:pt idx="1">
                  <c:v>16</c:v>
                </c:pt>
                <c:pt idx="2">
                  <c:v>1</c:v>
                </c:pt>
                <c:pt idx="3">
                  <c:v>5</c:v>
                </c:pt>
                <c:pt idx="4">
                  <c:v>24</c:v>
                </c:pt>
                <c:pt idx="5">
                  <c:v>0</c:v>
                </c:pt>
                <c:pt idx="6">
                  <c:v>1</c:v>
                </c:pt>
                <c:pt idx="7">
                  <c:v>147</c:v>
                </c:pt>
                <c:pt idx="8">
                  <c:v>23</c:v>
                </c:pt>
                <c:pt idx="9">
                  <c:v>1</c:v>
                </c:pt>
                <c:pt idx="10">
                  <c:v>80</c:v>
                </c:pt>
                <c:pt idx="11">
                  <c:v>0</c:v>
                </c:pt>
              </c:numCache>
            </c:numRef>
          </c:val>
          <c:extLst>
            <c:ext xmlns:c16="http://schemas.microsoft.com/office/drawing/2014/chart" uri="{C3380CC4-5D6E-409C-BE32-E72D297353CC}">
              <c16:uniqueId val="{00000001-1AA2-499B-B6D5-B194BF182F60}"/>
            </c:ext>
          </c:extLst>
        </c:ser>
        <c:dLbls>
          <c:showLegendKey val="0"/>
          <c:showVal val="0"/>
          <c:showCatName val="0"/>
          <c:showSerName val="0"/>
          <c:showPercent val="0"/>
          <c:showBubbleSize val="0"/>
        </c:dLbls>
        <c:gapWidth val="150"/>
        <c:overlap val="100"/>
        <c:axId val="1360188448"/>
        <c:axId val="1360189888"/>
      </c:barChart>
      <c:catAx>
        <c:axId val="1360188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9888"/>
        <c:crosses val="autoZero"/>
        <c:auto val="1"/>
        <c:lblAlgn val="ctr"/>
        <c:lblOffset val="100"/>
        <c:noMultiLvlLbl val="0"/>
      </c:catAx>
      <c:valAx>
        <c:axId val="1360189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585787</xdr:colOff>
      <xdr:row>1</xdr:row>
      <xdr:rowOff>128587</xdr:rowOff>
    </xdr:from>
    <xdr:to>
      <xdr:col>15</xdr:col>
      <xdr:colOff>585787</xdr:colOff>
      <xdr:row>16</xdr:row>
      <xdr:rowOff>14287</xdr:rowOff>
    </xdr:to>
    <xdr:graphicFrame macro="">
      <xdr:nvGraphicFramePr>
        <xdr:cNvPr id="5" name="Gráfico 4">
          <a:extLst>
            <a:ext uri="{FF2B5EF4-FFF2-40B4-BE49-F238E27FC236}">
              <a16:creationId xmlns:a16="http://schemas.microsoft.com/office/drawing/2014/main" id="{968D663B-8E6D-6D98-D426-F42A7E5D4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A7E9B0-7565-4742-9A5E-71D2E4B37E95}" name="Tabla1" displayName="Tabla1" ref="A1:Q443" totalsRowShown="0" headerRowDxfId="9">
  <autoFilter ref="A1:Q443" xr:uid="{ADA7E9B0-7565-4742-9A5E-71D2E4B37E95}">
    <filterColumn colId="11">
      <filters>
        <filter val="Open"/>
      </filters>
    </filterColumn>
  </autoFilter>
  <tableColumns count="17">
    <tableColumn id="1" xr3:uid="{6608E607-1563-4A82-B525-062E4D7DD7A8}" name="2026-06-23">
      <calculatedColumnFormula>"T-"&amp; TEXT(ROW()-1,"000")</calculatedColumnFormula>
    </tableColumn>
    <tableColumn id="2" xr3:uid="{6163C608-8DD6-4A1B-A684-B4DA771B2C60}" name="Date Opened" dataDxfId="8"/>
    <tableColumn id="3" xr3:uid="{7F4194FA-33A3-4374-9CB7-B6FF131DD27B}" name="Ticker"/>
    <tableColumn id="4" xr3:uid="{B6182498-0A2A-443D-B55E-42D05473051C}" name="Direction"/>
    <tableColumn id="5" xr3:uid="{795499B2-2C6C-4C9C-86B2-E520AE179236}" name="Setup"/>
    <tableColumn id="6" xr3:uid="{09922F01-37FF-431E-8E79-8E5834773B0E}" name="Entry Price"/>
    <tableColumn id="7" xr3:uid="{86FC0D21-3231-4F15-9CC6-947D96741DAE}" name="Initial Stop"/>
    <tableColumn id="8" xr3:uid="{45AE07AB-6CF7-4133-BB71-A7B499CECBEC}" name="Position Size (shares)"/>
    <tableColumn id="9" xr3:uid="{9C3D57FA-C40F-41C1-AC20-F06688C2A1B0}" name="Initial Risk $">
      <calculatedColumnFormula>IF(D2="Long",(F2-G2)*H2,(G2-F2)*0)</calculatedColumnFormula>
    </tableColumn>
    <tableColumn id="10" xr3:uid="{F9704BF7-68C8-4C9B-8BD6-4F1928AED6FA}" name="Planned R Target"/>
    <tableColumn id="11" xr3:uid="{FA1B85A9-6973-4E82-85D4-FE80223DB682}" name="Planned Profit Target">
      <calculatedColumnFormula>I2*J2</calculatedColumnFormula>
    </tableColumn>
    <tableColumn id="12" xr3:uid="{CCEF2DF0-C470-4B20-B432-11DEFC42B31E}" name="Status"/>
    <tableColumn id="13" xr3:uid="{C9447846-C8E3-48A9-B9E9-7992EA82DF12}" name="Realized P&amp;L">
      <calculatedColumnFormula>SUMIF(Executions!B:B,A2,Executions!H:H)</calculatedColumnFormula>
    </tableColumn>
    <tableColumn id="14" xr3:uid="{4E3C4426-0EC4-466D-A2C8-90CF3B54F9AE}" name="Realized R">
      <calculatedColumnFormula>M2/I2</calculatedColumnFormula>
    </tableColumn>
    <tableColumn id="15" xr3:uid="{518CCC39-99E2-446E-9AD3-3C331814D407}" name="Expected 1R" dataDxfId="7">
      <calculatedColumnFormula>Tabla1[[#This Row],[Initial Risk $]]/Tabla1[[#This Row],[Position Size (shares)]]+Tabla1[[#This Row],[Entry Price]]</calculatedColumnFormula>
    </tableColumn>
    <tableColumn id="17" xr3:uid="{B2CA1E7B-807E-4235-ABD5-F27E844B5113}" name="Expected 2R" dataDxfId="6">
      <calculatedColumnFormula>Tabla1[[#This Row],[Initial Risk $]]/Tabla1[[#This Row],[Position Size (shares)]]*2+Tabla1[[#This Row],[Entry Price]]</calculatedColumnFormula>
    </tableColumn>
    <tableColumn id="16" xr3:uid="{A0175B51-0EBB-4027-ACE2-3206EDB4CC05}" name="Expected 3R" dataDxfId="5">
      <calculatedColumnFormula>Tabla1[[#This Row],[Initial Risk $]]/Tabla1[[#This Row],[Position Size (shares)]]*3+Tabla1[[#This Row],[Entry Price]]</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F1F87E-CDE0-4894-9814-45ABA92CE84F}" name="Tabla2" displayName="Tabla2" ref="A1:I466" totalsRowShown="0">
  <autoFilter ref="A1:I466" xr:uid="{6FF1F87E-CDE0-4894-9814-45ABA92CE84F}"/>
  <tableColumns count="9">
    <tableColumn id="1" xr3:uid="{4538A226-7755-4CF0-8776-94B5DF70B905}" name="Exec_ID">
      <calculatedColumnFormula>ROW()-1</calculatedColumnFormula>
    </tableColumn>
    <tableColumn id="2" xr3:uid="{EABBF888-B2F0-43A2-93A8-D87F9E1EC28E}" name="Trade_ID"/>
    <tableColumn id="3" xr3:uid="{92DDDB05-17D3-47D1-9C25-64159CF23266}" name="Date" dataDxfId="4"/>
    <tableColumn id="4" xr3:uid="{3F23841D-B926-4102-B7FB-3E3B4B325829}" name="Ticker">
      <calculatedColumnFormula>VLOOKUP(B2,Trades!A$1:M100361,3,FALSE)</calculatedColumnFormula>
    </tableColumn>
    <tableColumn id="5" xr3:uid="{A4348B84-44CD-4794-BB64-1E4096042975}" name="Action"/>
    <tableColumn id="6" xr3:uid="{C0658E8F-C40A-4E3D-9E94-90C36A2676B4}" name="Execution Price"/>
    <tableColumn id="7" xr3:uid="{EB8F0820-A920-4098-A494-BF774236E207}" name="Shares Closed"/>
    <tableColumn id="8" xr3:uid="{296DCF8B-E970-4610-93A3-B6995BF4E668}" name="P&amp;L">
      <calculatedColumnFormula>IF(VLOOKUP(B2,Trades!A:M,4,FALSE)="Long",(F2-VLOOKUP(B2,Trades!A:M,6,FALSE))*G2,(VLOOKUP(B2,Trades!A:M,6,FALSE)-F2)*G2)</calculatedColumnFormula>
    </tableColumn>
    <tableColumn id="9" xr3:uid="{50B9AE5E-A0ED-4FBA-B960-02E94D5C1E1A}" name="R Contribution">
      <calculatedColumnFormula>H2/VLOOKUP(B2,Trades!A$1:$M$100361,9,FALSE)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Q443"/>
  <sheetViews>
    <sheetView zoomScale="110" zoomScaleNormal="110" workbookViewId="0">
      <pane ySplit="1" topLeftCell="A415" activePane="bottomLeft" state="frozen"/>
      <selection pane="bottomLeft" activeCell="C441" sqref="C441"/>
    </sheetView>
  </sheetViews>
  <sheetFormatPr baseColWidth="10" defaultRowHeight="15" x14ac:dyDescent="0.25"/>
  <cols>
    <col min="2" max="2" width="12.140625" customWidth="1"/>
    <col min="3" max="3" width="10.140625" customWidth="1"/>
    <col min="5" max="5" width="18" bestFit="1" customWidth="1"/>
    <col min="6" max="6" width="12" customWidth="1"/>
    <col min="7" max="7" width="12.140625" customWidth="1"/>
    <col min="8" max="8" width="16.85546875" customWidth="1"/>
    <col min="9" max="9" width="10.28515625" customWidth="1"/>
    <col min="10" max="10" width="9.140625" customWidth="1"/>
    <col min="11" max="11" width="13.140625" customWidth="1"/>
    <col min="12" max="12" width="9.28515625" customWidth="1"/>
    <col min="13" max="13" width="10.42578125" customWidth="1"/>
    <col min="14" max="14" width="9.85546875" customWidth="1"/>
    <col min="15" max="15" width="11.42578125" customWidth="1"/>
  </cols>
  <sheetData>
    <row r="1" spans="1:17" s="6" customFormat="1" ht="30" x14ac:dyDescent="0.25">
      <c r="A1" s="5" t="s">
        <v>606</v>
      </c>
      <c r="B1" s="6" t="s">
        <v>33</v>
      </c>
      <c r="C1" s="6" t="s">
        <v>2</v>
      </c>
      <c r="D1" s="6" t="s">
        <v>34</v>
      </c>
      <c r="E1" s="6" t="s">
        <v>3</v>
      </c>
      <c r="F1" s="6" t="s">
        <v>35</v>
      </c>
      <c r="G1" s="6" t="s">
        <v>4</v>
      </c>
      <c r="H1" s="6" t="s">
        <v>36</v>
      </c>
      <c r="I1" s="6" t="s">
        <v>345</v>
      </c>
      <c r="J1" s="6" t="s">
        <v>37</v>
      </c>
      <c r="K1" s="6" t="s">
        <v>103</v>
      </c>
      <c r="L1" s="6" t="s">
        <v>31</v>
      </c>
      <c r="M1" s="6" t="s">
        <v>200</v>
      </c>
      <c r="N1" s="6" t="s">
        <v>201</v>
      </c>
      <c r="O1" s="6" t="s">
        <v>617</v>
      </c>
      <c r="P1" s="6" t="s">
        <v>616</v>
      </c>
      <c r="Q1" s="6" t="s">
        <v>547</v>
      </c>
    </row>
    <row r="2" spans="1:17" hidden="1" x14ac:dyDescent="0.25">
      <c r="A2" t="str">
        <f t="shared" ref="A2:A81" si="0">"T-"&amp; TEXT(ROW()-1,"000")</f>
        <v>T-001</v>
      </c>
      <c r="B2" s="1">
        <v>46072</v>
      </c>
      <c r="C2" t="s">
        <v>59</v>
      </c>
      <c r="D2" t="s">
        <v>28</v>
      </c>
      <c r="E2" t="s">
        <v>60</v>
      </c>
      <c r="F2">
        <v>11.11</v>
      </c>
      <c r="G2">
        <v>9.81</v>
      </c>
      <c r="H2">
        <v>18</v>
      </c>
      <c r="I2">
        <f t="shared" ref="I2:I16" si="1">IF(D2="Long",(F2-G2)*H2,(G2-F2)*0)</f>
        <v>23.399999999999981</v>
      </c>
      <c r="J2">
        <v>2</v>
      </c>
      <c r="K2">
        <f t="shared" ref="K2:K65" si="2">I2*J2</f>
        <v>46.799999999999962</v>
      </c>
      <c r="L2" t="s">
        <v>72</v>
      </c>
      <c r="M2">
        <f>SUMIF(Executions!B:B,A2,Executions!H:H)</f>
        <v>-23.399999999999981</v>
      </c>
      <c r="N2">
        <f t="shared" ref="N2:N65" si="3">M2/I2</f>
        <v>-1</v>
      </c>
      <c r="O2">
        <f>Tabla1[[#This Row],[Initial Risk $]]/Tabla1[[#This Row],[Position Size (shares)]]+Tabla1[[#This Row],[Entry Price]]</f>
        <v>12.409999999999998</v>
      </c>
      <c r="P2">
        <f>Tabla1[[#This Row],[Initial Risk $]]/Tabla1[[#This Row],[Position Size (shares)]]*2+Tabla1[[#This Row],[Entry Price]]</f>
        <v>13.709999999999997</v>
      </c>
      <c r="Q2">
        <f>Tabla1[[#This Row],[Initial Risk $]]/Tabla1[[#This Row],[Position Size (shares)]]*3+Tabla1[[#This Row],[Entry Price]]</f>
        <v>15.009999999999996</v>
      </c>
    </row>
    <row r="3" spans="1:17" hidden="1" x14ac:dyDescent="0.25">
      <c r="A3" t="str">
        <f t="shared" si="0"/>
        <v>T-002</v>
      </c>
      <c r="B3" s="1">
        <v>46077</v>
      </c>
      <c r="C3" t="s">
        <v>71</v>
      </c>
      <c r="D3" t="s">
        <v>28</v>
      </c>
      <c r="E3" t="s">
        <v>58</v>
      </c>
      <c r="F3">
        <v>4.18</v>
      </c>
      <c r="G3">
        <v>3.82</v>
      </c>
      <c r="H3">
        <v>61</v>
      </c>
      <c r="I3">
        <f t="shared" si="1"/>
        <v>21.959999999999994</v>
      </c>
      <c r="J3">
        <v>2</v>
      </c>
      <c r="K3">
        <f t="shared" si="2"/>
        <v>43.919999999999987</v>
      </c>
      <c r="L3" t="s">
        <v>72</v>
      </c>
      <c r="M3">
        <f>SUMIF(Executions!B:B,A3,Executions!H:H)</f>
        <v>6.7100000000000195</v>
      </c>
      <c r="N3">
        <f t="shared" si="3"/>
        <v>0.30555555555555652</v>
      </c>
      <c r="O3">
        <f>Tabla1[[#This Row],[Initial Risk $]]/Tabla1[[#This Row],[Position Size (shares)]]+Tabla1[[#This Row],[Entry Price]]</f>
        <v>4.5399999999999991</v>
      </c>
      <c r="P3">
        <f>Tabla1[[#This Row],[Initial Risk $]]/Tabla1[[#This Row],[Position Size (shares)]]*2+Tabla1[[#This Row],[Entry Price]]</f>
        <v>4.8999999999999995</v>
      </c>
      <c r="Q3">
        <f>Tabla1[[#This Row],[Initial Risk $]]/Tabla1[[#This Row],[Position Size (shares)]]*3+Tabla1[[#This Row],[Entry Price]]</f>
        <v>5.26</v>
      </c>
    </row>
    <row r="4" spans="1:17" hidden="1" x14ac:dyDescent="0.25">
      <c r="A4" t="str">
        <f t="shared" si="0"/>
        <v>T-003</v>
      </c>
      <c r="B4" s="1">
        <v>46077</v>
      </c>
      <c r="C4" t="s">
        <v>73</v>
      </c>
      <c r="D4" t="s">
        <v>28</v>
      </c>
      <c r="E4" t="s">
        <v>29</v>
      </c>
      <c r="F4">
        <v>136.94</v>
      </c>
      <c r="G4">
        <v>127.28</v>
      </c>
      <c r="H4">
        <v>3</v>
      </c>
      <c r="I4">
        <f t="shared" si="1"/>
        <v>28.97999999999999</v>
      </c>
      <c r="J4">
        <v>2</v>
      </c>
      <c r="K4">
        <f t="shared" si="2"/>
        <v>57.95999999999998</v>
      </c>
      <c r="L4" t="s">
        <v>72</v>
      </c>
      <c r="M4">
        <f>SUMIF(Executions!B:B,A4,Executions!H:H)</f>
        <v>-35.010000000000005</v>
      </c>
      <c r="N4">
        <f t="shared" si="3"/>
        <v>-1.2080745341614914</v>
      </c>
      <c r="O4">
        <f>Tabla1[[#This Row],[Initial Risk $]]/Tabla1[[#This Row],[Position Size (shares)]]+Tabla1[[#This Row],[Entry Price]]</f>
        <v>146.6</v>
      </c>
      <c r="P4">
        <f>Tabla1[[#This Row],[Initial Risk $]]/Tabla1[[#This Row],[Position Size (shares)]]*2+Tabla1[[#This Row],[Entry Price]]</f>
        <v>156.26</v>
      </c>
      <c r="Q4">
        <f>Tabla1[[#This Row],[Initial Risk $]]/Tabla1[[#This Row],[Position Size (shares)]]*3+Tabla1[[#This Row],[Entry Price]]</f>
        <v>165.92</v>
      </c>
    </row>
    <row r="5" spans="1:17" hidden="1" x14ac:dyDescent="0.25">
      <c r="A5" t="str">
        <f t="shared" si="0"/>
        <v>T-004</v>
      </c>
      <c r="B5" s="1">
        <v>46070</v>
      </c>
      <c r="C5" t="s">
        <v>74</v>
      </c>
      <c r="D5" t="s">
        <v>28</v>
      </c>
      <c r="E5" t="s">
        <v>29</v>
      </c>
      <c r="F5">
        <v>10.37</v>
      </c>
      <c r="G5">
        <v>9.4499999999999993</v>
      </c>
      <c r="H5">
        <v>36</v>
      </c>
      <c r="I5">
        <f t="shared" si="1"/>
        <v>33.119999999999997</v>
      </c>
      <c r="J5">
        <v>1.5</v>
      </c>
      <c r="K5">
        <f t="shared" si="2"/>
        <v>49.679999999999993</v>
      </c>
      <c r="L5" t="s">
        <v>72</v>
      </c>
      <c r="M5">
        <f>SUMIF(Executions!B:B,A5,Executions!H:H)</f>
        <v>59.310000000000031</v>
      </c>
      <c r="N5">
        <f t="shared" si="3"/>
        <v>1.7907608695652184</v>
      </c>
      <c r="O5">
        <f>Tabla1[[#This Row],[Initial Risk $]]/Tabla1[[#This Row],[Position Size (shares)]]+Tabla1[[#This Row],[Entry Price]]</f>
        <v>11.29</v>
      </c>
      <c r="P5">
        <f>Tabla1[[#This Row],[Initial Risk $]]/Tabla1[[#This Row],[Position Size (shares)]]*2+Tabla1[[#This Row],[Entry Price]]</f>
        <v>12.209999999999999</v>
      </c>
      <c r="Q5">
        <f>Tabla1[[#This Row],[Initial Risk $]]/Tabla1[[#This Row],[Position Size (shares)]]*3+Tabla1[[#This Row],[Entry Price]]</f>
        <v>13.129999999999999</v>
      </c>
    </row>
    <row r="6" spans="1:17" hidden="1" x14ac:dyDescent="0.25">
      <c r="A6" t="str">
        <f t="shared" si="0"/>
        <v>T-005</v>
      </c>
      <c r="B6" s="1">
        <v>46078</v>
      </c>
      <c r="C6" t="s">
        <v>76</v>
      </c>
      <c r="D6" t="s">
        <v>28</v>
      </c>
      <c r="E6" t="s">
        <v>60</v>
      </c>
      <c r="F6">
        <v>13.39</v>
      </c>
      <c r="G6">
        <v>12.39</v>
      </c>
      <c r="H6">
        <v>19</v>
      </c>
      <c r="I6">
        <f t="shared" si="1"/>
        <v>19</v>
      </c>
      <c r="J6">
        <v>2</v>
      </c>
      <c r="K6">
        <f t="shared" si="2"/>
        <v>38</v>
      </c>
      <c r="L6" t="s">
        <v>72</v>
      </c>
      <c r="M6">
        <f>SUMIF(Executions!B:B,A6,Executions!H:H)</f>
        <v>-10.601999999999997</v>
      </c>
      <c r="N6">
        <f t="shared" si="3"/>
        <v>-0.55799999999999983</v>
      </c>
      <c r="O6">
        <f>Tabla1[[#This Row],[Initial Risk $]]/Tabla1[[#This Row],[Position Size (shares)]]+Tabla1[[#This Row],[Entry Price]]</f>
        <v>14.39</v>
      </c>
      <c r="P6">
        <f>Tabla1[[#This Row],[Initial Risk $]]/Tabla1[[#This Row],[Position Size (shares)]]*2+Tabla1[[#This Row],[Entry Price]]</f>
        <v>15.39</v>
      </c>
      <c r="Q6">
        <f>Tabla1[[#This Row],[Initial Risk $]]/Tabla1[[#This Row],[Position Size (shares)]]*3+Tabla1[[#This Row],[Entry Price]]</f>
        <v>16.39</v>
      </c>
    </row>
    <row r="7" spans="1:17" hidden="1" x14ac:dyDescent="0.25">
      <c r="A7" t="str">
        <f t="shared" si="0"/>
        <v>T-006</v>
      </c>
      <c r="B7" s="1">
        <v>46079</v>
      </c>
      <c r="C7" t="s">
        <v>86</v>
      </c>
      <c r="D7" t="s">
        <v>28</v>
      </c>
      <c r="E7" t="s">
        <v>27</v>
      </c>
      <c r="F7">
        <v>92.49</v>
      </c>
      <c r="G7">
        <v>87.03</v>
      </c>
      <c r="H7">
        <v>3</v>
      </c>
      <c r="I7">
        <f t="shared" si="1"/>
        <v>16.379999999999981</v>
      </c>
      <c r="J7">
        <v>2</v>
      </c>
      <c r="K7">
        <f t="shared" si="2"/>
        <v>32.759999999999962</v>
      </c>
      <c r="L7" t="s">
        <v>72</v>
      </c>
      <c r="M7">
        <f>SUMIF(Executions!B:B,A7,Executions!H:H)</f>
        <v>-14.309999999999988</v>
      </c>
      <c r="N7">
        <f t="shared" si="3"/>
        <v>-0.87362637362637385</v>
      </c>
      <c r="O7">
        <f>Tabla1[[#This Row],[Initial Risk $]]/Tabla1[[#This Row],[Position Size (shares)]]+Tabla1[[#This Row],[Entry Price]]</f>
        <v>97.949999999999989</v>
      </c>
      <c r="P7">
        <f>Tabla1[[#This Row],[Initial Risk $]]/Tabla1[[#This Row],[Position Size (shares)]]*2+Tabla1[[#This Row],[Entry Price]]</f>
        <v>103.40999999999998</v>
      </c>
      <c r="Q7">
        <f>Tabla1[[#This Row],[Initial Risk $]]/Tabla1[[#This Row],[Position Size (shares)]]*3+Tabla1[[#This Row],[Entry Price]]</f>
        <v>108.86999999999998</v>
      </c>
    </row>
    <row r="8" spans="1:17" hidden="1" x14ac:dyDescent="0.25">
      <c r="A8" t="str">
        <f t="shared" si="0"/>
        <v>T-007</v>
      </c>
      <c r="B8" s="1">
        <v>46079</v>
      </c>
      <c r="C8" t="s">
        <v>87</v>
      </c>
      <c r="D8" t="s">
        <v>28</v>
      </c>
      <c r="E8" t="s">
        <v>60</v>
      </c>
      <c r="F8">
        <v>67.819999999999993</v>
      </c>
      <c r="G8">
        <v>58.5</v>
      </c>
      <c r="H8">
        <v>3</v>
      </c>
      <c r="I8">
        <f t="shared" si="1"/>
        <v>27.95999999999998</v>
      </c>
      <c r="J8">
        <v>2</v>
      </c>
      <c r="K8">
        <f t="shared" si="2"/>
        <v>55.919999999999959</v>
      </c>
      <c r="L8" t="s">
        <v>72</v>
      </c>
      <c r="M8">
        <f>SUMIF(Executions!B:B,A8,Executions!H:H)</f>
        <v>-28.16999999999998</v>
      </c>
      <c r="N8">
        <f t="shared" si="3"/>
        <v>-1.007510729613734</v>
      </c>
      <c r="O8">
        <f>Tabla1[[#This Row],[Initial Risk $]]/Tabla1[[#This Row],[Position Size (shares)]]+Tabla1[[#This Row],[Entry Price]]</f>
        <v>77.139999999999986</v>
      </c>
      <c r="P8">
        <f>Tabla1[[#This Row],[Initial Risk $]]/Tabla1[[#This Row],[Position Size (shares)]]*2+Tabla1[[#This Row],[Entry Price]]</f>
        <v>86.45999999999998</v>
      </c>
      <c r="Q8">
        <f>Tabla1[[#This Row],[Initial Risk $]]/Tabla1[[#This Row],[Position Size (shares)]]*3+Tabla1[[#This Row],[Entry Price]]</f>
        <v>95.779999999999973</v>
      </c>
    </row>
    <row r="9" spans="1:17" hidden="1" x14ac:dyDescent="0.25">
      <c r="A9" t="str">
        <f t="shared" si="0"/>
        <v>T-008</v>
      </c>
      <c r="B9" s="1">
        <v>46048</v>
      </c>
      <c r="C9" t="s">
        <v>95</v>
      </c>
      <c r="D9" t="s">
        <v>28</v>
      </c>
      <c r="E9" t="s">
        <v>58</v>
      </c>
      <c r="F9">
        <v>75.67</v>
      </c>
      <c r="G9">
        <v>73.150000000000006</v>
      </c>
      <c r="H9">
        <v>12</v>
      </c>
      <c r="I9">
        <f t="shared" si="1"/>
        <v>30.239999999999952</v>
      </c>
      <c r="J9">
        <v>2</v>
      </c>
      <c r="K9">
        <f t="shared" si="2"/>
        <v>60.479999999999905</v>
      </c>
      <c r="L9" t="s">
        <v>72</v>
      </c>
      <c r="M9">
        <f>SUMIF(Executions!B:B,A9,Executions!H:H)</f>
        <v>80.400000000000034</v>
      </c>
      <c r="N9">
        <f t="shared" si="3"/>
        <v>2.6587301587301639</v>
      </c>
      <c r="O9">
        <f>Tabla1[[#This Row],[Initial Risk $]]/Tabla1[[#This Row],[Position Size (shares)]]+Tabla1[[#This Row],[Entry Price]]</f>
        <v>78.19</v>
      </c>
      <c r="P9">
        <f>Tabla1[[#This Row],[Initial Risk $]]/Tabla1[[#This Row],[Position Size (shares)]]*2+Tabla1[[#This Row],[Entry Price]]</f>
        <v>80.709999999999994</v>
      </c>
      <c r="Q9">
        <f>Tabla1[[#This Row],[Initial Risk $]]/Tabla1[[#This Row],[Position Size (shares)]]*3+Tabla1[[#This Row],[Entry Price]]</f>
        <v>83.22999999999999</v>
      </c>
    </row>
    <row r="10" spans="1:17" hidden="1" x14ac:dyDescent="0.25">
      <c r="A10" t="str">
        <f t="shared" si="0"/>
        <v>T-009</v>
      </c>
      <c r="B10" s="1">
        <v>46083</v>
      </c>
      <c r="C10" t="s">
        <v>97</v>
      </c>
      <c r="D10" t="s">
        <v>28</v>
      </c>
      <c r="E10" t="s">
        <v>58</v>
      </c>
      <c r="F10">
        <v>22.46</v>
      </c>
      <c r="G10">
        <v>19.350000000000001</v>
      </c>
      <c r="H10">
        <v>7</v>
      </c>
      <c r="I10">
        <f t="shared" si="1"/>
        <v>21.769999999999996</v>
      </c>
      <c r="J10">
        <v>2</v>
      </c>
      <c r="K10">
        <f t="shared" si="2"/>
        <v>43.539999999999992</v>
      </c>
      <c r="L10" t="s">
        <v>72</v>
      </c>
      <c r="M10">
        <f>SUMIF(Executions!B:B,A10,Executions!H:H)</f>
        <v>-25.445000000000011</v>
      </c>
      <c r="N10">
        <f t="shared" si="3"/>
        <v>-1.1688102893890682</v>
      </c>
      <c r="O10">
        <f>Tabla1[[#This Row],[Initial Risk $]]/Tabla1[[#This Row],[Position Size (shares)]]+Tabla1[[#This Row],[Entry Price]]</f>
        <v>25.57</v>
      </c>
      <c r="P10">
        <f>Tabla1[[#This Row],[Initial Risk $]]/Tabla1[[#This Row],[Position Size (shares)]]*2+Tabla1[[#This Row],[Entry Price]]</f>
        <v>28.68</v>
      </c>
      <c r="Q10">
        <f>Tabla1[[#This Row],[Initial Risk $]]/Tabla1[[#This Row],[Position Size (shares)]]*3+Tabla1[[#This Row],[Entry Price]]</f>
        <v>31.79</v>
      </c>
    </row>
    <row r="11" spans="1:17" hidden="1" x14ac:dyDescent="0.25">
      <c r="A11" t="str">
        <f t="shared" si="0"/>
        <v>T-010</v>
      </c>
      <c r="B11" s="1">
        <v>46083</v>
      </c>
      <c r="C11" t="s">
        <v>98</v>
      </c>
      <c r="D11" t="s">
        <v>28</v>
      </c>
      <c r="E11" t="s">
        <v>58</v>
      </c>
      <c r="F11">
        <v>8.99</v>
      </c>
      <c r="G11">
        <v>8.16</v>
      </c>
      <c r="H11">
        <v>27</v>
      </c>
      <c r="I11">
        <f t="shared" si="1"/>
        <v>22.410000000000004</v>
      </c>
      <c r="J11">
        <v>2</v>
      </c>
      <c r="K11">
        <f t="shared" si="2"/>
        <v>44.820000000000007</v>
      </c>
      <c r="L11" t="s">
        <v>72</v>
      </c>
      <c r="M11">
        <f>SUMIF(Executions!B:B,A11,Executions!H:H)</f>
        <v>4.0500000000000096</v>
      </c>
      <c r="N11">
        <f t="shared" si="3"/>
        <v>0.18072289156626545</v>
      </c>
      <c r="O11">
        <f>Tabla1[[#This Row],[Initial Risk $]]/Tabla1[[#This Row],[Position Size (shares)]]+Tabla1[[#This Row],[Entry Price]]</f>
        <v>9.82</v>
      </c>
      <c r="P11">
        <f>Tabla1[[#This Row],[Initial Risk $]]/Tabla1[[#This Row],[Position Size (shares)]]*2+Tabla1[[#This Row],[Entry Price]]</f>
        <v>10.65</v>
      </c>
      <c r="Q11">
        <f>Tabla1[[#This Row],[Initial Risk $]]/Tabla1[[#This Row],[Position Size (shares)]]*3+Tabla1[[#This Row],[Entry Price]]</f>
        <v>11.48</v>
      </c>
    </row>
    <row r="12" spans="1:17" hidden="1" x14ac:dyDescent="0.25">
      <c r="A12" t="str">
        <f t="shared" si="0"/>
        <v>T-011</v>
      </c>
      <c r="B12" s="1">
        <v>46084</v>
      </c>
      <c r="C12" s="1" t="s">
        <v>100</v>
      </c>
      <c r="D12" t="s">
        <v>28</v>
      </c>
      <c r="E12" t="s">
        <v>29</v>
      </c>
      <c r="F12">
        <v>152.16999999999999</v>
      </c>
      <c r="G12">
        <v>150.47999999999999</v>
      </c>
      <c r="H12">
        <v>6</v>
      </c>
      <c r="I12">
        <f t="shared" si="1"/>
        <v>10.139999999999986</v>
      </c>
      <c r="J12">
        <v>2</v>
      </c>
      <c r="K12">
        <f t="shared" si="2"/>
        <v>20.279999999999973</v>
      </c>
      <c r="L12" t="s">
        <v>72</v>
      </c>
      <c r="M12">
        <f>SUMIF(Executions!B:B,A12,Executions!H:H)</f>
        <v>24.42000000000013</v>
      </c>
      <c r="N12">
        <f t="shared" si="3"/>
        <v>2.4082840236686551</v>
      </c>
      <c r="O12">
        <f>Tabla1[[#This Row],[Initial Risk $]]/Tabla1[[#This Row],[Position Size (shares)]]+Tabla1[[#This Row],[Entry Price]]</f>
        <v>153.85999999999999</v>
      </c>
      <c r="P12">
        <f>Tabla1[[#This Row],[Initial Risk $]]/Tabla1[[#This Row],[Position Size (shares)]]*2+Tabla1[[#This Row],[Entry Price]]</f>
        <v>155.54999999999998</v>
      </c>
      <c r="Q12">
        <f>Tabla1[[#This Row],[Initial Risk $]]/Tabla1[[#This Row],[Position Size (shares)]]*3+Tabla1[[#This Row],[Entry Price]]</f>
        <v>157.23999999999998</v>
      </c>
    </row>
    <row r="13" spans="1:17" hidden="1" x14ac:dyDescent="0.25">
      <c r="A13" t="str">
        <f t="shared" si="0"/>
        <v>T-012</v>
      </c>
      <c r="B13" s="1">
        <v>46085</v>
      </c>
      <c r="C13" t="s">
        <v>101</v>
      </c>
      <c r="D13" t="s">
        <v>28</v>
      </c>
      <c r="E13" t="s">
        <v>60</v>
      </c>
      <c r="F13">
        <v>4.2699999999999996</v>
      </c>
      <c r="G13">
        <v>3.75</v>
      </c>
      <c r="H13">
        <v>42</v>
      </c>
      <c r="I13">
        <f t="shared" si="1"/>
        <v>21.839999999999982</v>
      </c>
      <c r="J13">
        <v>2</v>
      </c>
      <c r="K13">
        <f t="shared" si="2"/>
        <v>43.679999999999964</v>
      </c>
      <c r="L13" t="s">
        <v>72</v>
      </c>
      <c r="M13">
        <f>SUMIF(Executions!B:B,A13,Executions!H:H)</f>
        <v>-24.779999999999976</v>
      </c>
      <c r="N13">
        <f t="shared" si="3"/>
        <v>-1.1346153846153844</v>
      </c>
      <c r="O13">
        <f>Tabla1[[#This Row],[Initial Risk $]]/Tabla1[[#This Row],[Position Size (shares)]]+Tabla1[[#This Row],[Entry Price]]</f>
        <v>4.7899999999999991</v>
      </c>
      <c r="P13">
        <f>Tabla1[[#This Row],[Initial Risk $]]/Tabla1[[#This Row],[Position Size (shares)]]*2+Tabla1[[#This Row],[Entry Price]]</f>
        <v>5.3099999999999987</v>
      </c>
      <c r="Q13">
        <f>Tabla1[[#This Row],[Initial Risk $]]/Tabla1[[#This Row],[Position Size (shares)]]*3+Tabla1[[#This Row],[Entry Price]]</f>
        <v>5.8299999999999983</v>
      </c>
    </row>
    <row r="14" spans="1:17" hidden="1" x14ac:dyDescent="0.25">
      <c r="A14" t="str">
        <f t="shared" si="0"/>
        <v>T-013</v>
      </c>
      <c r="B14" s="1">
        <v>46085</v>
      </c>
      <c r="C14" t="s">
        <v>102</v>
      </c>
      <c r="D14" t="s">
        <v>28</v>
      </c>
      <c r="E14" t="s">
        <v>58</v>
      </c>
      <c r="F14">
        <v>88.58</v>
      </c>
      <c r="G14">
        <v>80.95</v>
      </c>
      <c r="H14">
        <v>3</v>
      </c>
      <c r="I14">
        <f t="shared" si="1"/>
        <v>22.889999999999986</v>
      </c>
      <c r="J14">
        <v>2</v>
      </c>
      <c r="K14">
        <f t="shared" si="2"/>
        <v>45.779999999999973</v>
      </c>
      <c r="L14" t="s">
        <v>72</v>
      </c>
      <c r="M14">
        <f>SUMIF(Executions!B:B,A14,Executions!H:H)</f>
        <v>-23.430000000000007</v>
      </c>
      <c r="N14">
        <f t="shared" si="3"/>
        <v>-1.0235910878112722</v>
      </c>
      <c r="O14">
        <f>Tabla1[[#This Row],[Initial Risk $]]/Tabla1[[#This Row],[Position Size (shares)]]+Tabla1[[#This Row],[Entry Price]]</f>
        <v>96.21</v>
      </c>
      <c r="P14">
        <f>Tabla1[[#This Row],[Initial Risk $]]/Tabla1[[#This Row],[Position Size (shares)]]*2+Tabla1[[#This Row],[Entry Price]]</f>
        <v>103.83999999999999</v>
      </c>
      <c r="Q14">
        <f>Tabla1[[#This Row],[Initial Risk $]]/Tabla1[[#This Row],[Position Size (shares)]]*3+Tabla1[[#This Row],[Entry Price]]</f>
        <v>111.46999999999998</v>
      </c>
    </row>
    <row r="15" spans="1:17" hidden="1" x14ac:dyDescent="0.25">
      <c r="A15" t="str">
        <f t="shared" si="0"/>
        <v>T-014</v>
      </c>
      <c r="B15" s="1">
        <v>46079</v>
      </c>
      <c r="C15" t="s">
        <v>105</v>
      </c>
      <c r="D15" t="s">
        <v>28</v>
      </c>
      <c r="E15" t="s">
        <v>60</v>
      </c>
      <c r="F15">
        <v>177.48</v>
      </c>
      <c r="G15">
        <v>166.83</v>
      </c>
      <c r="H15">
        <v>2</v>
      </c>
      <c r="I15">
        <f t="shared" si="1"/>
        <v>21.299999999999955</v>
      </c>
      <c r="J15">
        <v>2</v>
      </c>
      <c r="K15">
        <f t="shared" si="2"/>
        <v>42.599999999999909</v>
      </c>
      <c r="L15" t="s">
        <v>72</v>
      </c>
      <c r="M15">
        <f>SUMIF(Executions!B:B,A15,Executions!H:H)</f>
        <v>-21.71999999999997</v>
      </c>
      <c r="N15">
        <f t="shared" si="3"/>
        <v>-1.0197183098591558</v>
      </c>
      <c r="O15">
        <f>Tabla1[[#This Row],[Initial Risk $]]/Tabla1[[#This Row],[Position Size (shares)]]+Tabla1[[#This Row],[Entry Price]]</f>
        <v>188.12999999999997</v>
      </c>
      <c r="P15">
        <f>Tabla1[[#This Row],[Initial Risk $]]/Tabla1[[#This Row],[Position Size (shares)]]*2+Tabla1[[#This Row],[Entry Price]]</f>
        <v>198.77999999999994</v>
      </c>
      <c r="Q15">
        <f>Tabla1[[#This Row],[Initial Risk $]]/Tabla1[[#This Row],[Position Size (shares)]]*3+Tabla1[[#This Row],[Entry Price]]</f>
        <v>209.42999999999992</v>
      </c>
    </row>
    <row r="16" spans="1:17" hidden="1" x14ac:dyDescent="0.25">
      <c r="A16" t="str">
        <f t="shared" si="0"/>
        <v>T-015</v>
      </c>
      <c r="B16" s="1">
        <v>46090</v>
      </c>
      <c r="C16" t="s">
        <v>110</v>
      </c>
      <c r="D16" t="s">
        <v>28</v>
      </c>
      <c r="E16" t="s">
        <v>58</v>
      </c>
      <c r="F16">
        <v>8.16</v>
      </c>
      <c r="G16">
        <v>7.84</v>
      </c>
      <c r="H16">
        <v>50</v>
      </c>
      <c r="I16">
        <f t="shared" si="1"/>
        <v>16.000000000000014</v>
      </c>
      <c r="J16">
        <v>2</v>
      </c>
      <c r="K16">
        <f t="shared" si="2"/>
        <v>32.000000000000028</v>
      </c>
      <c r="L16" t="s">
        <v>72</v>
      </c>
      <c r="M16">
        <f>SUMIF(Executions!B:B,A16,Executions!H:H)</f>
        <v>0.99999999999997868</v>
      </c>
      <c r="N16">
        <f t="shared" si="3"/>
        <v>6.2499999999998612E-2</v>
      </c>
      <c r="O16">
        <f>Tabla1[[#This Row],[Initial Risk $]]/Tabla1[[#This Row],[Position Size (shares)]]+Tabla1[[#This Row],[Entry Price]]</f>
        <v>8.48</v>
      </c>
      <c r="P16">
        <f>Tabla1[[#This Row],[Initial Risk $]]/Tabla1[[#This Row],[Position Size (shares)]]*2+Tabla1[[#This Row],[Entry Price]]</f>
        <v>8.8000000000000007</v>
      </c>
      <c r="Q16">
        <f>Tabla1[[#This Row],[Initial Risk $]]/Tabla1[[#This Row],[Position Size (shares)]]*3+Tabla1[[#This Row],[Entry Price]]</f>
        <v>9.120000000000001</v>
      </c>
    </row>
    <row r="17" spans="1:17" hidden="1" x14ac:dyDescent="0.25">
      <c r="A17" t="str">
        <f t="shared" si="0"/>
        <v>T-016</v>
      </c>
      <c r="B17" s="1">
        <v>46090</v>
      </c>
      <c r="C17" t="s">
        <v>111</v>
      </c>
      <c r="D17" t="s">
        <v>28</v>
      </c>
      <c r="E17" t="s">
        <v>112</v>
      </c>
      <c r="F17">
        <v>24.88</v>
      </c>
      <c r="G17">
        <v>22.31</v>
      </c>
      <c r="H17">
        <v>4</v>
      </c>
      <c r="I17">
        <f t="shared" ref="I17:I35" si="4">IF(D17="Long",(F17-G17)*H17,(G17-F17)*0)</f>
        <v>10.280000000000001</v>
      </c>
      <c r="J17">
        <v>2</v>
      </c>
      <c r="K17">
        <f t="shared" si="2"/>
        <v>20.560000000000002</v>
      </c>
      <c r="L17" t="s">
        <v>72</v>
      </c>
      <c r="M17">
        <f>SUMIF(Executions!B:B,A17,Executions!H:H)</f>
        <v>-9.5600000000000023</v>
      </c>
      <c r="N17">
        <f t="shared" si="3"/>
        <v>-0.92996108949416356</v>
      </c>
      <c r="O17">
        <f>Tabla1[[#This Row],[Initial Risk $]]/Tabla1[[#This Row],[Position Size (shares)]]+Tabla1[[#This Row],[Entry Price]]</f>
        <v>27.45</v>
      </c>
      <c r="P17">
        <f>Tabla1[[#This Row],[Initial Risk $]]/Tabla1[[#This Row],[Position Size (shares)]]*2+Tabla1[[#This Row],[Entry Price]]</f>
        <v>30.02</v>
      </c>
      <c r="Q17">
        <f>Tabla1[[#This Row],[Initial Risk $]]/Tabla1[[#This Row],[Position Size (shares)]]*3+Tabla1[[#This Row],[Entry Price]]</f>
        <v>32.590000000000003</v>
      </c>
    </row>
    <row r="18" spans="1:17" hidden="1" x14ac:dyDescent="0.25">
      <c r="A18" t="str">
        <f t="shared" si="0"/>
        <v>T-017</v>
      </c>
      <c r="B18" s="1">
        <v>46091</v>
      </c>
      <c r="C18" t="s">
        <v>95</v>
      </c>
      <c r="D18" t="s">
        <v>28</v>
      </c>
      <c r="E18" t="s">
        <v>53</v>
      </c>
      <c r="F18">
        <v>77.150000000000006</v>
      </c>
      <c r="G18">
        <v>74.31</v>
      </c>
      <c r="H18">
        <v>20</v>
      </c>
      <c r="I18">
        <f t="shared" si="4"/>
        <v>56.800000000000068</v>
      </c>
      <c r="J18">
        <v>2</v>
      </c>
      <c r="K18">
        <f t="shared" si="2"/>
        <v>113.60000000000014</v>
      </c>
      <c r="L18" t="s">
        <v>72</v>
      </c>
      <c r="M18">
        <f>SUMIF(Executions!B:B,A18,Executions!H:H)</f>
        <v>-83.800000000000239</v>
      </c>
      <c r="N18">
        <f t="shared" si="3"/>
        <v>-1.4753521126760587</v>
      </c>
      <c r="O18">
        <f>Tabla1[[#This Row],[Initial Risk $]]/Tabla1[[#This Row],[Position Size (shares)]]+Tabla1[[#This Row],[Entry Price]]</f>
        <v>79.990000000000009</v>
      </c>
      <c r="P18">
        <f>Tabla1[[#This Row],[Initial Risk $]]/Tabla1[[#This Row],[Position Size (shares)]]*2+Tabla1[[#This Row],[Entry Price]]</f>
        <v>82.830000000000013</v>
      </c>
      <c r="Q18">
        <f>Tabla1[[#This Row],[Initial Risk $]]/Tabla1[[#This Row],[Position Size (shares)]]*3+Tabla1[[#This Row],[Entry Price]]</f>
        <v>85.670000000000016</v>
      </c>
    </row>
    <row r="19" spans="1:17" hidden="1" x14ac:dyDescent="0.25">
      <c r="A19" t="str">
        <f t="shared" si="0"/>
        <v>T-018</v>
      </c>
      <c r="B19" s="1">
        <v>46098</v>
      </c>
      <c r="C19" t="s">
        <v>118</v>
      </c>
      <c r="D19" t="s">
        <v>28</v>
      </c>
      <c r="E19" t="s">
        <v>119</v>
      </c>
      <c r="F19">
        <v>162.47999999999999</v>
      </c>
      <c r="G19">
        <v>156.29</v>
      </c>
      <c r="H19">
        <v>3</v>
      </c>
      <c r="I19">
        <f t="shared" si="4"/>
        <v>18.569999999999993</v>
      </c>
      <c r="J19">
        <v>2</v>
      </c>
      <c r="K19">
        <f t="shared" si="2"/>
        <v>37.139999999999986</v>
      </c>
      <c r="L19" t="s">
        <v>72</v>
      </c>
      <c r="M19">
        <f>SUMIF(Executions!B:B,A19,Executions!H:H)</f>
        <v>-19.70999999999998</v>
      </c>
      <c r="N19">
        <f t="shared" si="3"/>
        <v>-1.0613893376413563</v>
      </c>
      <c r="O19">
        <f>Tabla1[[#This Row],[Initial Risk $]]/Tabla1[[#This Row],[Position Size (shares)]]+Tabla1[[#This Row],[Entry Price]]</f>
        <v>168.67</v>
      </c>
      <c r="P19">
        <f>Tabla1[[#This Row],[Initial Risk $]]/Tabla1[[#This Row],[Position Size (shares)]]*2+Tabla1[[#This Row],[Entry Price]]</f>
        <v>174.85999999999999</v>
      </c>
      <c r="Q19">
        <f>Tabla1[[#This Row],[Initial Risk $]]/Tabla1[[#This Row],[Position Size (shares)]]*3+Tabla1[[#This Row],[Entry Price]]</f>
        <v>181.04999999999998</v>
      </c>
    </row>
    <row r="20" spans="1:17" hidden="1" x14ac:dyDescent="0.25">
      <c r="A20" t="str">
        <f t="shared" si="0"/>
        <v>T-019</v>
      </c>
      <c r="B20" s="1">
        <v>46079</v>
      </c>
      <c r="C20" t="s">
        <v>120</v>
      </c>
      <c r="D20" t="s">
        <v>28</v>
      </c>
      <c r="E20" t="s">
        <v>60</v>
      </c>
      <c r="F20">
        <v>20.83</v>
      </c>
      <c r="G20">
        <v>16.91</v>
      </c>
      <c r="H20">
        <v>8</v>
      </c>
      <c r="I20">
        <f t="shared" si="4"/>
        <v>31.359999999999985</v>
      </c>
      <c r="J20">
        <v>2</v>
      </c>
      <c r="K20">
        <f t="shared" si="2"/>
        <v>62.71999999999997</v>
      </c>
      <c r="L20" t="s">
        <v>72</v>
      </c>
      <c r="M20">
        <f>SUMIF(Executions!B:B,A20,Executions!H:H)</f>
        <v>-31.359999999999985</v>
      </c>
      <c r="N20">
        <f t="shared" si="3"/>
        <v>-1</v>
      </c>
      <c r="O20">
        <f>Tabla1[[#This Row],[Initial Risk $]]/Tabla1[[#This Row],[Position Size (shares)]]+Tabla1[[#This Row],[Entry Price]]</f>
        <v>24.749999999999996</v>
      </c>
      <c r="P20">
        <f>Tabla1[[#This Row],[Initial Risk $]]/Tabla1[[#This Row],[Position Size (shares)]]*2+Tabla1[[#This Row],[Entry Price]]</f>
        <v>28.669999999999995</v>
      </c>
      <c r="Q20">
        <f>Tabla1[[#This Row],[Initial Risk $]]/Tabla1[[#This Row],[Position Size (shares)]]*3+Tabla1[[#This Row],[Entry Price]]</f>
        <v>32.589999999999989</v>
      </c>
    </row>
    <row r="21" spans="1:17" hidden="1" x14ac:dyDescent="0.25">
      <c r="A21" t="str">
        <f t="shared" si="0"/>
        <v>T-020</v>
      </c>
      <c r="B21" s="1">
        <v>46100</v>
      </c>
      <c r="C21" t="s">
        <v>123</v>
      </c>
      <c r="D21" t="s">
        <v>28</v>
      </c>
      <c r="E21" t="s">
        <v>58</v>
      </c>
      <c r="F21">
        <v>58.85</v>
      </c>
      <c r="G21">
        <v>57.24</v>
      </c>
      <c r="H21">
        <v>4</v>
      </c>
      <c r="I21">
        <f t="shared" si="4"/>
        <v>6.4399999999999977</v>
      </c>
      <c r="J21">
        <v>2</v>
      </c>
      <c r="K21">
        <f t="shared" si="2"/>
        <v>12.879999999999995</v>
      </c>
      <c r="L21" t="s">
        <v>72</v>
      </c>
      <c r="M21">
        <f>SUMIF(Executions!B:B,A21,Executions!H:H)</f>
        <v>36.119999999999976</v>
      </c>
      <c r="N21">
        <f t="shared" si="3"/>
        <v>5.6086956521739113</v>
      </c>
      <c r="O21">
        <f>Tabla1[[#This Row],[Initial Risk $]]/Tabla1[[#This Row],[Position Size (shares)]]+Tabla1[[#This Row],[Entry Price]]</f>
        <v>60.46</v>
      </c>
      <c r="P21">
        <f>Tabla1[[#This Row],[Initial Risk $]]/Tabla1[[#This Row],[Position Size (shares)]]*2+Tabla1[[#This Row],[Entry Price]]</f>
        <v>62.07</v>
      </c>
      <c r="Q21">
        <f>Tabla1[[#This Row],[Initial Risk $]]/Tabla1[[#This Row],[Position Size (shares)]]*3+Tabla1[[#This Row],[Entry Price]]</f>
        <v>63.68</v>
      </c>
    </row>
    <row r="22" spans="1:17" hidden="1" x14ac:dyDescent="0.25">
      <c r="A22" t="str">
        <f t="shared" si="0"/>
        <v>T-021</v>
      </c>
      <c r="B22" s="1">
        <v>46106</v>
      </c>
      <c r="C22" t="s">
        <v>128</v>
      </c>
      <c r="D22" t="s">
        <v>28</v>
      </c>
      <c r="E22" t="s">
        <v>58</v>
      </c>
      <c r="F22">
        <v>215.7</v>
      </c>
      <c r="G22">
        <v>208.95</v>
      </c>
      <c r="H22">
        <v>2</v>
      </c>
      <c r="I22">
        <f t="shared" si="4"/>
        <v>13.5</v>
      </c>
      <c r="J22">
        <v>1</v>
      </c>
      <c r="K22">
        <f t="shared" si="2"/>
        <v>13.5</v>
      </c>
      <c r="L22" t="s">
        <v>72</v>
      </c>
      <c r="M22">
        <f>SUMIF(Executions!B:B,A22,Executions!H:H)</f>
        <v>15.620000000000005</v>
      </c>
      <c r="N22">
        <f t="shared" si="3"/>
        <v>1.1570370370370373</v>
      </c>
      <c r="O22">
        <f>Tabla1[[#This Row],[Initial Risk $]]/Tabla1[[#This Row],[Position Size (shares)]]+Tabla1[[#This Row],[Entry Price]]</f>
        <v>222.45</v>
      </c>
      <c r="P22">
        <f>Tabla1[[#This Row],[Initial Risk $]]/Tabla1[[#This Row],[Position Size (shares)]]*2+Tabla1[[#This Row],[Entry Price]]</f>
        <v>229.2</v>
      </c>
      <c r="Q22">
        <f>Tabla1[[#This Row],[Initial Risk $]]/Tabla1[[#This Row],[Position Size (shares)]]*3+Tabla1[[#This Row],[Entry Price]]</f>
        <v>235.95</v>
      </c>
    </row>
    <row r="23" spans="1:17" hidden="1" x14ac:dyDescent="0.25">
      <c r="A23" t="str">
        <f t="shared" si="0"/>
        <v>T-022</v>
      </c>
      <c r="B23" s="1">
        <v>46106</v>
      </c>
      <c r="C23" t="s">
        <v>129</v>
      </c>
      <c r="D23" t="s">
        <v>28</v>
      </c>
      <c r="E23" t="s">
        <v>60</v>
      </c>
      <c r="F23">
        <v>46.58</v>
      </c>
      <c r="G23">
        <v>45.93</v>
      </c>
      <c r="H23">
        <v>3</v>
      </c>
      <c r="I23">
        <f t="shared" si="4"/>
        <v>1.9499999999999957</v>
      </c>
      <c r="J23">
        <v>1</v>
      </c>
      <c r="K23">
        <f t="shared" si="2"/>
        <v>1.9499999999999957</v>
      </c>
      <c r="L23" t="s">
        <v>72</v>
      </c>
      <c r="M23">
        <f>SUMIF(Executions!B:B,A23,Executions!H:H)</f>
        <v>2.5799999999999983</v>
      </c>
      <c r="N23">
        <f t="shared" si="3"/>
        <v>1.323076923076925</v>
      </c>
      <c r="O23">
        <f>Tabla1[[#This Row],[Initial Risk $]]/Tabla1[[#This Row],[Position Size (shares)]]+Tabla1[[#This Row],[Entry Price]]</f>
        <v>47.23</v>
      </c>
      <c r="P23">
        <f>Tabla1[[#This Row],[Initial Risk $]]/Tabla1[[#This Row],[Position Size (shares)]]*2+Tabla1[[#This Row],[Entry Price]]</f>
        <v>47.879999999999995</v>
      </c>
      <c r="Q23">
        <f>Tabla1[[#This Row],[Initial Risk $]]/Tabla1[[#This Row],[Position Size (shares)]]*3+Tabla1[[#This Row],[Entry Price]]</f>
        <v>48.529999999999994</v>
      </c>
    </row>
    <row r="24" spans="1:17" hidden="1" x14ac:dyDescent="0.25">
      <c r="A24" t="str">
        <f t="shared" si="0"/>
        <v>T-023</v>
      </c>
      <c r="B24" s="1">
        <v>46106</v>
      </c>
      <c r="C24" t="s">
        <v>130</v>
      </c>
      <c r="D24" t="s">
        <v>28</v>
      </c>
      <c r="E24" t="s">
        <v>58</v>
      </c>
      <c r="F24">
        <v>217.51</v>
      </c>
      <c r="G24">
        <v>216.51</v>
      </c>
      <c r="H24">
        <v>3</v>
      </c>
      <c r="I24">
        <f t="shared" si="4"/>
        <v>3</v>
      </c>
      <c r="J24">
        <v>1</v>
      </c>
      <c r="K24">
        <f t="shared" si="2"/>
        <v>3</v>
      </c>
      <c r="L24" t="s">
        <v>72</v>
      </c>
      <c r="M24">
        <f>SUMIF(Executions!B:B,A24,Executions!H:H)</f>
        <v>3.9800000000000182</v>
      </c>
      <c r="N24">
        <f t="shared" si="3"/>
        <v>1.3266666666666727</v>
      </c>
      <c r="O24">
        <f>Tabla1[[#This Row],[Initial Risk $]]/Tabla1[[#This Row],[Position Size (shares)]]+Tabla1[[#This Row],[Entry Price]]</f>
        <v>218.51</v>
      </c>
      <c r="P24">
        <f>Tabla1[[#This Row],[Initial Risk $]]/Tabla1[[#This Row],[Position Size (shares)]]*2+Tabla1[[#This Row],[Entry Price]]</f>
        <v>219.51</v>
      </c>
      <c r="Q24">
        <f>Tabla1[[#This Row],[Initial Risk $]]/Tabla1[[#This Row],[Position Size (shares)]]*3+Tabla1[[#This Row],[Entry Price]]</f>
        <v>220.51</v>
      </c>
    </row>
    <row r="25" spans="1:17" hidden="1" x14ac:dyDescent="0.25">
      <c r="A25" t="str">
        <f t="shared" si="0"/>
        <v>T-024</v>
      </c>
      <c r="B25" s="1">
        <v>46107</v>
      </c>
      <c r="C25" t="s">
        <v>133</v>
      </c>
      <c r="D25" t="s">
        <v>28</v>
      </c>
      <c r="E25" t="s">
        <v>58</v>
      </c>
      <c r="F25">
        <v>64.56</v>
      </c>
      <c r="G25">
        <v>63.69</v>
      </c>
      <c r="H25">
        <v>3</v>
      </c>
      <c r="I25">
        <f t="shared" si="4"/>
        <v>2.6100000000000136</v>
      </c>
      <c r="J25">
        <v>2</v>
      </c>
      <c r="K25">
        <f t="shared" si="2"/>
        <v>5.2200000000000273</v>
      </c>
      <c r="L25" t="s">
        <v>72</v>
      </c>
      <c r="M25">
        <f>SUMIF(Executions!B:B,A25,Executions!H:H)</f>
        <v>-2.5500000000000043</v>
      </c>
      <c r="N25">
        <f t="shared" si="3"/>
        <v>-0.97701149425287004</v>
      </c>
      <c r="O25">
        <f>Tabla1[[#This Row],[Initial Risk $]]/Tabla1[[#This Row],[Position Size (shares)]]+Tabla1[[#This Row],[Entry Price]]</f>
        <v>65.430000000000007</v>
      </c>
      <c r="P25">
        <f>Tabla1[[#This Row],[Initial Risk $]]/Tabla1[[#This Row],[Position Size (shares)]]*2+Tabla1[[#This Row],[Entry Price]]</f>
        <v>66.300000000000011</v>
      </c>
      <c r="Q25">
        <f>Tabla1[[#This Row],[Initial Risk $]]/Tabla1[[#This Row],[Position Size (shares)]]*3+Tabla1[[#This Row],[Entry Price]]</f>
        <v>67.170000000000016</v>
      </c>
    </row>
    <row r="26" spans="1:17" hidden="1" x14ac:dyDescent="0.25">
      <c r="A26" t="str">
        <f t="shared" si="0"/>
        <v>T-025</v>
      </c>
      <c r="B26" s="1">
        <v>46107</v>
      </c>
      <c r="C26" t="s">
        <v>135</v>
      </c>
      <c r="D26" t="s">
        <v>28</v>
      </c>
      <c r="E26" t="s">
        <v>58</v>
      </c>
      <c r="F26">
        <v>159.59</v>
      </c>
      <c r="G26">
        <v>157.08000000000001</v>
      </c>
      <c r="H26">
        <v>2</v>
      </c>
      <c r="I26">
        <f t="shared" si="4"/>
        <v>5.0199999999999818</v>
      </c>
      <c r="J26">
        <v>2</v>
      </c>
      <c r="K26">
        <f t="shared" si="2"/>
        <v>10.039999999999964</v>
      </c>
      <c r="L26" t="s">
        <v>72</v>
      </c>
      <c r="M26">
        <f>SUMIF(Executions!B:B,A26,Executions!H:H)</f>
        <v>-4.8799999999999955</v>
      </c>
      <c r="N26">
        <f t="shared" si="3"/>
        <v>-0.97211155378486314</v>
      </c>
      <c r="O26">
        <f>Tabla1[[#This Row],[Initial Risk $]]/Tabla1[[#This Row],[Position Size (shares)]]+Tabla1[[#This Row],[Entry Price]]</f>
        <v>162.1</v>
      </c>
      <c r="P26">
        <f>Tabla1[[#This Row],[Initial Risk $]]/Tabla1[[#This Row],[Position Size (shares)]]*2+Tabla1[[#This Row],[Entry Price]]</f>
        <v>164.60999999999999</v>
      </c>
      <c r="Q26">
        <f>Tabla1[[#This Row],[Initial Risk $]]/Tabla1[[#This Row],[Position Size (shares)]]*3+Tabla1[[#This Row],[Entry Price]]</f>
        <v>167.11999999999998</v>
      </c>
    </row>
    <row r="27" spans="1:17" hidden="1" x14ac:dyDescent="0.25">
      <c r="A27" t="str">
        <f t="shared" si="0"/>
        <v>T-026</v>
      </c>
      <c r="B27" s="1">
        <v>46107</v>
      </c>
      <c r="C27" t="s">
        <v>136</v>
      </c>
      <c r="D27" t="s">
        <v>28</v>
      </c>
      <c r="E27" t="s">
        <v>58</v>
      </c>
      <c r="F27">
        <v>63.01</v>
      </c>
      <c r="G27">
        <v>61.7</v>
      </c>
      <c r="H27">
        <v>3</v>
      </c>
      <c r="I27">
        <f t="shared" si="4"/>
        <v>3.9299999999999855</v>
      </c>
      <c r="J27">
        <v>1</v>
      </c>
      <c r="K27">
        <f t="shared" si="2"/>
        <v>3.9299999999999855</v>
      </c>
      <c r="L27" t="s">
        <v>72</v>
      </c>
      <c r="M27">
        <f>SUMIF(Executions!B:B,A27,Executions!H:H)</f>
        <v>3.1500000000000128</v>
      </c>
      <c r="N27">
        <f t="shared" si="3"/>
        <v>0.80152671755725813</v>
      </c>
      <c r="O27">
        <f>Tabla1[[#This Row],[Initial Risk $]]/Tabla1[[#This Row],[Position Size (shares)]]+Tabla1[[#This Row],[Entry Price]]</f>
        <v>64.319999999999993</v>
      </c>
      <c r="P27">
        <f>Tabla1[[#This Row],[Initial Risk $]]/Tabla1[[#This Row],[Position Size (shares)]]*2+Tabla1[[#This Row],[Entry Price]]</f>
        <v>65.63</v>
      </c>
      <c r="Q27">
        <f>Tabla1[[#This Row],[Initial Risk $]]/Tabla1[[#This Row],[Position Size (shares)]]*3+Tabla1[[#This Row],[Entry Price]]</f>
        <v>66.939999999999984</v>
      </c>
    </row>
    <row r="28" spans="1:17" hidden="1" x14ac:dyDescent="0.25">
      <c r="A28" t="str">
        <f t="shared" si="0"/>
        <v>T-027</v>
      </c>
      <c r="B28" s="1">
        <v>46107</v>
      </c>
      <c r="C28" t="s">
        <v>138</v>
      </c>
      <c r="D28" t="s">
        <v>28</v>
      </c>
      <c r="E28" t="s">
        <v>58</v>
      </c>
      <c r="F28">
        <v>166.95</v>
      </c>
      <c r="G28">
        <v>159.75</v>
      </c>
      <c r="H28">
        <v>2</v>
      </c>
      <c r="I28">
        <f t="shared" si="4"/>
        <v>14.399999999999977</v>
      </c>
      <c r="J28">
        <v>2</v>
      </c>
      <c r="K28">
        <f t="shared" si="2"/>
        <v>28.799999999999955</v>
      </c>
      <c r="L28" t="s">
        <v>72</v>
      </c>
      <c r="M28">
        <f>SUMIF(Executions!B:B,A28,Executions!H:H)</f>
        <v>45.740000000000009</v>
      </c>
      <c r="N28">
        <f t="shared" si="3"/>
        <v>3.1763888888888947</v>
      </c>
      <c r="O28">
        <f>Tabla1[[#This Row],[Initial Risk $]]/Tabla1[[#This Row],[Position Size (shares)]]+Tabla1[[#This Row],[Entry Price]]</f>
        <v>174.14999999999998</v>
      </c>
      <c r="P28">
        <f>Tabla1[[#This Row],[Initial Risk $]]/Tabla1[[#This Row],[Position Size (shares)]]*2+Tabla1[[#This Row],[Entry Price]]</f>
        <v>181.34999999999997</v>
      </c>
      <c r="Q28">
        <f>Tabla1[[#This Row],[Initial Risk $]]/Tabla1[[#This Row],[Position Size (shares)]]*3+Tabla1[[#This Row],[Entry Price]]</f>
        <v>188.54999999999995</v>
      </c>
    </row>
    <row r="29" spans="1:17" hidden="1" x14ac:dyDescent="0.25">
      <c r="A29" t="str">
        <f t="shared" si="0"/>
        <v>T-028</v>
      </c>
      <c r="B29" s="1">
        <v>46107</v>
      </c>
      <c r="C29" t="s">
        <v>135</v>
      </c>
      <c r="D29" t="s">
        <v>28</v>
      </c>
      <c r="E29" t="s">
        <v>58</v>
      </c>
      <c r="F29">
        <v>157.47</v>
      </c>
      <c r="G29">
        <v>155.03</v>
      </c>
      <c r="H29">
        <v>2</v>
      </c>
      <c r="I29">
        <f t="shared" si="4"/>
        <v>4.8799999999999955</v>
      </c>
      <c r="J29">
        <v>1</v>
      </c>
      <c r="K29">
        <f t="shared" si="2"/>
        <v>4.8799999999999955</v>
      </c>
      <c r="L29" t="s">
        <v>72</v>
      </c>
      <c r="M29">
        <f>SUMIF(Executions!B:B,A29,Executions!H:H)</f>
        <v>-3.3799999999999955</v>
      </c>
      <c r="N29">
        <f t="shared" si="3"/>
        <v>-0.69262295081967185</v>
      </c>
      <c r="O29">
        <f>Tabla1[[#This Row],[Initial Risk $]]/Tabla1[[#This Row],[Position Size (shares)]]+Tabla1[[#This Row],[Entry Price]]</f>
        <v>159.91</v>
      </c>
      <c r="P29">
        <f>Tabla1[[#This Row],[Initial Risk $]]/Tabla1[[#This Row],[Position Size (shares)]]*2+Tabla1[[#This Row],[Entry Price]]</f>
        <v>162.35</v>
      </c>
      <c r="Q29">
        <f>Tabla1[[#This Row],[Initial Risk $]]/Tabla1[[#This Row],[Position Size (shares)]]*3+Tabla1[[#This Row],[Entry Price]]</f>
        <v>164.79</v>
      </c>
    </row>
    <row r="30" spans="1:17" hidden="1" x14ac:dyDescent="0.25">
      <c r="A30" t="str">
        <f t="shared" si="0"/>
        <v>T-029</v>
      </c>
      <c r="B30" s="1">
        <v>46108</v>
      </c>
      <c r="C30" t="s">
        <v>141</v>
      </c>
      <c r="D30" t="s">
        <v>28</v>
      </c>
      <c r="E30" t="s">
        <v>58</v>
      </c>
      <c r="F30">
        <v>54.44</v>
      </c>
      <c r="G30">
        <v>53.43</v>
      </c>
      <c r="H30">
        <v>4</v>
      </c>
      <c r="I30">
        <f t="shared" si="4"/>
        <v>4.039999999999992</v>
      </c>
      <c r="J30">
        <v>1</v>
      </c>
      <c r="K30">
        <f t="shared" si="2"/>
        <v>4.039999999999992</v>
      </c>
      <c r="L30" t="s">
        <v>72</v>
      </c>
      <c r="M30">
        <f>SUMIF(Executions!B:B,A30,Executions!H:H)</f>
        <v>-4.7199999999999989</v>
      </c>
      <c r="N30">
        <f t="shared" si="3"/>
        <v>-1.1683168316831702</v>
      </c>
      <c r="O30">
        <f>Tabla1[[#This Row],[Initial Risk $]]/Tabla1[[#This Row],[Position Size (shares)]]+Tabla1[[#This Row],[Entry Price]]</f>
        <v>55.449999999999996</v>
      </c>
      <c r="P30">
        <f>Tabla1[[#This Row],[Initial Risk $]]/Tabla1[[#This Row],[Position Size (shares)]]*2+Tabla1[[#This Row],[Entry Price]]</f>
        <v>56.459999999999994</v>
      </c>
      <c r="Q30">
        <f>Tabla1[[#This Row],[Initial Risk $]]/Tabla1[[#This Row],[Position Size (shares)]]*3+Tabla1[[#This Row],[Entry Price]]</f>
        <v>57.469999999999992</v>
      </c>
    </row>
    <row r="31" spans="1:17" hidden="1" x14ac:dyDescent="0.25">
      <c r="A31" t="str">
        <f t="shared" si="0"/>
        <v>T-030</v>
      </c>
      <c r="B31" s="1">
        <v>46108</v>
      </c>
      <c r="C31" t="s">
        <v>143</v>
      </c>
      <c r="D31" t="s">
        <v>28</v>
      </c>
      <c r="E31" t="s">
        <v>50</v>
      </c>
      <c r="F31">
        <v>544.05999999999995</v>
      </c>
      <c r="G31">
        <v>535.73</v>
      </c>
      <c r="H31">
        <v>2</v>
      </c>
      <c r="I31">
        <f t="shared" si="4"/>
        <v>16.659999999999854</v>
      </c>
      <c r="J31">
        <v>1</v>
      </c>
      <c r="K31">
        <f t="shared" si="2"/>
        <v>16.659999999999854</v>
      </c>
      <c r="L31" t="s">
        <v>72</v>
      </c>
      <c r="M31">
        <f>SUMIF(Executions!B:B,A31,Executions!H:H)</f>
        <v>-26.839999999999918</v>
      </c>
      <c r="N31">
        <f t="shared" si="3"/>
        <v>-1.6110444177671159</v>
      </c>
      <c r="O31">
        <f>Tabla1[[#This Row],[Initial Risk $]]/Tabla1[[#This Row],[Position Size (shares)]]+Tabla1[[#This Row],[Entry Price]]</f>
        <v>552.38999999999987</v>
      </c>
      <c r="P31">
        <f>Tabla1[[#This Row],[Initial Risk $]]/Tabla1[[#This Row],[Position Size (shares)]]*2+Tabla1[[#This Row],[Entry Price]]</f>
        <v>560.7199999999998</v>
      </c>
      <c r="Q31">
        <f>Tabla1[[#This Row],[Initial Risk $]]/Tabla1[[#This Row],[Position Size (shares)]]*3+Tabla1[[#This Row],[Entry Price]]</f>
        <v>569.04999999999973</v>
      </c>
    </row>
    <row r="32" spans="1:17" hidden="1" x14ac:dyDescent="0.25">
      <c r="A32" t="str">
        <f t="shared" si="0"/>
        <v>T-031</v>
      </c>
      <c r="B32" s="1">
        <v>46108</v>
      </c>
      <c r="C32" t="s">
        <v>145</v>
      </c>
      <c r="D32" t="s">
        <v>28</v>
      </c>
      <c r="E32" t="s">
        <v>58</v>
      </c>
      <c r="F32">
        <v>123.25</v>
      </c>
      <c r="G32">
        <v>120.99</v>
      </c>
      <c r="H32">
        <v>3</v>
      </c>
      <c r="I32">
        <f t="shared" si="4"/>
        <v>6.7800000000000153</v>
      </c>
      <c r="J32">
        <v>1.5</v>
      </c>
      <c r="K32">
        <f t="shared" si="2"/>
        <v>10.170000000000023</v>
      </c>
      <c r="L32" t="s">
        <v>72</v>
      </c>
      <c r="M32">
        <f>SUMIF(Executions!B:B,A32,Executions!H:H)</f>
        <v>3.1800000000000068</v>
      </c>
      <c r="N32">
        <f t="shared" si="3"/>
        <v>0.46902654867256632</v>
      </c>
      <c r="O32">
        <f>Tabla1[[#This Row],[Initial Risk $]]/Tabla1[[#This Row],[Position Size (shares)]]+Tabla1[[#This Row],[Entry Price]]</f>
        <v>125.51</v>
      </c>
      <c r="P32">
        <f>Tabla1[[#This Row],[Initial Risk $]]/Tabla1[[#This Row],[Position Size (shares)]]*2+Tabla1[[#This Row],[Entry Price]]</f>
        <v>127.77000000000001</v>
      </c>
      <c r="Q32">
        <f>Tabla1[[#This Row],[Initial Risk $]]/Tabla1[[#This Row],[Position Size (shares)]]*3+Tabla1[[#This Row],[Entry Price]]</f>
        <v>130.03000000000003</v>
      </c>
    </row>
    <row r="33" spans="1:17" hidden="1" x14ac:dyDescent="0.25">
      <c r="A33" t="str">
        <f t="shared" si="0"/>
        <v>T-032</v>
      </c>
      <c r="B33" s="1">
        <v>46108</v>
      </c>
      <c r="C33" t="s">
        <v>147</v>
      </c>
      <c r="D33" t="s">
        <v>28</v>
      </c>
      <c r="E33" t="s">
        <v>27</v>
      </c>
      <c r="F33">
        <v>62.92</v>
      </c>
      <c r="G33">
        <v>61.92</v>
      </c>
      <c r="H33">
        <v>3</v>
      </c>
      <c r="I33">
        <f t="shared" si="4"/>
        <v>3</v>
      </c>
      <c r="J33">
        <v>2</v>
      </c>
      <c r="K33">
        <f t="shared" si="2"/>
        <v>6</v>
      </c>
      <c r="L33" t="s">
        <v>72</v>
      </c>
      <c r="M33">
        <f>SUMIF(Executions!B:B,A33,Executions!H:H)</f>
        <v>7.9799999999999898</v>
      </c>
      <c r="N33">
        <f t="shared" si="3"/>
        <v>2.6599999999999966</v>
      </c>
      <c r="O33">
        <f>Tabla1[[#This Row],[Initial Risk $]]/Tabla1[[#This Row],[Position Size (shares)]]+Tabla1[[#This Row],[Entry Price]]</f>
        <v>63.92</v>
      </c>
      <c r="P33">
        <f>Tabla1[[#This Row],[Initial Risk $]]/Tabla1[[#This Row],[Position Size (shares)]]*2+Tabla1[[#This Row],[Entry Price]]</f>
        <v>64.92</v>
      </c>
      <c r="Q33">
        <f>Tabla1[[#This Row],[Initial Risk $]]/Tabla1[[#This Row],[Position Size (shares)]]*3+Tabla1[[#This Row],[Entry Price]]</f>
        <v>65.92</v>
      </c>
    </row>
    <row r="34" spans="1:17" hidden="1" x14ac:dyDescent="0.25">
      <c r="A34" t="str">
        <f t="shared" si="0"/>
        <v>T-033</v>
      </c>
      <c r="B34" s="1">
        <v>46112</v>
      </c>
      <c r="C34" t="s">
        <v>150</v>
      </c>
      <c r="D34" t="s">
        <v>28</v>
      </c>
      <c r="E34" t="s">
        <v>119</v>
      </c>
      <c r="F34">
        <v>13.07</v>
      </c>
      <c r="G34">
        <v>12.24</v>
      </c>
      <c r="H34">
        <v>14</v>
      </c>
      <c r="I34">
        <f t="shared" si="4"/>
        <v>11.620000000000001</v>
      </c>
      <c r="J34">
        <v>1</v>
      </c>
      <c r="K34">
        <f t="shared" si="2"/>
        <v>11.620000000000001</v>
      </c>
      <c r="L34" t="s">
        <v>72</v>
      </c>
      <c r="M34">
        <f>SUMIF(Executions!B:B,A34,Executions!H:H)</f>
        <v>27.93</v>
      </c>
      <c r="N34">
        <f t="shared" si="3"/>
        <v>2.403614457831325</v>
      </c>
      <c r="O34">
        <f>Tabla1[[#This Row],[Initial Risk $]]/Tabla1[[#This Row],[Position Size (shares)]]+Tabla1[[#This Row],[Entry Price]]</f>
        <v>13.9</v>
      </c>
      <c r="P34">
        <f>Tabla1[[#This Row],[Initial Risk $]]/Tabla1[[#This Row],[Position Size (shares)]]*2+Tabla1[[#This Row],[Entry Price]]</f>
        <v>14.73</v>
      </c>
      <c r="Q34">
        <f>Tabla1[[#This Row],[Initial Risk $]]/Tabla1[[#This Row],[Position Size (shares)]]*3+Tabla1[[#This Row],[Entry Price]]</f>
        <v>15.56</v>
      </c>
    </row>
    <row r="35" spans="1:17" hidden="1" x14ac:dyDescent="0.25">
      <c r="A35" t="str">
        <f t="shared" si="0"/>
        <v>T-034</v>
      </c>
      <c r="B35" s="1">
        <v>46112</v>
      </c>
      <c r="C35" t="s">
        <v>151</v>
      </c>
      <c r="D35" t="s">
        <v>28</v>
      </c>
      <c r="E35" t="s">
        <v>58</v>
      </c>
      <c r="F35">
        <v>58.53</v>
      </c>
      <c r="G35">
        <v>57.53</v>
      </c>
      <c r="H35">
        <v>4</v>
      </c>
      <c r="I35">
        <f t="shared" si="4"/>
        <v>4</v>
      </c>
      <c r="J35">
        <v>1</v>
      </c>
      <c r="K35">
        <f t="shared" si="2"/>
        <v>4</v>
      </c>
      <c r="L35" t="s">
        <v>72</v>
      </c>
      <c r="M35">
        <f>SUMIF(Executions!B:B,A35,Executions!H:H)</f>
        <v>-3.9200000000000159</v>
      </c>
      <c r="N35">
        <f t="shared" si="3"/>
        <v>-0.98000000000000398</v>
      </c>
      <c r="O35">
        <f>Tabla1[[#This Row],[Initial Risk $]]/Tabla1[[#This Row],[Position Size (shares)]]+Tabla1[[#This Row],[Entry Price]]</f>
        <v>59.53</v>
      </c>
      <c r="P35">
        <f>Tabla1[[#This Row],[Initial Risk $]]/Tabla1[[#This Row],[Position Size (shares)]]*2+Tabla1[[#This Row],[Entry Price]]</f>
        <v>60.53</v>
      </c>
      <c r="Q35">
        <f>Tabla1[[#This Row],[Initial Risk $]]/Tabla1[[#This Row],[Position Size (shares)]]*3+Tabla1[[#This Row],[Entry Price]]</f>
        <v>61.53</v>
      </c>
    </row>
    <row r="36" spans="1:17" hidden="1" x14ac:dyDescent="0.25">
      <c r="A36" t="str">
        <f t="shared" si="0"/>
        <v>T-035</v>
      </c>
      <c r="B36" s="1">
        <v>46112</v>
      </c>
      <c r="C36" t="s">
        <v>118</v>
      </c>
      <c r="D36" t="s">
        <v>28</v>
      </c>
      <c r="E36" t="s">
        <v>119</v>
      </c>
      <c r="F36">
        <v>156.61000000000001</v>
      </c>
      <c r="G36">
        <v>153.01</v>
      </c>
      <c r="H36">
        <v>3</v>
      </c>
      <c r="I36">
        <f t="shared" ref="I36:I65" si="5">IF(D36="Long",(F36-G36)*H36,(G36-F36)*0)</f>
        <v>10.800000000000068</v>
      </c>
      <c r="J36">
        <v>1</v>
      </c>
      <c r="K36">
        <f t="shared" si="2"/>
        <v>10.800000000000068</v>
      </c>
      <c r="L36" t="s">
        <v>72</v>
      </c>
      <c r="M36">
        <f>SUMIF(Executions!B:B,A36,Executions!H:H)</f>
        <v>-11.04000000000002</v>
      </c>
      <c r="N36">
        <f t="shared" si="3"/>
        <v>-1.0222222222222177</v>
      </c>
      <c r="O36">
        <f>Tabla1[[#This Row],[Initial Risk $]]/Tabla1[[#This Row],[Position Size (shares)]]+Tabla1[[#This Row],[Entry Price]]</f>
        <v>160.21000000000004</v>
      </c>
      <c r="P36">
        <f>Tabla1[[#This Row],[Initial Risk $]]/Tabla1[[#This Row],[Position Size (shares)]]*2+Tabla1[[#This Row],[Entry Price]]</f>
        <v>163.81000000000006</v>
      </c>
      <c r="Q36">
        <f>Tabla1[[#This Row],[Initial Risk $]]/Tabla1[[#This Row],[Position Size (shares)]]*3+Tabla1[[#This Row],[Entry Price]]</f>
        <v>167.41000000000008</v>
      </c>
    </row>
    <row r="37" spans="1:17" hidden="1" x14ac:dyDescent="0.25">
      <c r="A37" t="str">
        <f t="shared" si="0"/>
        <v>T-036</v>
      </c>
      <c r="B37" s="1">
        <v>46113</v>
      </c>
      <c r="C37" t="s">
        <v>153</v>
      </c>
      <c r="D37" t="s">
        <v>28</v>
      </c>
      <c r="E37" t="s">
        <v>119</v>
      </c>
      <c r="F37">
        <v>1.69</v>
      </c>
      <c r="G37">
        <v>1.58</v>
      </c>
      <c r="H37">
        <v>100</v>
      </c>
      <c r="I37">
        <f t="shared" si="5"/>
        <v>10.999999999999988</v>
      </c>
      <c r="J37">
        <v>1</v>
      </c>
      <c r="K37">
        <f t="shared" si="2"/>
        <v>10.999999999999988</v>
      </c>
      <c r="L37" t="s">
        <v>72</v>
      </c>
      <c r="M37">
        <f>SUMIF(Executions!B:B,A37,Executions!H:H)</f>
        <v>-10.999999999999988</v>
      </c>
      <c r="N37">
        <f t="shared" si="3"/>
        <v>-1</v>
      </c>
      <c r="O37">
        <f>Tabla1[[#This Row],[Initial Risk $]]/Tabla1[[#This Row],[Position Size (shares)]]+Tabla1[[#This Row],[Entry Price]]</f>
        <v>1.7999999999999998</v>
      </c>
      <c r="P37">
        <f>Tabla1[[#This Row],[Initial Risk $]]/Tabla1[[#This Row],[Position Size (shares)]]*2+Tabla1[[#This Row],[Entry Price]]</f>
        <v>1.9099999999999997</v>
      </c>
      <c r="Q37">
        <f>Tabla1[[#This Row],[Initial Risk $]]/Tabla1[[#This Row],[Position Size (shares)]]*3+Tabla1[[#This Row],[Entry Price]]</f>
        <v>2.0199999999999996</v>
      </c>
    </row>
    <row r="38" spans="1:17" hidden="1" x14ac:dyDescent="0.25">
      <c r="A38" t="str">
        <f t="shared" si="0"/>
        <v>T-037</v>
      </c>
      <c r="B38" s="1">
        <v>46113</v>
      </c>
      <c r="C38" t="s">
        <v>154</v>
      </c>
      <c r="D38" t="s">
        <v>28</v>
      </c>
      <c r="E38" t="s">
        <v>119</v>
      </c>
      <c r="F38">
        <v>292.51</v>
      </c>
      <c r="G38">
        <v>291.02</v>
      </c>
      <c r="H38">
        <v>2</v>
      </c>
      <c r="I38">
        <f t="shared" si="5"/>
        <v>2.9800000000000182</v>
      </c>
      <c r="J38">
        <v>1</v>
      </c>
      <c r="K38">
        <f t="shared" si="2"/>
        <v>2.9800000000000182</v>
      </c>
      <c r="L38" t="s">
        <v>72</v>
      </c>
      <c r="M38">
        <f>SUMIF(Executions!B:B,A38,Executions!H:H)</f>
        <v>4.32000000000005</v>
      </c>
      <c r="N38">
        <f t="shared" si="3"/>
        <v>1.4496644295302092</v>
      </c>
      <c r="O38">
        <f>Tabla1[[#This Row],[Initial Risk $]]/Tabla1[[#This Row],[Position Size (shares)]]+Tabla1[[#This Row],[Entry Price]]</f>
        <v>294</v>
      </c>
      <c r="P38">
        <f>Tabla1[[#This Row],[Initial Risk $]]/Tabla1[[#This Row],[Position Size (shares)]]*2+Tabla1[[#This Row],[Entry Price]]</f>
        <v>295.49</v>
      </c>
      <c r="Q38">
        <f>Tabla1[[#This Row],[Initial Risk $]]/Tabla1[[#This Row],[Position Size (shares)]]*3+Tabla1[[#This Row],[Entry Price]]</f>
        <v>296.98</v>
      </c>
    </row>
    <row r="39" spans="1:17" hidden="1" x14ac:dyDescent="0.25">
      <c r="A39" t="str">
        <f t="shared" si="0"/>
        <v>T-038</v>
      </c>
      <c r="B39" s="1">
        <v>46114</v>
      </c>
      <c r="C39" t="s">
        <v>157</v>
      </c>
      <c r="D39" t="s">
        <v>28</v>
      </c>
      <c r="E39" t="s">
        <v>119</v>
      </c>
      <c r="F39">
        <v>165.58</v>
      </c>
      <c r="G39">
        <v>163.58000000000001</v>
      </c>
      <c r="H39">
        <v>2</v>
      </c>
      <c r="I39">
        <f t="shared" si="5"/>
        <v>4</v>
      </c>
      <c r="J39">
        <v>1</v>
      </c>
      <c r="K39">
        <f t="shared" si="2"/>
        <v>4</v>
      </c>
      <c r="L39" t="s">
        <v>72</v>
      </c>
      <c r="M39">
        <f>SUMIF(Executions!B:B,A39,Executions!H:H)</f>
        <v>-4</v>
      </c>
      <c r="N39">
        <f t="shared" si="3"/>
        <v>-1</v>
      </c>
      <c r="O39">
        <f>Tabla1[[#This Row],[Initial Risk $]]/Tabla1[[#This Row],[Position Size (shares)]]+Tabla1[[#This Row],[Entry Price]]</f>
        <v>167.58</v>
      </c>
      <c r="P39">
        <f>Tabla1[[#This Row],[Initial Risk $]]/Tabla1[[#This Row],[Position Size (shares)]]*2+Tabla1[[#This Row],[Entry Price]]</f>
        <v>169.58</v>
      </c>
      <c r="Q39">
        <f>Tabla1[[#This Row],[Initial Risk $]]/Tabla1[[#This Row],[Position Size (shares)]]*3+Tabla1[[#This Row],[Entry Price]]</f>
        <v>171.58</v>
      </c>
    </row>
    <row r="40" spans="1:17" hidden="1" x14ac:dyDescent="0.25">
      <c r="A40" t="str">
        <f t="shared" si="0"/>
        <v>T-039</v>
      </c>
      <c r="B40" s="1">
        <v>46114</v>
      </c>
      <c r="C40" t="s">
        <v>159</v>
      </c>
      <c r="D40" t="s">
        <v>28</v>
      </c>
      <c r="E40" t="s">
        <v>58</v>
      </c>
      <c r="F40">
        <v>1</v>
      </c>
      <c r="G40">
        <v>0.89339999999999997</v>
      </c>
      <c r="H40">
        <v>50</v>
      </c>
      <c r="I40">
        <f t="shared" si="5"/>
        <v>5.3300000000000018</v>
      </c>
      <c r="J40">
        <v>1</v>
      </c>
      <c r="K40">
        <f t="shared" si="2"/>
        <v>5.3300000000000018</v>
      </c>
      <c r="L40" t="s">
        <v>72</v>
      </c>
      <c r="M40">
        <f>SUMIF(Executions!B:B,A40,Executions!H:H)</f>
        <v>-6</v>
      </c>
      <c r="N40">
        <f t="shared" si="3"/>
        <v>-1.1257035647279545</v>
      </c>
      <c r="O40">
        <f>Tabla1[[#This Row],[Initial Risk $]]/Tabla1[[#This Row],[Position Size (shares)]]+Tabla1[[#This Row],[Entry Price]]</f>
        <v>1.1066</v>
      </c>
      <c r="P40">
        <f>Tabla1[[#This Row],[Initial Risk $]]/Tabla1[[#This Row],[Position Size (shares)]]*2+Tabla1[[#This Row],[Entry Price]]</f>
        <v>1.2132000000000001</v>
      </c>
      <c r="Q40">
        <f>Tabla1[[#This Row],[Initial Risk $]]/Tabla1[[#This Row],[Position Size (shares)]]*3+Tabla1[[#This Row],[Entry Price]]</f>
        <v>1.3198000000000001</v>
      </c>
    </row>
    <row r="41" spans="1:17" hidden="1" x14ac:dyDescent="0.25">
      <c r="A41" t="str">
        <f t="shared" si="0"/>
        <v>T-040</v>
      </c>
      <c r="B41" s="1">
        <v>46114</v>
      </c>
      <c r="C41" t="s">
        <v>95</v>
      </c>
      <c r="D41" t="s">
        <v>28</v>
      </c>
      <c r="E41" t="s">
        <v>119</v>
      </c>
      <c r="F41">
        <v>72.180000000000007</v>
      </c>
      <c r="G41">
        <v>70.77</v>
      </c>
      <c r="H41">
        <v>6</v>
      </c>
      <c r="I41">
        <f t="shared" si="5"/>
        <v>8.4600000000000648</v>
      </c>
      <c r="J41">
        <v>2</v>
      </c>
      <c r="K41">
        <f t="shared" si="2"/>
        <v>16.92000000000013</v>
      </c>
      <c r="L41" t="s">
        <v>72</v>
      </c>
      <c r="M41">
        <f>SUMIF(Executions!B:B,A41,Executions!H:H)</f>
        <v>22.599999999999966</v>
      </c>
      <c r="N41">
        <f t="shared" si="3"/>
        <v>2.6713947990543492</v>
      </c>
      <c r="O41">
        <f>Tabla1[[#This Row],[Initial Risk $]]/Tabla1[[#This Row],[Position Size (shares)]]+Tabla1[[#This Row],[Entry Price]]</f>
        <v>73.590000000000018</v>
      </c>
      <c r="P41">
        <f>Tabla1[[#This Row],[Initial Risk $]]/Tabla1[[#This Row],[Position Size (shares)]]*2+Tabla1[[#This Row],[Entry Price]]</f>
        <v>75.000000000000028</v>
      </c>
      <c r="Q41">
        <f>Tabla1[[#This Row],[Initial Risk $]]/Tabla1[[#This Row],[Position Size (shares)]]*3+Tabla1[[#This Row],[Entry Price]]</f>
        <v>76.410000000000039</v>
      </c>
    </row>
    <row r="42" spans="1:17" hidden="1" x14ac:dyDescent="0.25">
      <c r="A42" t="str">
        <f t="shared" si="0"/>
        <v>T-041</v>
      </c>
      <c r="B42" s="1">
        <v>46118</v>
      </c>
      <c r="C42" t="s">
        <v>161</v>
      </c>
      <c r="D42" t="s">
        <v>28</v>
      </c>
      <c r="E42" t="s">
        <v>58</v>
      </c>
      <c r="F42">
        <v>51.72</v>
      </c>
      <c r="G42">
        <v>50.62</v>
      </c>
      <c r="H42">
        <v>4</v>
      </c>
      <c r="I42">
        <f t="shared" si="5"/>
        <v>4.4000000000000057</v>
      </c>
      <c r="J42">
        <v>1</v>
      </c>
      <c r="K42">
        <f t="shared" si="2"/>
        <v>4.4000000000000057</v>
      </c>
      <c r="L42" t="s">
        <v>72</v>
      </c>
      <c r="M42">
        <f>SUMIF(Executions!B:B,A42,Executions!H:H)</f>
        <v>-4.4000000000000057</v>
      </c>
      <c r="N42">
        <f t="shared" si="3"/>
        <v>-1</v>
      </c>
      <c r="O42">
        <f>Tabla1[[#This Row],[Initial Risk $]]/Tabla1[[#This Row],[Position Size (shares)]]+Tabla1[[#This Row],[Entry Price]]</f>
        <v>52.82</v>
      </c>
      <c r="P42">
        <f>Tabla1[[#This Row],[Initial Risk $]]/Tabla1[[#This Row],[Position Size (shares)]]*2+Tabla1[[#This Row],[Entry Price]]</f>
        <v>53.92</v>
      </c>
      <c r="Q42">
        <f>Tabla1[[#This Row],[Initial Risk $]]/Tabla1[[#This Row],[Position Size (shares)]]*3+Tabla1[[#This Row],[Entry Price]]</f>
        <v>55.02</v>
      </c>
    </row>
    <row r="43" spans="1:17" hidden="1" x14ac:dyDescent="0.25">
      <c r="A43" t="str">
        <f t="shared" si="0"/>
        <v>T-042</v>
      </c>
      <c r="B43" s="1">
        <v>46118</v>
      </c>
      <c r="C43" t="s">
        <v>161</v>
      </c>
      <c r="D43" t="s">
        <v>28</v>
      </c>
      <c r="E43" t="s">
        <v>58</v>
      </c>
      <c r="F43">
        <v>50.72</v>
      </c>
      <c r="G43">
        <v>50.01</v>
      </c>
      <c r="H43">
        <v>4</v>
      </c>
      <c r="I43">
        <f t="shared" si="5"/>
        <v>2.8400000000000034</v>
      </c>
      <c r="J43">
        <v>2</v>
      </c>
      <c r="K43">
        <f t="shared" si="2"/>
        <v>5.6800000000000068</v>
      </c>
      <c r="L43" t="s">
        <v>72</v>
      </c>
      <c r="M43">
        <f>SUMIF(Executions!B:B,A43,Executions!H:H)</f>
        <v>-2.960000000000008</v>
      </c>
      <c r="N43">
        <f t="shared" si="3"/>
        <v>-1.0422535211267621</v>
      </c>
      <c r="O43">
        <f>Tabla1[[#This Row],[Initial Risk $]]/Tabla1[[#This Row],[Position Size (shares)]]+Tabla1[[#This Row],[Entry Price]]</f>
        <v>51.43</v>
      </c>
      <c r="P43">
        <f>Tabla1[[#This Row],[Initial Risk $]]/Tabla1[[#This Row],[Position Size (shares)]]*2+Tabla1[[#This Row],[Entry Price]]</f>
        <v>52.14</v>
      </c>
      <c r="Q43">
        <f>Tabla1[[#This Row],[Initial Risk $]]/Tabla1[[#This Row],[Position Size (shares)]]*3+Tabla1[[#This Row],[Entry Price]]</f>
        <v>52.85</v>
      </c>
    </row>
    <row r="44" spans="1:17" hidden="1" x14ac:dyDescent="0.25">
      <c r="A44" t="str">
        <f t="shared" si="0"/>
        <v>T-043</v>
      </c>
      <c r="B44" s="1">
        <v>46120</v>
      </c>
      <c r="C44" t="s">
        <v>164</v>
      </c>
      <c r="D44" t="s">
        <v>28</v>
      </c>
      <c r="E44" t="s">
        <v>119</v>
      </c>
      <c r="F44">
        <v>184.69</v>
      </c>
      <c r="G44">
        <v>181.69</v>
      </c>
      <c r="H44">
        <v>3</v>
      </c>
      <c r="I44">
        <f t="shared" si="5"/>
        <v>9</v>
      </c>
      <c r="J44">
        <v>1</v>
      </c>
      <c r="K44">
        <f t="shared" si="2"/>
        <v>9</v>
      </c>
      <c r="L44" t="s">
        <v>72</v>
      </c>
      <c r="M44">
        <f>SUMIF(Executions!B:B,A44,Executions!H:H)</f>
        <v>-9.0299999999999727</v>
      </c>
      <c r="N44">
        <f t="shared" si="3"/>
        <v>-1.0033333333333303</v>
      </c>
      <c r="O44">
        <f>Tabla1[[#This Row],[Initial Risk $]]/Tabla1[[#This Row],[Position Size (shares)]]+Tabla1[[#This Row],[Entry Price]]</f>
        <v>187.69</v>
      </c>
      <c r="P44">
        <f>Tabla1[[#This Row],[Initial Risk $]]/Tabla1[[#This Row],[Position Size (shares)]]*2+Tabla1[[#This Row],[Entry Price]]</f>
        <v>190.69</v>
      </c>
      <c r="Q44">
        <f>Tabla1[[#This Row],[Initial Risk $]]/Tabla1[[#This Row],[Position Size (shares)]]*3+Tabla1[[#This Row],[Entry Price]]</f>
        <v>193.69</v>
      </c>
    </row>
    <row r="45" spans="1:17" hidden="1" x14ac:dyDescent="0.25">
      <c r="A45" t="str">
        <f t="shared" si="0"/>
        <v>T-044</v>
      </c>
      <c r="B45" s="1">
        <v>46120</v>
      </c>
      <c r="C45" t="s">
        <v>164</v>
      </c>
      <c r="D45" t="s">
        <v>28</v>
      </c>
      <c r="E45" t="s">
        <v>119</v>
      </c>
      <c r="F45">
        <v>182.13</v>
      </c>
      <c r="G45">
        <v>181.09</v>
      </c>
      <c r="H45">
        <v>3</v>
      </c>
      <c r="I45">
        <f t="shared" si="5"/>
        <v>3.1199999999999761</v>
      </c>
      <c r="J45">
        <v>1</v>
      </c>
      <c r="K45">
        <f t="shared" si="2"/>
        <v>3.1199999999999761</v>
      </c>
      <c r="L45" t="s">
        <v>72</v>
      </c>
      <c r="M45">
        <f>SUMIF(Executions!B:B,A45,Executions!H:H)</f>
        <v>-3.1499999999999488</v>
      </c>
      <c r="N45">
        <f t="shared" si="3"/>
        <v>-1.0096153846153759</v>
      </c>
      <c r="O45">
        <f>Tabla1[[#This Row],[Initial Risk $]]/Tabla1[[#This Row],[Position Size (shares)]]+Tabla1[[#This Row],[Entry Price]]</f>
        <v>183.17</v>
      </c>
      <c r="P45">
        <f>Tabla1[[#This Row],[Initial Risk $]]/Tabla1[[#This Row],[Position Size (shares)]]*2+Tabla1[[#This Row],[Entry Price]]</f>
        <v>184.20999999999998</v>
      </c>
      <c r="Q45">
        <f>Tabla1[[#This Row],[Initial Risk $]]/Tabla1[[#This Row],[Position Size (shares)]]*3+Tabla1[[#This Row],[Entry Price]]</f>
        <v>185.24999999999997</v>
      </c>
    </row>
    <row r="46" spans="1:17" hidden="1" x14ac:dyDescent="0.25">
      <c r="A46" t="str">
        <f t="shared" si="0"/>
        <v>T-045</v>
      </c>
      <c r="B46" s="1">
        <v>46120</v>
      </c>
      <c r="C46" t="s">
        <v>164</v>
      </c>
      <c r="D46" t="s">
        <v>28</v>
      </c>
      <c r="E46" t="s">
        <v>119</v>
      </c>
      <c r="F46">
        <v>181.57</v>
      </c>
      <c r="G46">
        <v>180.17</v>
      </c>
      <c r="H46">
        <v>3</v>
      </c>
      <c r="I46">
        <f t="shared" si="5"/>
        <v>4.2000000000000171</v>
      </c>
      <c r="J46">
        <v>2</v>
      </c>
      <c r="K46">
        <f t="shared" si="2"/>
        <v>8.4000000000000341</v>
      </c>
      <c r="L46" t="s">
        <v>72</v>
      </c>
      <c r="M46">
        <f>SUMIF(Executions!B:B,A46,Executions!H:H)</f>
        <v>20.670000000000044</v>
      </c>
      <c r="N46">
        <f t="shared" si="3"/>
        <v>4.9214285714285619</v>
      </c>
      <c r="O46">
        <f>Tabla1[[#This Row],[Initial Risk $]]/Tabla1[[#This Row],[Position Size (shares)]]+Tabla1[[#This Row],[Entry Price]]</f>
        <v>182.97</v>
      </c>
      <c r="P46">
        <f>Tabla1[[#This Row],[Initial Risk $]]/Tabla1[[#This Row],[Position Size (shares)]]*2+Tabla1[[#This Row],[Entry Price]]</f>
        <v>184.37</v>
      </c>
      <c r="Q46">
        <f>Tabla1[[#This Row],[Initial Risk $]]/Tabla1[[#This Row],[Position Size (shares)]]*3+Tabla1[[#This Row],[Entry Price]]</f>
        <v>185.77</v>
      </c>
    </row>
    <row r="47" spans="1:17" hidden="1" x14ac:dyDescent="0.25">
      <c r="A47" t="str">
        <f t="shared" si="0"/>
        <v>T-046</v>
      </c>
      <c r="B47" s="1">
        <v>46121</v>
      </c>
      <c r="C47" t="s">
        <v>167</v>
      </c>
      <c r="D47" t="s">
        <v>28</v>
      </c>
      <c r="E47" t="s">
        <v>119</v>
      </c>
      <c r="F47">
        <v>30.82</v>
      </c>
      <c r="G47">
        <v>30.34</v>
      </c>
      <c r="H47">
        <v>40</v>
      </c>
      <c r="I47">
        <f t="shared" si="5"/>
        <v>19.200000000000017</v>
      </c>
      <c r="J47">
        <v>1</v>
      </c>
      <c r="K47">
        <f t="shared" si="2"/>
        <v>19.200000000000017</v>
      </c>
      <c r="L47" t="s">
        <v>72</v>
      </c>
      <c r="M47">
        <f>SUMIF(Executions!B:B,A47,Executions!H:H)</f>
        <v>28.499999999999979</v>
      </c>
      <c r="N47">
        <f t="shared" si="3"/>
        <v>1.4843749999999976</v>
      </c>
      <c r="O47">
        <f>Tabla1[[#This Row],[Initial Risk $]]/Tabla1[[#This Row],[Position Size (shares)]]+Tabla1[[#This Row],[Entry Price]]</f>
        <v>31.3</v>
      </c>
      <c r="P47">
        <f>Tabla1[[#This Row],[Initial Risk $]]/Tabla1[[#This Row],[Position Size (shares)]]*2+Tabla1[[#This Row],[Entry Price]]</f>
        <v>31.78</v>
      </c>
      <c r="Q47">
        <f>Tabla1[[#This Row],[Initial Risk $]]/Tabla1[[#This Row],[Position Size (shares)]]*3+Tabla1[[#This Row],[Entry Price]]</f>
        <v>32.260000000000005</v>
      </c>
    </row>
    <row r="48" spans="1:17" hidden="1" x14ac:dyDescent="0.25">
      <c r="A48" t="str">
        <f t="shared" si="0"/>
        <v>T-047</v>
      </c>
      <c r="B48" s="1">
        <v>46121</v>
      </c>
      <c r="C48" t="s">
        <v>169</v>
      </c>
      <c r="D48" t="s">
        <v>28</v>
      </c>
      <c r="E48" t="s">
        <v>119</v>
      </c>
      <c r="F48">
        <v>27.18</v>
      </c>
      <c r="G48">
        <v>24.95</v>
      </c>
      <c r="H48">
        <v>6</v>
      </c>
      <c r="I48">
        <f t="shared" si="5"/>
        <v>13.380000000000003</v>
      </c>
      <c r="J48">
        <v>1</v>
      </c>
      <c r="K48">
        <f t="shared" si="2"/>
        <v>13.380000000000003</v>
      </c>
      <c r="L48" t="s">
        <v>72</v>
      </c>
      <c r="M48">
        <f>SUMIF(Executions!B:B,A48,Executions!H:H)</f>
        <v>22.5</v>
      </c>
      <c r="N48">
        <f t="shared" si="3"/>
        <v>1.6816143497757845</v>
      </c>
      <c r="O48">
        <f>Tabla1[[#This Row],[Initial Risk $]]/Tabla1[[#This Row],[Position Size (shares)]]+Tabla1[[#This Row],[Entry Price]]</f>
        <v>29.41</v>
      </c>
      <c r="P48">
        <f>Tabla1[[#This Row],[Initial Risk $]]/Tabla1[[#This Row],[Position Size (shares)]]*2+Tabla1[[#This Row],[Entry Price]]</f>
        <v>31.64</v>
      </c>
      <c r="Q48">
        <f>Tabla1[[#This Row],[Initial Risk $]]/Tabla1[[#This Row],[Position Size (shares)]]*3+Tabla1[[#This Row],[Entry Price]]</f>
        <v>33.870000000000005</v>
      </c>
    </row>
    <row r="49" spans="1:17" hidden="1" x14ac:dyDescent="0.25">
      <c r="A49" t="str">
        <f t="shared" si="0"/>
        <v>T-048</v>
      </c>
      <c r="B49" s="1">
        <v>46121</v>
      </c>
      <c r="C49" t="s">
        <v>130</v>
      </c>
      <c r="D49" t="s">
        <v>28</v>
      </c>
      <c r="E49" t="s">
        <v>58</v>
      </c>
      <c r="F49">
        <v>246.05</v>
      </c>
      <c r="G49">
        <v>243.05</v>
      </c>
      <c r="H49">
        <v>2</v>
      </c>
      <c r="I49">
        <f t="shared" si="5"/>
        <v>6</v>
      </c>
      <c r="J49">
        <v>1</v>
      </c>
      <c r="K49">
        <f t="shared" si="2"/>
        <v>6</v>
      </c>
      <c r="L49" t="s">
        <v>72</v>
      </c>
      <c r="M49">
        <f>SUMIF(Executions!B:B,A49,Executions!H:H)</f>
        <v>-6.0600000000000023</v>
      </c>
      <c r="N49">
        <f t="shared" si="3"/>
        <v>-1.0100000000000005</v>
      </c>
      <c r="O49">
        <f>Tabla1[[#This Row],[Initial Risk $]]/Tabla1[[#This Row],[Position Size (shares)]]+Tabla1[[#This Row],[Entry Price]]</f>
        <v>249.05</v>
      </c>
      <c r="P49">
        <f>Tabla1[[#This Row],[Initial Risk $]]/Tabla1[[#This Row],[Position Size (shares)]]*2+Tabla1[[#This Row],[Entry Price]]</f>
        <v>252.05</v>
      </c>
      <c r="Q49">
        <f>Tabla1[[#This Row],[Initial Risk $]]/Tabla1[[#This Row],[Position Size (shares)]]*3+Tabla1[[#This Row],[Entry Price]]</f>
        <v>255.05</v>
      </c>
    </row>
    <row r="50" spans="1:17" hidden="1" x14ac:dyDescent="0.25">
      <c r="A50" t="str">
        <f t="shared" si="0"/>
        <v>T-049</v>
      </c>
      <c r="B50" s="1">
        <v>46125</v>
      </c>
      <c r="C50" t="s">
        <v>101</v>
      </c>
      <c r="D50" t="s">
        <v>28</v>
      </c>
      <c r="E50" t="s">
        <v>60</v>
      </c>
      <c r="F50">
        <v>2.91</v>
      </c>
      <c r="G50">
        <v>2.72</v>
      </c>
      <c r="H50">
        <v>30</v>
      </c>
      <c r="I50">
        <f t="shared" si="5"/>
        <v>5.6999999999999984</v>
      </c>
      <c r="J50">
        <v>1</v>
      </c>
      <c r="K50">
        <f t="shared" si="2"/>
        <v>5.6999999999999984</v>
      </c>
      <c r="L50" t="s">
        <v>72</v>
      </c>
      <c r="M50">
        <f>SUMIF(Executions!B:B,A50,Executions!H:H)</f>
        <v>22.799999999999994</v>
      </c>
      <c r="N50">
        <f t="shared" si="3"/>
        <v>4</v>
      </c>
      <c r="O50">
        <f>Tabla1[[#This Row],[Initial Risk $]]/Tabla1[[#This Row],[Position Size (shares)]]+Tabla1[[#This Row],[Entry Price]]</f>
        <v>3.1</v>
      </c>
      <c r="P50">
        <f>Tabla1[[#This Row],[Initial Risk $]]/Tabla1[[#This Row],[Position Size (shares)]]*2+Tabla1[[#This Row],[Entry Price]]</f>
        <v>3.29</v>
      </c>
      <c r="Q50">
        <f>Tabla1[[#This Row],[Initial Risk $]]/Tabla1[[#This Row],[Position Size (shares)]]*3+Tabla1[[#This Row],[Entry Price]]</f>
        <v>3.48</v>
      </c>
    </row>
    <row r="51" spans="1:17" hidden="1" x14ac:dyDescent="0.25">
      <c r="A51" t="str">
        <f t="shared" si="0"/>
        <v>T-050</v>
      </c>
      <c r="B51" s="1">
        <v>46125</v>
      </c>
      <c r="C51" t="s">
        <v>118</v>
      </c>
      <c r="D51" t="s">
        <v>28</v>
      </c>
      <c r="E51" t="s">
        <v>119</v>
      </c>
      <c r="F51">
        <v>154.47</v>
      </c>
      <c r="G51">
        <v>152.47</v>
      </c>
      <c r="H51">
        <v>2</v>
      </c>
      <c r="I51">
        <f t="shared" si="5"/>
        <v>4</v>
      </c>
      <c r="J51">
        <v>2</v>
      </c>
      <c r="K51">
        <f t="shared" si="2"/>
        <v>8</v>
      </c>
      <c r="L51" t="s">
        <v>72</v>
      </c>
      <c r="M51">
        <f>SUMIF(Executions!B:B,A51,Executions!H:H)</f>
        <v>-4</v>
      </c>
      <c r="N51">
        <f t="shared" si="3"/>
        <v>-1</v>
      </c>
      <c r="O51">
        <f>Tabla1[[#This Row],[Initial Risk $]]/Tabla1[[#This Row],[Position Size (shares)]]+Tabla1[[#This Row],[Entry Price]]</f>
        <v>156.47</v>
      </c>
      <c r="P51">
        <f>Tabla1[[#This Row],[Initial Risk $]]/Tabla1[[#This Row],[Position Size (shares)]]*2+Tabla1[[#This Row],[Entry Price]]</f>
        <v>158.47</v>
      </c>
      <c r="Q51">
        <f>Tabla1[[#This Row],[Initial Risk $]]/Tabla1[[#This Row],[Position Size (shares)]]*3+Tabla1[[#This Row],[Entry Price]]</f>
        <v>160.47</v>
      </c>
    </row>
    <row r="52" spans="1:17" hidden="1" x14ac:dyDescent="0.25">
      <c r="A52" t="str">
        <f t="shared" si="0"/>
        <v>T-051</v>
      </c>
      <c r="B52" s="1">
        <v>46125</v>
      </c>
      <c r="C52" t="s">
        <v>173</v>
      </c>
      <c r="D52" t="s">
        <v>28</v>
      </c>
      <c r="E52" t="s">
        <v>119</v>
      </c>
      <c r="F52">
        <v>132.5</v>
      </c>
      <c r="G52">
        <v>128.16999999999999</v>
      </c>
      <c r="H52">
        <v>2</v>
      </c>
      <c r="I52">
        <f t="shared" si="5"/>
        <v>8.660000000000025</v>
      </c>
      <c r="J52">
        <v>1</v>
      </c>
      <c r="K52">
        <f t="shared" si="2"/>
        <v>8.660000000000025</v>
      </c>
      <c r="L52" t="s">
        <v>72</v>
      </c>
      <c r="M52">
        <f>SUMIF(Executions!B:B,A52,Executions!H:H)</f>
        <v>38.47</v>
      </c>
      <c r="N52">
        <f t="shared" si="3"/>
        <v>4.4422632794457142</v>
      </c>
      <c r="O52">
        <f>Tabla1[[#This Row],[Initial Risk $]]/Tabla1[[#This Row],[Position Size (shares)]]+Tabla1[[#This Row],[Entry Price]]</f>
        <v>136.83000000000001</v>
      </c>
      <c r="P52">
        <f>Tabla1[[#This Row],[Initial Risk $]]/Tabla1[[#This Row],[Position Size (shares)]]*2+Tabla1[[#This Row],[Entry Price]]</f>
        <v>141.16000000000003</v>
      </c>
      <c r="Q52">
        <f>Tabla1[[#This Row],[Initial Risk $]]/Tabla1[[#This Row],[Position Size (shares)]]*3+Tabla1[[#This Row],[Entry Price]]</f>
        <v>145.49000000000004</v>
      </c>
    </row>
    <row r="53" spans="1:17" hidden="1" x14ac:dyDescent="0.25">
      <c r="A53" t="str">
        <f t="shared" si="0"/>
        <v>T-052</v>
      </c>
      <c r="B53" s="1">
        <v>46126</v>
      </c>
      <c r="C53" t="s">
        <v>59</v>
      </c>
      <c r="D53" t="s">
        <v>28</v>
      </c>
      <c r="E53" t="s">
        <v>119</v>
      </c>
      <c r="F53">
        <v>9.64</v>
      </c>
      <c r="G53">
        <v>9.17</v>
      </c>
      <c r="H53">
        <v>10</v>
      </c>
      <c r="I53">
        <f t="shared" si="5"/>
        <v>4.7000000000000064</v>
      </c>
      <c r="J53">
        <v>1</v>
      </c>
      <c r="K53">
        <f t="shared" si="2"/>
        <v>4.7000000000000064</v>
      </c>
      <c r="L53" t="s">
        <v>72</v>
      </c>
      <c r="M53">
        <f>SUMIF(Executions!B:B,A53,Executions!H:H)</f>
        <v>8.0999999999999872</v>
      </c>
      <c r="N53">
        <f t="shared" si="3"/>
        <v>1.7234042553191438</v>
      </c>
      <c r="O53">
        <f>Tabla1[[#This Row],[Initial Risk $]]/Tabla1[[#This Row],[Position Size (shares)]]+Tabla1[[#This Row],[Entry Price]]</f>
        <v>10.110000000000001</v>
      </c>
      <c r="P53">
        <f>Tabla1[[#This Row],[Initial Risk $]]/Tabla1[[#This Row],[Position Size (shares)]]*2+Tabla1[[#This Row],[Entry Price]]</f>
        <v>10.580000000000002</v>
      </c>
      <c r="Q53">
        <f>Tabla1[[#This Row],[Initial Risk $]]/Tabla1[[#This Row],[Position Size (shares)]]*3+Tabla1[[#This Row],[Entry Price]]</f>
        <v>11.050000000000002</v>
      </c>
    </row>
    <row r="54" spans="1:17" hidden="1" x14ac:dyDescent="0.25">
      <c r="A54" t="str">
        <f t="shared" si="0"/>
        <v>T-053</v>
      </c>
      <c r="B54" s="1">
        <v>46118</v>
      </c>
      <c r="C54" t="s">
        <v>174</v>
      </c>
      <c r="D54" t="s">
        <v>28</v>
      </c>
      <c r="E54" t="s">
        <v>119</v>
      </c>
      <c r="F54">
        <v>140.15</v>
      </c>
      <c r="G54">
        <v>136.91999999999999</v>
      </c>
      <c r="H54">
        <v>4</v>
      </c>
      <c r="I54">
        <f t="shared" si="5"/>
        <v>12.920000000000073</v>
      </c>
      <c r="J54">
        <v>1</v>
      </c>
      <c r="K54">
        <f t="shared" si="2"/>
        <v>12.920000000000073</v>
      </c>
      <c r="L54" t="s">
        <v>72</v>
      </c>
      <c r="M54">
        <f>SUMIF(Executions!B:B,A54,Executions!H:H)</f>
        <v>-12.960000000000036</v>
      </c>
      <c r="N54">
        <f t="shared" si="3"/>
        <v>-1.0030959752321953</v>
      </c>
      <c r="O54">
        <f>Tabla1[[#This Row],[Initial Risk $]]/Tabla1[[#This Row],[Position Size (shares)]]+Tabla1[[#This Row],[Entry Price]]</f>
        <v>143.38000000000002</v>
      </c>
      <c r="P54">
        <f>Tabla1[[#This Row],[Initial Risk $]]/Tabla1[[#This Row],[Position Size (shares)]]*2+Tabla1[[#This Row],[Entry Price]]</f>
        <v>146.61000000000004</v>
      </c>
      <c r="Q54">
        <f>Tabla1[[#This Row],[Initial Risk $]]/Tabla1[[#This Row],[Position Size (shares)]]*3+Tabla1[[#This Row],[Entry Price]]</f>
        <v>149.84000000000006</v>
      </c>
    </row>
    <row r="55" spans="1:17" hidden="1" x14ac:dyDescent="0.25">
      <c r="A55" t="str">
        <f t="shared" si="0"/>
        <v>T-054</v>
      </c>
      <c r="B55" s="1">
        <v>46126</v>
      </c>
      <c r="C55" t="s">
        <v>164</v>
      </c>
      <c r="D55" t="s">
        <v>28</v>
      </c>
      <c r="E55" t="s">
        <v>58</v>
      </c>
      <c r="F55">
        <v>190.87</v>
      </c>
      <c r="G55">
        <v>189.38</v>
      </c>
      <c r="H55">
        <v>2</v>
      </c>
      <c r="I55">
        <f t="shared" si="5"/>
        <v>2.9800000000000182</v>
      </c>
      <c r="J55">
        <v>1</v>
      </c>
      <c r="K55">
        <f t="shared" si="2"/>
        <v>2.9800000000000182</v>
      </c>
      <c r="L55" t="s">
        <v>72</v>
      </c>
      <c r="M55">
        <f>SUMIF(Executions!B:B,A55,Executions!H:H)</f>
        <v>5.2799999999999727</v>
      </c>
      <c r="N55">
        <f t="shared" si="3"/>
        <v>1.7718120805368929</v>
      </c>
      <c r="O55">
        <f>Tabla1[[#This Row],[Initial Risk $]]/Tabla1[[#This Row],[Position Size (shares)]]+Tabla1[[#This Row],[Entry Price]]</f>
        <v>192.36</v>
      </c>
      <c r="P55">
        <f>Tabla1[[#This Row],[Initial Risk $]]/Tabla1[[#This Row],[Position Size (shares)]]*2+Tabla1[[#This Row],[Entry Price]]</f>
        <v>193.85000000000002</v>
      </c>
      <c r="Q55">
        <f>Tabla1[[#This Row],[Initial Risk $]]/Tabla1[[#This Row],[Position Size (shares)]]*3+Tabla1[[#This Row],[Entry Price]]</f>
        <v>195.34000000000003</v>
      </c>
    </row>
    <row r="56" spans="1:17" hidden="1" x14ac:dyDescent="0.25">
      <c r="A56" t="str">
        <f t="shared" si="0"/>
        <v>T-055</v>
      </c>
      <c r="B56" s="1">
        <v>46127</v>
      </c>
      <c r="C56" t="s">
        <v>177</v>
      </c>
      <c r="D56" t="s">
        <v>28</v>
      </c>
      <c r="E56" t="s">
        <v>60</v>
      </c>
      <c r="F56">
        <v>35.18</v>
      </c>
      <c r="G56">
        <v>33.08</v>
      </c>
      <c r="H56">
        <v>3</v>
      </c>
      <c r="I56">
        <f t="shared" si="5"/>
        <v>6.3000000000000043</v>
      </c>
      <c r="J56">
        <v>1</v>
      </c>
      <c r="K56">
        <f t="shared" si="2"/>
        <v>6.3000000000000043</v>
      </c>
      <c r="L56" t="s">
        <v>72</v>
      </c>
      <c r="M56">
        <f>SUMIF(Executions!B:B,A56,Executions!H:H)</f>
        <v>-5.6400000000000077</v>
      </c>
      <c r="N56">
        <f t="shared" si="3"/>
        <v>-0.89523809523809583</v>
      </c>
      <c r="O56">
        <f>Tabla1[[#This Row],[Initial Risk $]]/Tabla1[[#This Row],[Position Size (shares)]]+Tabla1[[#This Row],[Entry Price]]</f>
        <v>37.28</v>
      </c>
      <c r="P56">
        <f>Tabla1[[#This Row],[Initial Risk $]]/Tabla1[[#This Row],[Position Size (shares)]]*2+Tabla1[[#This Row],[Entry Price]]</f>
        <v>39.380000000000003</v>
      </c>
      <c r="Q56">
        <f>Tabla1[[#This Row],[Initial Risk $]]/Tabla1[[#This Row],[Position Size (shares)]]*3+Tabla1[[#This Row],[Entry Price]]</f>
        <v>41.480000000000004</v>
      </c>
    </row>
    <row r="57" spans="1:17" hidden="1" x14ac:dyDescent="0.25">
      <c r="A57" t="str">
        <f t="shared" si="0"/>
        <v>T-056</v>
      </c>
      <c r="B57" s="1">
        <v>46127</v>
      </c>
      <c r="C57" t="s">
        <v>164</v>
      </c>
      <c r="D57" t="s">
        <v>28</v>
      </c>
      <c r="E57" t="s">
        <v>58</v>
      </c>
      <c r="F57">
        <v>197.71</v>
      </c>
      <c r="G57">
        <v>196.24</v>
      </c>
      <c r="H57">
        <v>2</v>
      </c>
      <c r="I57">
        <f t="shared" si="5"/>
        <v>2.9399999999999977</v>
      </c>
      <c r="J57">
        <v>1</v>
      </c>
      <c r="K57">
        <f t="shared" si="2"/>
        <v>2.9399999999999977</v>
      </c>
      <c r="L57" t="s">
        <v>72</v>
      </c>
      <c r="M57">
        <f>SUMIF(Executions!B:B,A57,Executions!H:H)</f>
        <v>-3.0200000000000387</v>
      </c>
      <c r="N57">
        <f t="shared" si="3"/>
        <v>-1.0272108843537555</v>
      </c>
      <c r="O57">
        <f>Tabla1[[#This Row],[Initial Risk $]]/Tabla1[[#This Row],[Position Size (shares)]]+Tabla1[[#This Row],[Entry Price]]</f>
        <v>199.18</v>
      </c>
      <c r="P57">
        <f>Tabla1[[#This Row],[Initial Risk $]]/Tabla1[[#This Row],[Position Size (shares)]]*2+Tabla1[[#This Row],[Entry Price]]</f>
        <v>200.65</v>
      </c>
      <c r="Q57">
        <f>Tabla1[[#This Row],[Initial Risk $]]/Tabla1[[#This Row],[Position Size (shares)]]*3+Tabla1[[#This Row],[Entry Price]]</f>
        <v>202.12</v>
      </c>
    </row>
    <row r="58" spans="1:17" hidden="1" x14ac:dyDescent="0.25">
      <c r="A58" t="str">
        <f t="shared" si="0"/>
        <v>T-057</v>
      </c>
      <c r="B58" s="1">
        <v>46128</v>
      </c>
      <c r="C58" t="s">
        <v>76</v>
      </c>
      <c r="D58" t="s">
        <v>28</v>
      </c>
      <c r="E58" t="s">
        <v>60</v>
      </c>
      <c r="F58">
        <v>11.42</v>
      </c>
      <c r="G58">
        <v>11.11</v>
      </c>
      <c r="H58">
        <v>30</v>
      </c>
      <c r="I58">
        <f t="shared" si="5"/>
        <v>9.3000000000000149</v>
      </c>
      <c r="J58">
        <v>1</v>
      </c>
      <c r="K58">
        <f t="shared" si="2"/>
        <v>9.3000000000000149</v>
      </c>
      <c r="L58" t="s">
        <v>72</v>
      </c>
      <c r="M58">
        <f>SUMIF(Executions!B:B,A58,Executions!H:H)</f>
        <v>-9.3000000000000149</v>
      </c>
      <c r="N58">
        <f t="shared" si="3"/>
        <v>-1</v>
      </c>
      <c r="O58">
        <f>Tabla1[[#This Row],[Initial Risk $]]/Tabla1[[#This Row],[Position Size (shares)]]+Tabla1[[#This Row],[Entry Price]]</f>
        <v>11.73</v>
      </c>
      <c r="P58">
        <f>Tabla1[[#This Row],[Initial Risk $]]/Tabla1[[#This Row],[Position Size (shares)]]*2+Tabla1[[#This Row],[Entry Price]]</f>
        <v>12.040000000000001</v>
      </c>
      <c r="Q58">
        <f>Tabla1[[#This Row],[Initial Risk $]]/Tabla1[[#This Row],[Position Size (shares)]]*3+Tabla1[[#This Row],[Entry Price]]</f>
        <v>12.350000000000001</v>
      </c>
    </row>
    <row r="59" spans="1:17" hidden="1" x14ac:dyDescent="0.25">
      <c r="A59" t="str">
        <f t="shared" si="0"/>
        <v>T-058</v>
      </c>
      <c r="B59" s="1">
        <v>46128</v>
      </c>
      <c r="C59" t="s">
        <v>179</v>
      </c>
      <c r="D59" t="s">
        <v>28</v>
      </c>
      <c r="E59" t="s">
        <v>60</v>
      </c>
      <c r="F59">
        <v>148.79</v>
      </c>
      <c r="G59">
        <v>146.69</v>
      </c>
      <c r="H59">
        <v>3</v>
      </c>
      <c r="I59">
        <f t="shared" si="5"/>
        <v>6.2999999999999829</v>
      </c>
      <c r="J59">
        <v>1</v>
      </c>
      <c r="K59">
        <f t="shared" si="2"/>
        <v>6.2999999999999829</v>
      </c>
      <c r="L59" t="s">
        <v>72</v>
      </c>
      <c r="M59">
        <f>SUMIF(Executions!B:B,A59,Executions!H:H)</f>
        <v>-4.1999999999999886</v>
      </c>
      <c r="N59">
        <f t="shared" si="3"/>
        <v>-0.66666666666666663</v>
      </c>
      <c r="O59">
        <f>Tabla1[[#This Row],[Initial Risk $]]/Tabla1[[#This Row],[Position Size (shares)]]+Tabla1[[#This Row],[Entry Price]]</f>
        <v>150.88999999999999</v>
      </c>
      <c r="P59">
        <f>Tabla1[[#This Row],[Initial Risk $]]/Tabla1[[#This Row],[Position Size (shares)]]*2+Tabla1[[#This Row],[Entry Price]]</f>
        <v>152.98999999999998</v>
      </c>
      <c r="Q59">
        <f>Tabla1[[#This Row],[Initial Risk $]]/Tabla1[[#This Row],[Position Size (shares)]]*3+Tabla1[[#This Row],[Entry Price]]</f>
        <v>155.08999999999997</v>
      </c>
    </row>
    <row r="60" spans="1:17" hidden="1" x14ac:dyDescent="0.25">
      <c r="A60" t="str">
        <f t="shared" si="0"/>
        <v>T-059</v>
      </c>
      <c r="B60" s="1">
        <v>46128</v>
      </c>
      <c r="C60" t="s">
        <v>181</v>
      </c>
      <c r="D60" t="s">
        <v>28</v>
      </c>
      <c r="E60" t="s">
        <v>60</v>
      </c>
      <c r="F60">
        <v>10.85</v>
      </c>
      <c r="G60">
        <v>10.39</v>
      </c>
      <c r="H60">
        <v>30</v>
      </c>
      <c r="I60">
        <f t="shared" si="5"/>
        <v>13.799999999999972</v>
      </c>
      <c r="J60">
        <v>1</v>
      </c>
      <c r="K60">
        <f t="shared" si="2"/>
        <v>13.799999999999972</v>
      </c>
      <c r="L60" t="s">
        <v>72</v>
      </c>
      <c r="M60">
        <f>SUMIF(Executions!B:B,A60,Executions!H:H)</f>
        <v>-13.799999999999972</v>
      </c>
      <c r="N60">
        <f t="shared" si="3"/>
        <v>-1</v>
      </c>
      <c r="O60">
        <f>Tabla1[[#This Row],[Initial Risk $]]/Tabla1[[#This Row],[Position Size (shares)]]+Tabla1[[#This Row],[Entry Price]]</f>
        <v>11.309999999999999</v>
      </c>
      <c r="P60">
        <f>Tabla1[[#This Row],[Initial Risk $]]/Tabla1[[#This Row],[Position Size (shares)]]*2+Tabla1[[#This Row],[Entry Price]]</f>
        <v>11.769999999999998</v>
      </c>
      <c r="Q60">
        <f>Tabla1[[#This Row],[Initial Risk $]]/Tabla1[[#This Row],[Position Size (shares)]]*3+Tabla1[[#This Row],[Entry Price]]</f>
        <v>12.229999999999997</v>
      </c>
    </row>
    <row r="61" spans="1:17" hidden="1" x14ac:dyDescent="0.25">
      <c r="A61" t="str">
        <f t="shared" si="0"/>
        <v>T-060</v>
      </c>
      <c r="B61" s="1">
        <v>46129</v>
      </c>
      <c r="C61" t="s">
        <v>186</v>
      </c>
      <c r="D61" t="s">
        <v>28</v>
      </c>
      <c r="E61" t="s">
        <v>58</v>
      </c>
      <c r="F61">
        <v>253.99</v>
      </c>
      <c r="G61">
        <v>251.49</v>
      </c>
      <c r="H61">
        <v>4</v>
      </c>
      <c r="I61">
        <f t="shared" si="5"/>
        <v>10</v>
      </c>
      <c r="J61">
        <v>1</v>
      </c>
      <c r="K61">
        <f t="shared" si="2"/>
        <v>10</v>
      </c>
      <c r="L61" t="s">
        <v>72</v>
      </c>
      <c r="M61">
        <f>SUMIF(Executions!B:B,A61,Executions!H:H)</f>
        <v>-8.6399999999999864</v>
      </c>
      <c r="N61">
        <f t="shared" si="3"/>
        <v>-0.86399999999999866</v>
      </c>
      <c r="O61">
        <f>Tabla1[[#This Row],[Initial Risk $]]/Tabla1[[#This Row],[Position Size (shares)]]+Tabla1[[#This Row],[Entry Price]]</f>
        <v>256.49</v>
      </c>
      <c r="P61">
        <f>Tabla1[[#This Row],[Initial Risk $]]/Tabla1[[#This Row],[Position Size (shares)]]*2+Tabla1[[#This Row],[Entry Price]]</f>
        <v>258.99</v>
      </c>
      <c r="Q61">
        <f>Tabla1[[#This Row],[Initial Risk $]]/Tabla1[[#This Row],[Position Size (shares)]]*3+Tabla1[[#This Row],[Entry Price]]</f>
        <v>261.49</v>
      </c>
    </row>
    <row r="62" spans="1:17" hidden="1" x14ac:dyDescent="0.25">
      <c r="A62" t="str">
        <f t="shared" si="0"/>
        <v>T-061</v>
      </c>
      <c r="B62" s="1">
        <v>46129</v>
      </c>
      <c r="C62" t="s">
        <v>187</v>
      </c>
      <c r="D62" t="s">
        <v>28</v>
      </c>
      <c r="E62" t="s">
        <v>119</v>
      </c>
      <c r="F62">
        <v>105.18</v>
      </c>
      <c r="G62">
        <v>102.95</v>
      </c>
      <c r="H62">
        <v>6</v>
      </c>
      <c r="I62">
        <f t="shared" si="5"/>
        <v>13.380000000000024</v>
      </c>
      <c r="J62">
        <v>1</v>
      </c>
      <c r="K62">
        <f t="shared" si="2"/>
        <v>13.380000000000024</v>
      </c>
      <c r="L62" t="s">
        <v>72</v>
      </c>
      <c r="M62">
        <f>SUMIF(Executions!B:B,A62,Executions!H:H)</f>
        <v>-13.380000000000024</v>
      </c>
      <c r="N62">
        <f t="shared" si="3"/>
        <v>-1</v>
      </c>
      <c r="O62">
        <f>Tabla1[[#This Row],[Initial Risk $]]/Tabla1[[#This Row],[Position Size (shares)]]+Tabla1[[#This Row],[Entry Price]]</f>
        <v>107.41000000000001</v>
      </c>
      <c r="P62">
        <f>Tabla1[[#This Row],[Initial Risk $]]/Tabla1[[#This Row],[Position Size (shares)]]*2+Tabla1[[#This Row],[Entry Price]]</f>
        <v>109.64000000000001</v>
      </c>
      <c r="Q62">
        <f>Tabla1[[#This Row],[Initial Risk $]]/Tabla1[[#This Row],[Position Size (shares)]]*3+Tabla1[[#This Row],[Entry Price]]</f>
        <v>111.87000000000002</v>
      </c>
    </row>
    <row r="63" spans="1:17" hidden="1" x14ac:dyDescent="0.25">
      <c r="A63" t="str">
        <f t="shared" si="0"/>
        <v>T-062</v>
      </c>
      <c r="B63" s="1">
        <v>46132</v>
      </c>
      <c r="C63" t="s">
        <v>193</v>
      </c>
      <c r="D63" t="s">
        <v>28</v>
      </c>
      <c r="E63" t="s">
        <v>58</v>
      </c>
      <c r="F63">
        <v>145.87</v>
      </c>
      <c r="G63">
        <v>144.79</v>
      </c>
      <c r="H63">
        <v>6</v>
      </c>
      <c r="I63">
        <f t="shared" si="5"/>
        <v>6.480000000000075</v>
      </c>
      <c r="J63">
        <v>1</v>
      </c>
      <c r="K63">
        <f t="shared" si="2"/>
        <v>6.480000000000075</v>
      </c>
      <c r="L63" t="s">
        <v>72</v>
      </c>
      <c r="M63">
        <f>SUMIF(Executions!B:B,A63,Executions!H:H)</f>
        <v>-6.6600000000000819</v>
      </c>
      <c r="N63">
        <f t="shared" si="3"/>
        <v>-1.0277777777777786</v>
      </c>
      <c r="O63">
        <f>Tabla1[[#This Row],[Initial Risk $]]/Tabla1[[#This Row],[Position Size (shares)]]+Tabla1[[#This Row],[Entry Price]]</f>
        <v>146.95000000000002</v>
      </c>
      <c r="P63">
        <f>Tabla1[[#This Row],[Initial Risk $]]/Tabla1[[#This Row],[Position Size (shares)]]*2+Tabla1[[#This Row],[Entry Price]]</f>
        <v>148.03000000000003</v>
      </c>
      <c r="Q63">
        <f>Tabla1[[#This Row],[Initial Risk $]]/Tabla1[[#This Row],[Position Size (shares)]]*3+Tabla1[[#This Row],[Entry Price]]</f>
        <v>149.11000000000004</v>
      </c>
    </row>
    <row r="64" spans="1:17" hidden="1" x14ac:dyDescent="0.25">
      <c r="A64" t="str">
        <f t="shared" si="0"/>
        <v>T-063</v>
      </c>
      <c r="B64" s="1">
        <v>46132</v>
      </c>
      <c r="C64" t="s">
        <v>193</v>
      </c>
      <c r="D64" t="s">
        <v>28</v>
      </c>
      <c r="E64" t="s">
        <v>58</v>
      </c>
      <c r="F64">
        <v>145.55000000000001</v>
      </c>
      <c r="G64">
        <v>144.51</v>
      </c>
      <c r="H64">
        <v>6</v>
      </c>
      <c r="I64">
        <f t="shared" si="5"/>
        <v>6.2400000000001228</v>
      </c>
      <c r="J64">
        <v>1</v>
      </c>
      <c r="K64">
        <f t="shared" si="2"/>
        <v>6.2400000000001228</v>
      </c>
      <c r="L64" t="s">
        <v>72</v>
      </c>
      <c r="M64">
        <f>SUMIF(Executions!B:B,A64,Executions!H:H)</f>
        <v>-7.2000000000001023</v>
      </c>
      <c r="N64">
        <f t="shared" si="3"/>
        <v>-1.1538461538461475</v>
      </c>
      <c r="O64">
        <f>Tabla1[[#This Row],[Initial Risk $]]/Tabla1[[#This Row],[Position Size (shares)]]+Tabla1[[#This Row],[Entry Price]]</f>
        <v>146.59000000000003</v>
      </c>
      <c r="P64">
        <f>Tabla1[[#This Row],[Initial Risk $]]/Tabla1[[#This Row],[Position Size (shares)]]*2+Tabla1[[#This Row],[Entry Price]]</f>
        <v>147.63000000000005</v>
      </c>
      <c r="Q64">
        <f>Tabla1[[#This Row],[Initial Risk $]]/Tabla1[[#This Row],[Position Size (shares)]]*3+Tabla1[[#This Row],[Entry Price]]</f>
        <v>148.67000000000007</v>
      </c>
    </row>
    <row r="65" spans="1:17" hidden="1" x14ac:dyDescent="0.25">
      <c r="A65" t="str">
        <f t="shared" si="0"/>
        <v>T-064</v>
      </c>
      <c r="B65" s="1">
        <v>46132</v>
      </c>
      <c r="C65" t="s">
        <v>197</v>
      </c>
      <c r="D65" t="s">
        <v>28</v>
      </c>
      <c r="E65" t="s">
        <v>60</v>
      </c>
      <c r="F65">
        <v>86.67</v>
      </c>
      <c r="G65">
        <v>85.18</v>
      </c>
      <c r="H65">
        <v>6</v>
      </c>
      <c r="I65">
        <f t="shared" si="5"/>
        <v>8.9399999999999693</v>
      </c>
      <c r="J65">
        <v>1</v>
      </c>
      <c r="K65">
        <f t="shared" si="2"/>
        <v>8.9399999999999693</v>
      </c>
      <c r="L65" t="s">
        <v>72</v>
      </c>
      <c r="M65">
        <f>SUMIF(Executions!B:B,A65,Executions!H:H)</f>
        <v>-8.9399999999999693</v>
      </c>
      <c r="N65">
        <f t="shared" si="3"/>
        <v>-1</v>
      </c>
      <c r="O65">
        <f>Tabla1[[#This Row],[Initial Risk $]]/Tabla1[[#This Row],[Position Size (shares)]]+Tabla1[[#This Row],[Entry Price]]</f>
        <v>88.16</v>
      </c>
      <c r="P65">
        <f>Tabla1[[#This Row],[Initial Risk $]]/Tabla1[[#This Row],[Position Size (shares)]]*2+Tabla1[[#This Row],[Entry Price]]</f>
        <v>89.649999999999991</v>
      </c>
      <c r="Q65">
        <f>Tabla1[[#This Row],[Initial Risk $]]/Tabla1[[#This Row],[Position Size (shares)]]*3+Tabla1[[#This Row],[Entry Price]]</f>
        <v>91.139999999999986</v>
      </c>
    </row>
    <row r="66" spans="1:17" hidden="1" x14ac:dyDescent="0.25">
      <c r="A66" t="str">
        <f t="shared" si="0"/>
        <v>T-065</v>
      </c>
      <c r="B66" s="1">
        <v>46132</v>
      </c>
      <c r="C66" t="s">
        <v>198</v>
      </c>
      <c r="D66" t="s">
        <v>28</v>
      </c>
      <c r="E66" t="s">
        <v>119</v>
      </c>
      <c r="F66">
        <v>75.680000000000007</v>
      </c>
      <c r="G66">
        <v>74.989999999999995</v>
      </c>
      <c r="H66">
        <v>10</v>
      </c>
      <c r="I66">
        <f t="shared" ref="I66:I72" si="6">IF(D66="Long",(F66-G66)*H66,(G66-F66)*0)</f>
        <v>6.9000000000001194</v>
      </c>
      <c r="J66">
        <v>1</v>
      </c>
      <c r="K66">
        <f t="shared" ref="K66:K129" si="7">I66*J66</f>
        <v>6.9000000000001194</v>
      </c>
      <c r="L66" t="s">
        <v>72</v>
      </c>
      <c r="M66">
        <f>SUMIF(Executions!B:B,A66,Executions!H:H)</f>
        <v>-6.9000000000001194</v>
      </c>
      <c r="N66">
        <f t="shared" ref="N66:N129" si="8">M66/I66</f>
        <v>-1</v>
      </c>
      <c r="O66">
        <f>Tabla1[[#This Row],[Initial Risk $]]/Tabla1[[#This Row],[Position Size (shares)]]+Tabla1[[#This Row],[Entry Price]]</f>
        <v>76.370000000000019</v>
      </c>
      <c r="P66">
        <f>Tabla1[[#This Row],[Initial Risk $]]/Tabla1[[#This Row],[Position Size (shares)]]*2+Tabla1[[#This Row],[Entry Price]]</f>
        <v>77.060000000000031</v>
      </c>
      <c r="Q66">
        <f>Tabla1[[#This Row],[Initial Risk $]]/Tabla1[[#This Row],[Position Size (shares)]]*3+Tabla1[[#This Row],[Entry Price]]</f>
        <v>77.750000000000043</v>
      </c>
    </row>
    <row r="67" spans="1:17" hidden="1" x14ac:dyDescent="0.25">
      <c r="A67" t="str">
        <f t="shared" si="0"/>
        <v>T-066</v>
      </c>
      <c r="B67" s="1">
        <v>46132</v>
      </c>
      <c r="C67" t="s">
        <v>181</v>
      </c>
      <c r="D67" t="s">
        <v>28</v>
      </c>
      <c r="E67" t="s">
        <v>119</v>
      </c>
      <c r="F67">
        <v>10.58</v>
      </c>
      <c r="G67">
        <v>10.16</v>
      </c>
      <c r="H67">
        <v>10</v>
      </c>
      <c r="I67">
        <f t="shared" si="6"/>
        <v>4.1999999999999993</v>
      </c>
      <c r="J67">
        <v>1</v>
      </c>
      <c r="K67">
        <f t="shared" si="7"/>
        <v>4.1999999999999993</v>
      </c>
      <c r="L67" t="s">
        <v>72</v>
      </c>
      <c r="M67">
        <f>SUMIF(Executions!B:B,A67,Executions!H:H)</f>
        <v>-4.2999999999999972</v>
      </c>
      <c r="N67">
        <f t="shared" si="8"/>
        <v>-1.0238095238095233</v>
      </c>
      <c r="O67">
        <f>Tabla1[[#This Row],[Initial Risk $]]/Tabla1[[#This Row],[Position Size (shares)]]+Tabla1[[#This Row],[Entry Price]]</f>
        <v>11</v>
      </c>
      <c r="P67">
        <f>Tabla1[[#This Row],[Initial Risk $]]/Tabla1[[#This Row],[Position Size (shares)]]*2+Tabla1[[#This Row],[Entry Price]]</f>
        <v>11.42</v>
      </c>
      <c r="Q67">
        <f>Tabla1[[#This Row],[Initial Risk $]]/Tabla1[[#This Row],[Position Size (shares)]]*3+Tabla1[[#This Row],[Entry Price]]</f>
        <v>11.84</v>
      </c>
    </row>
    <row r="68" spans="1:17" hidden="1" x14ac:dyDescent="0.25">
      <c r="A68" t="str">
        <f t="shared" si="0"/>
        <v>T-067</v>
      </c>
      <c r="B68" s="1">
        <v>46133</v>
      </c>
      <c r="C68" t="s">
        <v>101</v>
      </c>
      <c r="D68" t="s">
        <v>28</v>
      </c>
      <c r="E68" t="s">
        <v>58</v>
      </c>
      <c r="F68">
        <v>3.81</v>
      </c>
      <c r="G68">
        <v>3.49</v>
      </c>
      <c r="H68">
        <v>20</v>
      </c>
      <c r="I68">
        <f t="shared" si="6"/>
        <v>6.3999999999999968</v>
      </c>
      <c r="J68">
        <v>1</v>
      </c>
      <c r="K68">
        <f t="shared" si="7"/>
        <v>6.3999999999999968</v>
      </c>
      <c r="L68" t="s">
        <v>72</v>
      </c>
      <c r="M68">
        <f>SUMIF(Executions!B:B,A68,Executions!H:H)</f>
        <v>-8.3999999999999986</v>
      </c>
      <c r="N68">
        <f t="shared" si="8"/>
        <v>-1.3125000000000004</v>
      </c>
      <c r="O68">
        <f>Tabla1[[#This Row],[Initial Risk $]]/Tabla1[[#This Row],[Position Size (shares)]]+Tabla1[[#This Row],[Entry Price]]</f>
        <v>4.13</v>
      </c>
      <c r="P68">
        <f>Tabla1[[#This Row],[Initial Risk $]]/Tabla1[[#This Row],[Position Size (shares)]]*2+Tabla1[[#This Row],[Entry Price]]</f>
        <v>4.4499999999999993</v>
      </c>
      <c r="Q68">
        <f>Tabla1[[#This Row],[Initial Risk $]]/Tabla1[[#This Row],[Position Size (shares)]]*3+Tabla1[[#This Row],[Entry Price]]</f>
        <v>4.7699999999999996</v>
      </c>
    </row>
    <row r="69" spans="1:17" hidden="1" x14ac:dyDescent="0.25">
      <c r="A69" t="str">
        <f t="shared" si="0"/>
        <v>T-068</v>
      </c>
      <c r="B69" s="1">
        <v>46133</v>
      </c>
      <c r="C69" t="s">
        <v>76</v>
      </c>
      <c r="D69" t="s">
        <v>28</v>
      </c>
      <c r="E69" t="s">
        <v>60</v>
      </c>
      <c r="F69">
        <v>11.57</v>
      </c>
      <c r="G69">
        <v>10.93</v>
      </c>
      <c r="H69">
        <v>10</v>
      </c>
      <c r="I69">
        <f t="shared" si="6"/>
        <v>6.4000000000000057</v>
      </c>
      <c r="J69">
        <v>1</v>
      </c>
      <c r="K69">
        <f t="shared" si="7"/>
        <v>6.4000000000000057</v>
      </c>
      <c r="L69" t="s">
        <v>72</v>
      </c>
      <c r="M69">
        <f>SUMIF(Executions!B:B,A69,Executions!H:H)</f>
        <v>-7.5999999999999979</v>
      </c>
      <c r="N69">
        <f t="shared" si="8"/>
        <v>-1.1874999999999987</v>
      </c>
      <c r="O69">
        <f>Tabla1[[#This Row],[Initial Risk $]]/Tabla1[[#This Row],[Position Size (shares)]]+Tabla1[[#This Row],[Entry Price]]</f>
        <v>12.21</v>
      </c>
      <c r="P69">
        <f>Tabla1[[#This Row],[Initial Risk $]]/Tabla1[[#This Row],[Position Size (shares)]]*2+Tabla1[[#This Row],[Entry Price]]</f>
        <v>12.850000000000001</v>
      </c>
      <c r="Q69">
        <f>Tabla1[[#This Row],[Initial Risk $]]/Tabla1[[#This Row],[Position Size (shares)]]*3+Tabla1[[#This Row],[Entry Price]]</f>
        <v>13.490000000000002</v>
      </c>
    </row>
    <row r="70" spans="1:17" hidden="1" x14ac:dyDescent="0.25">
      <c r="A70" t="str">
        <f t="shared" si="0"/>
        <v>T-069</v>
      </c>
      <c r="B70" s="1">
        <v>46133</v>
      </c>
      <c r="C70" t="s">
        <v>161</v>
      </c>
      <c r="D70" t="s">
        <v>28</v>
      </c>
      <c r="E70" t="s">
        <v>52</v>
      </c>
      <c r="F70">
        <v>67.010000000000005</v>
      </c>
      <c r="G70">
        <v>62.94</v>
      </c>
      <c r="H70">
        <v>3</v>
      </c>
      <c r="I70">
        <f>IF(D70="Long",(F70-G70)*H70,(G70-F70)*0)</f>
        <v>12.210000000000022</v>
      </c>
      <c r="J70">
        <v>1</v>
      </c>
      <c r="K70">
        <f t="shared" si="7"/>
        <v>12.210000000000022</v>
      </c>
      <c r="L70" t="s">
        <v>72</v>
      </c>
      <c r="M70">
        <f>SUMIF(Executions!B:B,A70,Executions!H:H)</f>
        <v>98.36</v>
      </c>
      <c r="N70">
        <f t="shared" si="8"/>
        <v>8.0556920556920417</v>
      </c>
      <c r="O70">
        <f>Tabla1[[#This Row],[Initial Risk $]]/Tabla1[[#This Row],[Position Size (shares)]]+Tabla1[[#This Row],[Entry Price]]</f>
        <v>71.080000000000013</v>
      </c>
      <c r="P70">
        <f>Tabla1[[#This Row],[Initial Risk $]]/Tabla1[[#This Row],[Position Size (shares)]]*2+Tabla1[[#This Row],[Entry Price]]</f>
        <v>75.15000000000002</v>
      </c>
      <c r="Q70">
        <f>Tabla1[[#This Row],[Initial Risk $]]/Tabla1[[#This Row],[Position Size (shares)]]*3+Tabla1[[#This Row],[Entry Price]]</f>
        <v>79.220000000000027</v>
      </c>
    </row>
    <row r="71" spans="1:17" hidden="1" x14ac:dyDescent="0.25">
      <c r="A71" t="str">
        <f t="shared" si="0"/>
        <v>T-070</v>
      </c>
      <c r="B71" s="1">
        <v>46133</v>
      </c>
      <c r="C71" t="s">
        <v>202</v>
      </c>
      <c r="D71" t="s">
        <v>28</v>
      </c>
      <c r="E71" t="s">
        <v>58</v>
      </c>
      <c r="F71">
        <v>8.7799999999999994</v>
      </c>
      <c r="G71">
        <v>8.07</v>
      </c>
      <c r="H71">
        <v>10</v>
      </c>
      <c r="I71">
        <f t="shared" si="6"/>
        <v>7.0999999999999908</v>
      </c>
      <c r="J71">
        <v>1</v>
      </c>
      <c r="K71">
        <f t="shared" si="7"/>
        <v>7.0999999999999908</v>
      </c>
      <c r="L71" t="s">
        <v>72</v>
      </c>
      <c r="M71">
        <f>SUMIF(Executions!B:B,A71,Executions!H:H)</f>
        <v>-7.0999999999999908</v>
      </c>
      <c r="N71">
        <f t="shared" si="8"/>
        <v>-1</v>
      </c>
      <c r="O71">
        <f>Tabla1[[#This Row],[Initial Risk $]]/Tabla1[[#This Row],[Position Size (shares)]]+Tabla1[[#This Row],[Entry Price]]</f>
        <v>9.4899999999999984</v>
      </c>
      <c r="P71">
        <f>Tabla1[[#This Row],[Initial Risk $]]/Tabla1[[#This Row],[Position Size (shares)]]*2+Tabla1[[#This Row],[Entry Price]]</f>
        <v>10.199999999999998</v>
      </c>
      <c r="Q71">
        <f>Tabla1[[#This Row],[Initial Risk $]]/Tabla1[[#This Row],[Position Size (shares)]]*3+Tabla1[[#This Row],[Entry Price]]</f>
        <v>10.909999999999997</v>
      </c>
    </row>
    <row r="72" spans="1:17" hidden="1" x14ac:dyDescent="0.25">
      <c r="A72" t="str">
        <f t="shared" si="0"/>
        <v>T-071</v>
      </c>
      <c r="B72" s="1">
        <v>46134</v>
      </c>
      <c r="C72" t="s">
        <v>206</v>
      </c>
      <c r="D72" t="s">
        <v>28</v>
      </c>
      <c r="E72" t="s">
        <v>119</v>
      </c>
      <c r="F72">
        <v>5.55</v>
      </c>
      <c r="G72">
        <v>5.05</v>
      </c>
      <c r="H72">
        <v>10</v>
      </c>
      <c r="I72">
        <f t="shared" si="6"/>
        <v>5</v>
      </c>
      <c r="J72">
        <v>1</v>
      </c>
      <c r="K72">
        <f t="shared" si="7"/>
        <v>5</v>
      </c>
      <c r="L72" t="s">
        <v>72</v>
      </c>
      <c r="M72">
        <f>SUMIF(Executions!B:B,A72,Executions!H:H)</f>
        <v>1.5000000000000036</v>
      </c>
      <c r="N72">
        <f t="shared" si="8"/>
        <v>0.30000000000000071</v>
      </c>
      <c r="O72">
        <f>Tabla1[[#This Row],[Initial Risk $]]/Tabla1[[#This Row],[Position Size (shares)]]+Tabla1[[#This Row],[Entry Price]]</f>
        <v>6.05</v>
      </c>
      <c r="P72">
        <f>Tabla1[[#This Row],[Initial Risk $]]/Tabla1[[#This Row],[Position Size (shares)]]*2+Tabla1[[#This Row],[Entry Price]]</f>
        <v>6.55</v>
      </c>
      <c r="Q72">
        <f>Tabla1[[#This Row],[Initial Risk $]]/Tabla1[[#This Row],[Position Size (shares)]]*3+Tabla1[[#This Row],[Entry Price]]</f>
        <v>7.05</v>
      </c>
    </row>
    <row r="73" spans="1:17" hidden="1" x14ac:dyDescent="0.25">
      <c r="A73" t="str">
        <f t="shared" si="0"/>
        <v>T-072</v>
      </c>
      <c r="B73" s="1">
        <v>46134</v>
      </c>
      <c r="C73" t="s">
        <v>207</v>
      </c>
      <c r="D73" t="s">
        <v>28</v>
      </c>
      <c r="E73" t="s">
        <v>60</v>
      </c>
      <c r="F73">
        <v>29.15</v>
      </c>
      <c r="G73">
        <v>28.15</v>
      </c>
      <c r="H73">
        <v>10</v>
      </c>
      <c r="I73">
        <f t="shared" ref="I73:I81" si="9">IF(D73="Long",(F73-G73)*H73,(G73-F73)*0)</f>
        <v>10</v>
      </c>
      <c r="J73">
        <v>1</v>
      </c>
      <c r="K73">
        <f t="shared" si="7"/>
        <v>10</v>
      </c>
      <c r="L73" t="s">
        <v>72</v>
      </c>
      <c r="M73">
        <f>SUMIF(Executions!B:B,A73,Executions!H:H)</f>
        <v>-26.499999999999986</v>
      </c>
      <c r="N73">
        <f t="shared" si="8"/>
        <v>-2.6499999999999986</v>
      </c>
      <c r="O73">
        <f>Tabla1[[#This Row],[Initial Risk $]]/Tabla1[[#This Row],[Position Size (shares)]]+Tabla1[[#This Row],[Entry Price]]</f>
        <v>30.15</v>
      </c>
      <c r="P73">
        <f>Tabla1[[#This Row],[Initial Risk $]]/Tabla1[[#This Row],[Position Size (shares)]]*2+Tabla1[[#This Row],[Entry Price]]</f>
        <v>31.15</v>
      </c>
      <c r="Q73">
        <f>Tabla1[[#This Row],[Initial Risk $]]/Tabla1[[#This Row],[Position Size (shares)]]*3+Tabla1[[#This Row],[Entry Price]]</f>
        <v>32.15</v>
      </c>
    </row>
    <row r="74" spans="1:17" hidden="1" x14ac:dyDescent="0.25">
      <c r="A74" t="str">
        <f t="shared" si="0"/>
        <v>T-073</v>
      </c>
      <c r="B74" s="1">
        <v>46134</v>
      </c>
      <c r="C74" t="s">
        <v>130</v>
      </c>
      <c r="D74" t="s">
        <v>28</v>
      </c>
      <c r="E74" t="s">
        <v>58</v>
      </c>
      <c r="F74">
        <v>288.49</v>
      </c>
      <c r="G74">
        <v>285.49</v>
      </c>
      <c r="H74">
        <v>2</v>
      </c>
      <c r="I74">
        <f t="shared" si="9"/>
        <v>6</v>
      </c>
      <c r="J74">
        <v>1</v>
      </c>
      <c r="K74">
        <f t="shared" si="7"/>
        <v>6</v>
      </c>
      <c r="L74" t="s">
        <v>72</v>
      </c>
      <c r="M74">
        <f>SUMIF(Executions!B:B,A74,Executions!H:H)</f>
        <v>15.159999999999968</v>
      </c>
      <c r="N74">
        <f t="shared" si="8"/>
        <v>2.5266666666666615</v>
      </c>
      <c r="O74">
        <f>Tabla1[[#This Row],[Initial Risk $]]/Tabla1[[#This Row],[Position Size (shares)]]+Tabla1[[#This Row],[Entry Price]]</f>
        <v>291.49</v>
      </c>
      <c r="P74">
        <f>Tabla1[[#This Row],[Initial Risk $]]/Tabla1[[#This Row],[Position Size (shares)]]*2+Tabla1[[#This Row],[Entry Price]]</f>
        <v>294.49</v>
      </c>
      <c r="Q74">
        <f>Tabla1[[#This Row],[Initial Risk $]]/Tabla1[[#This Row],[Position Size (shares)]]*3+Tabla1[[#This Row],[Entry Price]]</f>
        <v>297.49</v>
      </c>
    </row>
    <row r="75" spans="1:17" hidden="1" x14ac:dyDescent="0.25">
      <c r="A75" t="str">
        <f t="shared" si="0"/>
        <v>T-074</v>
      </c>
      <c r="B75" s="1">
        <v>46134</v>
      </c>
      <c r="C75" t="s">
        <v>210</v>
      </c>
      <c r="D75" t="s">
        <v>28</v>
      </c>
      <c r="E75" t="s">
        <v>112</v>
      </c>
      <c r="F75">
        <v>7.43</v>
      </c>
      <c r="G75">
        <v>6.43</v>
      </c>
      <c r="H75">
        <v>4</v>
      </c>
      <c r="I75">
        <f t="shared" si="9"/>
        <v>4</v>
      </c>
      <c r="J75">
        <v>1</v>
      </c>
      <c r="K75">
        <f t="shared" si="7"/>
        <v>4</v>
      </c>
      <c r="L75" t="s">
        <v>72</v>
      </c>
      <c r="M75">
        <f>SUMIF(Executions!B:B,A75,Executions!H:H)</f>
        <v>0</v>
      </c>
      <c r="N75">
        <f t="shared" si="8"/>
        <v>0</v>
      </c>
      <c r="O75">
        <f>Tabla1[[#This Row],[Initial Risk $]]/Tabla1[[#This Row],[Position Size (shares)]]+Tabla1[[#This Row],[Entry Price]]</f>
        <v>8.43</v>
      </c>
      <c r="P75">
        <f>Tabla1[[#This Row],[Initial Risk $]]/Tabla1[[#This Row],[Position Size (shares)]]*2+Tabla1[[#This Row],[Entry Price]]</f>
        <v>9.43</v>
      </c>
      <c r="Q75">
        <f>Tabla1[[#This Row],[Initial Risk $]]/Tabla1[[#This Row],[Position Size (shares)]]*3+Tabla1[[#This Row],[Entry Price]]</f>
        <v>10.43</v>
      </c>
    </row>
    <row r="76" spans="1:17" hidden="1" x14ac:dyDescent="0.25">
      <c r="A76" t="str">
        <f t="shared" si="0"/>
        <v>T-075</v>
      </c>
      <c r="B76" s="1">
        <v>46134</v>
      </c>
      <c r="C76" t="s">
        <v>211</v>
      </c>
      <c r="D76" t="s">
        <v>28</v>
      </c>
      <c r="E76" t="s">
        <v>58</v>
      </c>
      <c r="F76">
        <v>13.47</v>
      </c>
      <c r="G76">
        <v>12.79</v>
      </c>
      <c r="H76">
        <v>10</v>
      </c>
      <c r="I76">
        <f t="shared" si="9"/>
        <v>6.8000000000000149</v>
      </c>
      <c r="J76">
        <v>1</v>
      </c>
      <c r="K76">
        <f t="shared" si="7"/>
        <v>6.8000000000000149</v>
      </c>
      <c r="L76" t="s">
        <v>72</v>
      </c>
      <c r="M76">
        <f>SUMIF(Executions!B:B,A76,Executions!H:H)</f>
        <v>-6.8800000000000061</v>
      </c>
      <c r="N76">
        <f t="shared" si="8"/>
        <v>-1.0117647058823516</v>
      </c>
      <c r="O76">
        <f>Tabla1[[#This Row],[Initial Risk $]]/Tabla1[[#This Row],[Position Size (shares)]]+Tabla1[[#This Row],[Entry Price]]</f>
        <v>14.150000000000002</v>
      </c>
      <c r="P76">
        <f>Tabla1[[#This Row],[Initial Risk $]]/Tabla1[[#This Row],[Position Size (shares)]]*2+Tabla1[[#This Row],[Entry Price]]</f>
        <v>14.830000000000004</v>
      </c>
      <c r="Q76">
        <f>Tabla1[[#This Row],[Initial Risk $]]/Tabla1[[#This Row],[Position Size (shares)]]*3+Tabla1[[#This Row],[Entry Price]]</f>
        <v>15.510000000000005</v>
      </c>
    </row>
    <row r="77" spans="1:17" hidden="1" x14ac:dyDescent="0.25">
      <c r="A77" t="str">
        <f t="shared" si="0"/>
        <v>T-076</v>
      </c>
      <c r="B77" s="1">
        <v>46135</v>
      </c>
      <c r="C77" t="s">
        <v>213</v>
      </c>
      <c r="D77" t="s">
        <v>28</v>
      </c>
      <c r="E77" t="s">
        <v>51</v>
      </c>
      <c r="F77">
        <v>8.77</v>
      </c>
      <c r="G77">
        <v>7.77</v>
      </c>
      <c r="H77">
        <v>4</v>
      </c>
      <c r="I77">
        <f t="shared" si="9"/>
        <v>4</v>
      </c>
      <c r="J77">
        <v>1</v>
      </c>
      <c r="K77">
        <f t="shared" si="7"/>
        <v>4</v>
      </c>
      <c r="L77" t="s">
        <v>72</v>
      </c>
      <c r="M77">
        <f>SUMIF(Executions!B:B,A77,Executions!H:H)</f>
        <v>-3</v>
      </c>
      <c r="N77">
        <f t="shared" si="8"/>
        <v>-0.75</v>
      </c>
      <c r="O77">
        <f>Tabla1[[#This Row],[Initial Risk $]]/Tabla1[[#This Row],[Position Size (shares)]]+Tabla1[[#This Row],[Entry Price]]</f>
        <v>9.77</v>
      </c>
      <c r="P77">
        <f>Tabla1[[#This Row],[Initial Risk $]]/Tabla1[[#This Row],[Position Size (shares)]]*2+Tabla1[[#This Row],[Entry Price]]</f>
        <v>10.77</v>
      </c>
      <c r="Q77">
        <f>Tabla1[[#This Row],[Initial Risk $]]/Tabla1[[#This Row],[Position Size (shares)]]*3+Tabla1[[#This Row],[Entry Price]]</f>
        <v>11.77</v>
      </c>
    </row>
    <row r="78" spans="1:17" hidden="1" x14ac:dyDescent="0.25">
      <c r="A78" t="str">
        <f t="shared" si="0"/>
        <v>T-077</v>
      </c>
      <c r="B78" s="1">
        <v>46135</v>
      </c>
      <c r="C78" t="s">
        <v>130</v>
      </c>
      <c r="D78" t="s">
        <v>28</v>
      </c>
      <c r="E78" t="s">
        <v>51</v>
      </c>
      <c r="F78">
        <v>306.27999999999997</v>
      </c>
      <c r="G78">
        <v>303.08</v>
      </c>
      <c r="H78">
        <v>3</v>
      </c>
      <c r="I78">
        <f t="shared" si="9"/>
        <v>9.5999999999999659</v>
      </c>
      <c r="J78">
        <v>1</v>
      </c>
      <c r="K78">
        <f t="shared" si="7"/>
        <v>9.5999999999999659</v>
      </c>
      <c r="L78" t="s">
        <v>72</v>
      </c>
      <c r="M78">
        <f>SUMIF(Executions!B:B,A78,Executions!H:H)</f>
        <v>-9.7799999999999727</v>
      </c>
      <c r="N78">
        <f t="shared" si="8"/>
        <v>-1.0187500000000007</v>
      </c>
      <c r="O78">
        <f>Tabla1[[#This Row],[Initial Risk $]]/Tabla1[[#This Row],[Position Size (shares)]]+Tabla1[[#This Row],[Entry Price]]</f>
        <v>309.47999999999996</v>
      </c>
      <c r="P78">
        <f>Tabla1[[#This Row],[Initial Risk $]]/Tabla1[[#This Row],[Position Size (shares)]]*2+Tabla1[[#This Row],[Entry Price]]</f>
        <v>312.67999999999995</v>
      </c>
      <c r="Q78">
        <f>Tabla1[[#This Row],[Initial Risk $]]/Tabla1[[#This Row],[Position Size (shares)]]*3+Tabla1[[#This Row],[Entry Price]]</f>
        <v>315.87999999999994</v>
      </c>
    </row>
    <row r="79" spans="1:17" hidden="1" x14ac:dyDescent="0.25">
      <c r="A79" t="str">
        <f t="shared" si="0"/>
        <v>T-078</v>
      </c>
      <c r="B79" s="1">
        <v>46136</v>
      </c>
      <c r="C79" t="s">
        <v>135</v>
      </c>
      <c r="D79" t="s">
        <v>28</v>
      </c>
      <c r="E79" t="s">
        <v>58</v>
      </c>
      <c r="F79">
        <v>227.76</v>
      </c>
      <c r="G79">
        <v>225.76</v>
      </c>
      <c r="H79">
        <v>4</v>
      </c>
      <c r="I79">
        <f t="shared" si="9"/>
        <v>8</v>
      </c>
      <c r="J79">
        <v>1</v>
      </c>
      <c r="K79">
        <f t="shared" si="7"/>
        <v>8</v>
      </c>
      <c r="L79" t="s">
        <v>72</v>
      </c>
      <c r="M79">
        <f>SUMIF(Executions!B:B,A79,Executions!H:H)</f>
        <v>10.759999999999991</v>
      </c>
      <c r="N79">
        <f t="shared" si="8"/>
        <v>1.3449999999999989</v>
      </c>
      <c r="O79">
        <f>Tabla1[[#This Row],[Initial Risk $]]/Tabla1[[#This Row],[Position Size (shares)]]+Tabla1[[#This Row],[Entry Price]]</f>
        <v>229.76</v>
      </c>
      <c r="P79">
        <f>Tabla1[[#This Row],[Initial Risk $]]/Tabla1[[#This Row],[Position Size (shares)]]*2+Tabla1[[#This Row],[Entry Price]]</f>
        <v>231.76</v>
      </c>
      <c r="Q79">
        <f>Tabla1[[#This Row],[Initial Risk $]]/Tabla1[[#This Row],[Position Size (shares)]]*3+Tabla1[[#This Row],[Entry Price]]</f>
        <v>233.76</v>
      </c>
    </row>
    <row r="80" spans="1:17" hidden="1" x14ac:dyDescent="0.25">
      <c r="A80" t="str">
        <f t="shared" si="0"/>
        <v>T-079</v>
      </c>
      <c r="B80" s="1">
        <v>46136</v>
      </c>
      <c r="C80" t="s">
        <v>223</v>
      </c>
      <c r="D80" t="s">
        <v>28</v>
      </c>
      <c r="E80" t="s">
        <v>119</v>
      </c>
      <c r="F80">
        <v>10.66</v>
      </c>
      <c r="G80">
        <v>10.199999999999999</v>
      </c>
      <c r="H80">
        <v>20</v>
      </c>
      <c r="I80">
        <f t="shared" si="9"/>
        <v>9.2000000000000171</v>
      </c>
      <c r="J80">
        <v>1</v>
      </c>
      <c r="K80">
        <f t="shared" si="7"/>
        <v>9.2000000000000171</v>
      </c>
      <c r="L80" t="s">
        <v>72</v>
      </c>
      <c r="M80">
        <f>SUMIF(Executions!B:B,A80,Executions!H:H)</f>
        <v>-25.800000000000018</v>
      </c>
      <c r="N80">
        <f t="shared" si="8"/>
        <v>-2.8043478260869534</v>
      </c>
      <c r="O80">
        <f>Tabla1[[#This Row],[Initial Risk $]]/Tabla1[[#This Row],[Position Size (shares)]]+Tabla1[[#This Row],[Entry Price]]</f>
        <v>11.120000000000001</v>
      </c>
      <c r="P80">
        <f>Tabla1[[#This Row],[Initial Risk $]]/Tabla1[[#This Row],[Position Size (shares)]]*2+Tabla1[[#This Row],[Entry Price]]</f>
        <v>11.580000000000002</v>
      </c>
      <c r="Q80">
        <f>Tabla1[[#This Row],[Initial Risk $]]/Tabla1[[#This Row],[Position Size (shares)]]*3+Tabla1[[#This Row],[Entry Price]]</f>
        <v>12.040000000000003</v>
      </c>
    </row>
    <row r="81" spans="1:17" hidden="1" x14ac:dyDescent="0.25">
      <c r="A81" t="str">
        <f t="shared" si="0"/>
        <v>T-080</v>
      </c>
      <c r="B81" s="1">
        <v>46136</v>
      </c>
      <c r="C81" t="s">
        <v>187</v>
      </c>
      <c r="D81" t="s">
        <v>28</v>
      </c>
      <c r="E81" t="s">
        <v>119</v>
      </c>
      <c r="F81">
        <v>98.59</v>
      </c>
      <c r="G81">
        <v>96.49</v>
      </c>
      <c r="H81">
        <v>4</v>
      </c>
      <c r="I81">
        <f t="shared" si="9"/>
        <v>8.4000000000000341</v>
      </c>
      <c r="J81">
        <v>1</v>
      </c>
      <c r="K81">
        <f t="shared" si="7"/>
        <v>8.4000000000000341</v>
      </c>
      <c r="L81" t="s">
        <v>72</v>
      </c>
      <c r="M81">
        <f>SUMIF(Executions!B:B,A81,Executions!H:H)</f>
        <v>-8.5600000000000023</v>
      </c>
      <c r="N81">
        <f t="shared" si="8"/>
        <v>-1.0190476190476152</v>
      </c>
      <c r="O81">
        <f>Tabla1[[#This Row],[Initial Risk $]]/Tabla1[[#This Row],[Position Size (shares)]]+Tabla1[[#This Row],[Entry Price]]</f>
        <v>100.69000000000001</v>
      </c>
      <c r="P81">
        <f>Tabla1[[#This Row],[Initial Risk $]]/Tabla1[[#This Row],[Position Size (shares)]]*2+Tabla1[[#This Row],[Entry Price]]</f>
        <v>102.79000000000002</v>
      </c>
      <c r="Q81">
        <f>Tabla1[[#This Row],[Initial Risk $]]/Tabla1[[#This Row],[Position Size (shares)]]*3+Tabla1[[#This Row],[Entry Price]]</f>
        <v>104.89000000000003</v>
      </c>
    </row>
    <row r="82" spans="1:17" hidden="1" x14ac:dyDescent="0.25">
      <c r="A82" t="str">
        <f t="shared" ref="A82:A90" si="10">"T-"&amp; TEXT(ROW()-1,"000")</f>
        <v>T-081</v>
      </c>
      <c r="B82" s="1">
        <v>46139</v>
      </c>
      <c r="C82" t="s">
        <v>76</v>
      </c>
      <c r="D82" t="s">
        <v>28</v>
      </c>
      <c r="E82" t="s">
        <v>60</v>
      </c>
      <c r="F82">
        <v>10.74</v>
      </c>
      <c r="G82">
        <v>10.02</v>
      </c>
      <c r="H82">
        <v>8</v>
      </c>
      <c r="I82">
        <f t="shared" ref="I82:I90" si="11">IF(D82="Long",(F82-G82)*H82,(G82-F82)*0)</f>
        <v>5.7600000000000051</v>
      </c>
      <c r="J82">
        <v>1</v>
      </c>
      <c r="K82">
        <f t="shared" si="7"/>
        <v>5.7600000000000051</v>
      </c>
      <c r="L82" t="s">
        <v>72</v>
      </c>
      <c r="M82">
        <f>SUMIF(Executions!B:B,A82,Executions!H:H)</f>
        <v>-5.7600000000000051</v>
      </c>
      <c r="N82">
        <f t="shared" si="8"/>
        <v>-1</v>
      </c>
      <c r="O82">
        <f>Tabla1[[#This Row],[Initial Risk $]]/Tabla1[[#This Row],[Position Size (shares)]]+Tabla1[[#This Row],[Entry Price]]</f>
        <v>11.46</v>
      </c>
      <c r="P82">
        <f>Tabla1[[#This Row],[Initial Risk $]]/Tabla1[[#This Row],[Position Size (shares)]]*2+Tabla1[[#This Row],[Entry Price]]</f>
        <v>12.180000000000001</v>
      </c>
      <c r="Q82">
        <f>Tabla1[[#This Row],[Initial Risk $]]/Tabla1[[#This Row],[Position Size (shares)]]*3+Tabla1[[#This Row],[Entry Price]]</f>
        <v>12.900000000000002</v>
      </c>
    </row>
    <row r="83" spans="1:17" hidden="1" x14ac:dyDescent="0.25">
      <c r="A83" t="str">
        <f t="shared" si="10"/>
        <v>T-082</v>
      </c>
      <c r="B83" s="1">
        <v>46139</v>
      </c>
      <c r="C83" t="s">
        <v>207</v>
      </c>
      <c r="D83" t="s">
        <v>28</v>
      </c>
      <c r="E83" t="s">
        <v>60</v>
      </c>
      <c r="F83">
        <v>28.87</v>
      </c>
      <c r="G83">
        <v>27.63</v>
      </c>
      <c r="H83">
        <v>4</v>
      </c>
      <c r="I83">
        <f t="shared" si="11"/>
        <v>4.960000000000008</v>
      </c>
      <c r="J83">
        <v>1</v>
      </c>
      <c r="K83">
        <f t="shared" si="7"/>
        <v>4.960000000000008</v>
      </c>
      <c r="L83" t="s">
        <v>72</v>
      </c>
      <c r="M83">
        <f>SUMIF(Executions!B:B,A83,Executions!H:H)</f>
        <v>-4.960000000000008</v>
      </c>
      <c r="N83">
        <f t="shared" si="8"/>
        <v>-1</v>
      </c>
      <c r="O83">
        <f>Tabla1[[#This Row],[Initial Risk $]]/Tabla1[[#This Row],[Position Size (shares)]]+Tabla1[[#This Row],[Entry Price]]</f>
        <v>30.110000000000003</v>
      </c>
      <c r="P83">
        <f>Tabla1[[#This Row],[Initial Risk $]]/Tabla1[[#This Row],[Position Size (shares)]]*2+Tabla1[[#This Row],[Entry Price]]</f>
        <v>31.350000000000005</v>
      </c>
      <c r="Q83">
        <f>Tabla1[[#This Row],[Initial Risk $]]/Tabla1[[#This Row],[Position Size (shares)]]*3+Tabla1[[#This Row],[Entry Price]]</f>
        <v>32.590000000000003</v>
      </c>
    </row>
    <row r="84" spans="1:17" hidden="1" x14ac:dyDescent="0.25">
      <c r="A84" t="str">
        <f t="shared" si="10"/>
        <v>T-083</v>
      </c>
      <c r="B84" s="1">
        <v>46139</v>
      </c>
      <c r="C84" t="s">
        <v>164</v>
      </c>
      <c r="D84" t="s">
        <v>28</v>
      </c>
      <c r="E84" t="s">
        <v>58</v>
      </c>
      <c r="F84">
        <v>209.45</v>
      </c>
      <c r="G84">
        <v>208.15</v>
      </c>
      <c r="H84">
        <v>3</v>
      </c>
      <c r="I84">
        <f t="shared" si="11"/>
        <v>3.8999999999999488</v>
      </c>
      <c r="J84">
        <v>1</v>
      </c>
      <c r="K84">
        <f t="shared" si="7"/>
        <v>3.8999999999999488</v>
      </c>
      <c r="L84" t="s">
        <v>72</v>
      </c>
      <c r="M84">
        <f>SUMIF(Executions!B:B,A84,Executions!H:H)</f>
        <v>-3.6899999999999693</v>
      </c>
      <c r="N84">
        <f t="shared" si="8"/>
        <v>-0.94615384615385068</v>
      </c>
      <c r="O84">
        <f>Tabla1[[#This Row],[Initial Risk $]]/Tabla1[[#This Row],[Position Size (shares)]]+Tabla1[[#This Row],[Entry Price]]</f>
        <v>210.74999999999997</v>
      </c>
      <c r="P84">
        <f>Tabla1[[#This Row],[Initial Risk $]]/Tabla1[[#This Row],[Position Size (shares)]]*2+Tabla1[[#This Row],[Entry Price]]</f>
        <v>212.04999999999995</v>
      </c>
      <c r="Q84">
        <f>Tabla1[[#This Row],[Initial Risk $]]/Tabla1[[#This Row],[Position Size (shares)]]*3+Tabla1[[#This Row],[Entry Price]]</f>
        <v>213.34999999999994</v>
      </c>
    </row>
    <row r="85" spans="1:17" hidden="1" x14ac:dyDescent="0.25">
      <c r="A85" t="str">
        <f t="shared" si="10"/>
        <v>T-084</v>
      </c>
      <c r="B85" s="1">
        <v>46139</v>
      </c>
      <c r="C85" t="s">
        <v>181</v>
      </c>
      <c r="D85" t="s">
        <v>28</v>
      </c>
      <c r="E85" t="s">
        <v>60</v>
      </c>
      <c r="F85">
        <v>10.32</v>
      </c>
      <c r="G85">
        <v>9.82</v>
      </c>
      <c r="H85">
        <v>10</v>
      </c>
      <c r="I85">
        <f t="shared" si="11"/>
        <v>5</v>
      </c>
      <c r="J85">
        <v>1</v>
      </c>
      <c r="K85">
        <f t="shared" si="7"/>
        <v>5</v>
      </c>
      <c r="L85" t="s">
        <v>72</v>
      </c>
      <c r="M85">
        <f>SUMIF(Executions!B:B,A85,Executions!H:H)</f>
        <v>-4.9000000000000021</v>
      </c>
      <c r="N85">
        <f t="shared" si="8"/>
        <v>-0.98000000000000043</v>
      </c>
      <c r="O85">
        <f>Tabla1[[#This Row],[Initial Risk $]]/Tabla1[[#This Row],[Position Size (shares)]]+Tabla1[[#This Row],[Entry Price]]</f>
        <v>10.82</v>
      </c>
      <c r="P85">
        <f>Tabla1[[#This Row],[Initial Risk $]]/Tabla1[[#This Row],[Position Size (shares)]]*2+Tabla1[[#This Row],[Entry Price]]</f>
        <v>11.32</v>
      </c>
      <c r="Q85">
        <f>Tabla1[[#This Row],[Initial Risk $]]/Tabla1[[#This Row],[Position Size (shares)]]*3+Tabla1[[#This Row],[Entry Price]]</f>
        <v>11.82</v>
      </c>
    </row>
    <row r="86" spans="1:17" hidden="1" x14ac:dyDescent="0.25">
      <c r="A86" t="str">
        <f t="shared" si="10"/>
        <v>T-085</v>
      </c>
      <c r="B86" s="1">
        <v>46139</v>
      </c>
      <c r="C86" t="s">
        <v>225</v>
      </c>
      <c r="D86" t="s">
        <v>28</v>
      </c>
      <c r="E86" t="s">
        <v>58</v>
      </c>
      <c r="F86">
        <v>155.94</v>
      </c>
      <c r="G86">
        <v>151.94</v>
      </c>
      <c r="H86">
        <v>4</v>
      </c>
      <c r="I86">
        <f t="shared" si="11"/>
        <v>16</v>
      </c>
      <c r="J86">
        <v>1</v>
      </c>
      <c r="K86">
        <f t="shared" si="7"/>
        <v>16</v>
      </c>
      <c r="L86" t="s">
        <v>72</v>
      </c>
      <c r="M86">
        <f>SUMIF(Executions!B:B,A86,Executions!H:H)</f>
        <v>-16</v>
      </c>
      <c r="N86">
        <f t="shared" si="8"/>
        <v>-1</v>
      </c>
      <c r="O86">
        <f>Tabla1[[#This Row],[Initial Risk $]]/Tabla1[[#This Row],[Position Size (shares)]]+Tabla1[[#This Row],[Entry Price]]</f>
        <v>159.94</v>
      </c>
      <c r="P86">
        <f>Tabla1[[#This Row],[Initial Risk $]]/Tabla1[[#This Row],[Position Size (shares)]]*2+Tabla1[[#This Row],[Entry Price]]</f>
        <v>163.94</v>
      </c>
      <c r="Q86">
        <f>Tabla1[[#This Row],[Initial Risk $]]/Tabla1[[#This Row],[Position Size (shares)]]*3+Tabla1[[#This Row],[Entry Price]]</f>
        <v>167.94</v>
      </c>
    </row>
    <row r="87" spans="1:17" hidden="1" x14ac:dyDescent="0.25">
      <c r="A87" t="str">
        <f t="shared" si="10"/>
        <v>T-086</v>
      </c>
      <c r="B87" s="1">
        <v>46139</v>
      </c>
      <c r="C87" t="s">
        <v>225</v>
      </c>
      <c r="D87" t="s">
        <v>28</v>
      </c>
      <c r="E87" t="s">
        <v>58</v>
      </c>
      <c r="F87">
        <v>152.19</v>
      </c>
      <c r="G87">
        <v>151.32</v>
      </c>
      <c r="H87">
        <v>4</v>
      </c>
      <c r="I87">
        <f t="shared" si="11"/>
        <v>3.4800000000000182</v>
      </c>
      <c r="J87">
        <v>1</v>
      </c>
      <c r="K87">
        <f t="shared" si="7"/>
        <v>3.4800000000000182</v>
      </c>
      <c r="L87" t="s">
        <v>72</v>
      </c>
      <c r="M87">
        <f>SUMIF(Executions!B:B,A87,Executions!H:H)</f>
        <v>-3.4800000000000182</v>
      </c>
      <c r="N87">
        <f t="shared" si="8"/>
        <v>-1</v>
      </c>
      <c r="O87">
        <f>Tabla1[[#This Row],[Initial Risk $]]/Tabla1[[#This Row],[Position Size (shares)]]+Tabla1[[#This Row],[Entry Price]]</f>
        <v>153.06</v>
      </c>
      <c r="P87">
        <f>Tabla1[[#This Row],[Initial Risk $]]/Tabla1[[#This Row],[Position Size (shares)]]*2+Tabla1[[#This Row],[Entry Price]]</f>
        <v>153.93</v>
      </c>
      <c r="Q87">
        <f>Tabla1[[#This Row],[Initial Risk $]]/Tabla1[[#This Row],[Position Size (shares)]]*3+Tabla1[[#This Row],[Entry Price]]</f>
        <v>154.80000000000001</v>
      </c>
    </row>
    <row r="88" spans="1:17" hidden="1" x14ac:dyDescent="0.25">
      <c r="A88" t="str">
        <f t="shared" si="10"/>
        <v>T-087</v>
      </c>
      <c r="B88" s="1">
        <v>46139</v>
      </c>
      <c r="C88" t="s">
        <v>225</v>
      </c>
      <c r="D88" t="s">
        <v>28</v>
      </c>
      <c r="E88" t="s">
        <v>58</v>
      </c>
      <c r="F88">
        <v>148.72999999999999</v>
      </c>
      <c r="G88">
        <v>147.72999999999999</v>
      </c>
      <c r="H88">
        <v>4</v>
      </c>
      <c r="I88">
        <f t="shared" si="11"/>
        <v>4</v>
      </c>
      <c r="J88">
        <v>1</v>
      </c>
      <c r="K88">
        <f t="shared" si="7"/>
        <v>4</v>
      </c>
      <c r="L88" t="s">
        <v>72</v>
      </c>
      <c r="M88">
        <f>SUMIF(Executions!B:B,A88,Executions!H:H)</f>
        <v>-3.9199999999999591</v>
      </c>
      <c r="N88">
        <f t="shared" si="8"/>
        <v>-0.97999999999998977</v>
      </c>
      <c r="O88">
        <f>Tabla1[[#This Row],[Initial Risk $]]/Tabla1[[#This Row],[Position Size (shares)]]+Tabla1[[#This Row],[Entry Price]]</f>
        <v>149.72999999999999</v>
      </c>
      <c r="P88">
        <f>Tabla1[[#This Row],[Initial Risk $]]/Tabla1[[#This Row],[Position Size (shares)]]*2+Tabla1[[#This Row],[Entry Price]]</f>
        <v>150.72999999999999</v>
      </c>
      <c r="Q88">
        <f>Tabla1[[#This Row],[Initial Risk $]]/Tabla1[[#This Row],[Position Size (shares)]]*3+Tabla1[[#This Row],[Entry Price]]</f>
        <v>151.72999999999999</v>
      </c>
    </row>
    <row r="89" spans="1:17" hidden="1" x14ac:dyDescent="0.25">
      <c r="A89" t="str">
        <f t="shared" si="10"/>
        <v>T-088</v>
      </c>
      <c r="B89" s="1">
        <v>46139</v>
      </c>
      <c r="C89" t="s">
        <v>198</v>
      </c>
      <c r="D89" t="s">
        <v>28</v>
      </c>
      <c r="E89" t="s">
        <v>119</v>
      </c>
      <c r="F89">
        <v>75.95</v>
      </c>
      <c r="G89">
        <v>74.489999999999995</v>
      </c>
      <c r="H89">
        <v>4</v>
      </c>
      <c r="I89">
        <f t="shared" si="11"/>
        <v>5.8400000000000318</v>
      </c>
      <c r="J89">
        <v>1</v>
      </c>
      <c r="K89">
        <f t="shared" si="7"/>
        <v>5.8400000000000318</v>
      </c>
      <c r="L89" t="s">
        <v>72</v>
      </c>
      <c r="M89">
        <f>SUMIF(Executions!B:B,A89,Executions!H:H)</f>
        <v>10.120000000000005</v>
      </c>
      <c r="N89">
        <f t="shared" si="8"/>
        <v>1.7328767123287585</v>
      </c>
      <c r="O89">
        <f>Tabla1[[#This Row],[Initial Risk $]]/Tabla1[[#This Row],[Position Size (shares)]]+Tabla1[[#This Row],[Entry Price]]</f>
        <v>77.410000000000011</v>
      </c>
      <c r="P89">
        <f>Tabla1[[#This Row],[Initial Risk $]]/Tabla1[[#This Row],[Position Size (shares)]]*2+Tabla1[[#This Row],[Entry Price]]</f>
        <v>78.870000000000019</v>
      </c>
      <c r="Q89">
        <f>Tabla1[[#This Row],[Initial Risk $]]/Tabla1[[#This Row],[Position Size (shares)]]*3+Tabla1[[#This Row],[Entry Price]]</f>
        <v>80.330000000000027</v>
      </c>
    </row>
    <row r="90" spans="1:17" hidden="1" x14ac:dyDescent="0.25">
      <c r="A90" t="str">
        <f t="shared" si="10"/>
        <v>T-089</v>
      </c>
      <c r="B90" s="1">
        <v>46139</v>
      </c>
      <c r="C90" t="s">
        <v>233</v>
      </c>
      <c r="D90" t="s">
        <v>28</v>
      </c>
      <c r="E90" t="s">
        <v>119</v>
      </c>
      <c r="F90">
        <v>424.93</v>
      </c>
      <c r="G90">
        <v>411.49</v>
      </c>
      <c r="H90">
        <v>1</v>
      </c>
      <c r="I90">
        <f t="shared" si="11"/>
        <v>13.439999999999998</v>
      </c>
      <c r="J90">
        <v>1</v>
      </c>
      <c r="K90">
        <f t="shared" si="7"/>
        <v>13.439999999999998</v>
      </c>
      <c r="L90" t="s">
        <v>72</v>
      </c>
      <c r="M90">
        <f>SUMIF(Executions!B:B,A90,Executions!H:H)</f>
        <v>-14.54000000000002</v>
      </c>
      <c r="N90">
        <f t="shared" si="8"/>
        <v>-1.0818452380952397</v>
      </c>
      <c r="O90">
        <f>Tabla1[[#This Row],[Initial Risk $]]/Tabla1[[#This Row],[Position Size (shares)]]+Tabla1[[#This Row],[Entry Price]]</f>
        <v>438.37</v>
      </c>
      <c r="P90">
        <f>Tabla1[[#This Row],[Initial Risk $]]/Tabla1[[#This Row],[Position Size (shares)]]*2+Tabla1[[#This Row],[Entry Price]]</f>
        <v>451.81</v>
      </c>
      <c r="Q90">
        <f>Tabla1[[#This Row],[Initial Risk $]]/Tabla1[[#This Row],[Position Size (shares)]]*3+Tabla1[[#This Row],[Entry Price]]</f>
        <v>465.25</v>
      </c>
    </row>
    <row r="91" spans="1:17" hidden="1" x14ac:dyDescent="0.25">
      <c r="A91" t="str">
        <f t="shared" ref="A91:A100" si="12">"T-"&amp; TEXT(ROW()-1,"000")</f>
        <v>T-090</v>
      </c>
      <c r="B91" s="1">
        <v>46140</v>
      </c>
      <c r="C91" t="s">
        <v>234</v>
      </c>
      <c r="D91" t="s">
        <v>28</v>
      </c>
      <c r="E91" t="s">
        <v>119</v>
      </c>
      <c r="F91">
        <v>75</v>
      </c>
      <c r="G91">
        <v>71</v>
      </c>
      <c r="H91">
        <v>2</v>
      </c>
      <c r="I91">
        <f t="shared" ref="I91:I100" si="13">IF(D91="Long",(F91-G91)*H91,(G91-F91)*0)</f>
        <v>8</v>
      </c>
      <c r="J91">
        <v>1</v>
      </c>
      <c r="K91">
        <f t="shared" si="7"/>
        <v>8</v>
      </c>
      <c r="L91" t="s">
        <v>72</v>
      </c>
      <c r="M91">
        <f>SUMIF(Executions!B:B,A91,Executions!H:H)</f>
        <v>-8</v>
      </c>
      <c r="N91">
        <f t="shared" si="8"/>
        <v>-1</v>
      </c>
      <c r="O91">
        <f>Tabla1[[#This Row],[Initial Risk $]]/Tabla1[[#This Row],[Position Size (shares)]]+Tabla1[[#This Row],[Entry Price]]</f>
        <v>79</v>
      </c>
      <c r="P91">
        <f>Tabla1[[#This Row],[Initial Risk $]]/Tabla1[[#This Row],[Position Size (shares)]]*2+Tabla1[[#This Row],[Entry Price]]</f>
        <v>83</v>
      </c>
      <c r="Q91">
        <f>Tabla1[[#This Row],[Initial Risk $]]/Tabla1[[#This Row],[Position Size (shares)]]*3+Tabla1[[#This Row],[Entry Price]]</f>
        <v>87</v>
      </c>
    </row>
    <row r="92" spans="1:17" hidden="1" x14ac:dyDescent="0.25">
      <c r="A92" t="str">
        <f t="shared" si="12"/>
        <v>T-091</v>
      </c>
      <c r="B92" s="1">
        <v>46140</v>
      </c>
      <c r="C92" t="s">
        <v>235</v>
      </c>
      <c r="D92" t="s">
        <v>28</v>
      </c>
      <c r="E92" t="s">
        <v>58</v>
      </c>
      <c r="F92">
        <v>207.69</v>
      </c>
      <c r="G92">
        <v>205.69</v>
      </c>
      <c r="H92">
        <v>4</v>
      </c>
      <c r="I92">
        <f t="shared" si="13"/>
        <v>8</v>
      </c>
      <c r="J92">
        <v>1</v>
      </c>
      <c r="K92">
        <f t="shared" si="7"/>
        <v>8</v>
      </c>
      <c r="L92" t="s">
        <v>72</v>
      </c>
      <c r="M92">
        <f>SUMIF(Executions!B:B,A92,Executions!H:H)</f>
        <v>-10.644000000000005</v>
      </c>
      <c r="N92">
        <f t="shared" si="8"/>
        <v>-1.3305000000000007</v>
      </c>
      <c r="O92">
        <f>Tabla1[[#This Row],[Initial Risk $]]/Tabla1[[#This Row],[Position Size (shares)]]+Tabla1[[#This Row],[Entry Price]]</f>
        <v>209.69</v>
      </c>
      <c r="P92">
        <f>Tabla1[[#This Row],[Initial Risk $]]/Tabla1[[#This Row],[Position Size (shares)]]*2+Tabla1[[#This Row],[Entry Price]]</f>
        <v>211.69</v>
      </c>
      <c r="Q92">
        <f>Tabla1[[#This Row],[Initial Risk $]]/Tabla1[[#This Row],[Position Size (shares)]]*3+Tabla1[[#This Row],[Entry Price]]</f>
        <v>213.69</v>
      </c>
    </row>
    <row r="93" spans="1:17" hidden="1" x14ac:dyDescent="0.25">
      <c r="A93" t="str">
        <f t="shared" si="12"/>
        <v>T-092</v>
      </c>
      <c r="B93" s="1">
        <v>46140</v>
      </c>
      <c r="C93" t="s">
        <v>239</v>
      </c>
      <c r="D93" t="s">
        <v>28</v>
      </c>
      <c r="E93" t="s">
        <v>58</v>
      </c>
      <c r="F93">
        <v>73.11</v>
      </c>
      <c r="G93">
        <v>71.36</v>
      </c>
      <c r="H93">
        <v>6</v>
      </c>
      <c r="I93">
        <f t="shared" si="13"/>
        <v>10.5</v>
      </c>
      <c r="J93">
        <v>1</v>
      </c>
      <c r="K93">
        <f t="shared" si="7"/>
        <v>10.5</v>
      </c>
      <c r="L93" t="s">
        <v>72</v>
      </c>
      <c r="M93">
        <f>SUMIF(Executions!B:B,A93,Executions!H:H)</f>
        <v>4.9200000000000443</v>
      </c>
      <c r="N93">
        <f t="shared" si="8"/>
        <v>0.4685714285714328</v>
      </c>
      <c r="O93">
        <f>Tabla1[[#This Row],[Initial Risk $]]/Tabla1[[#This Row],[Position Size (shares)]]+Tabla1[[#This Row],[Entry Price]]</f>
        <v>74.86</v>
      </c>
      <c r="P93">
        <f>Tabla1[[#This Row],[Initial Risk $]]/Tabla1[[#This Row],[Position Size (shares)]]*2+Tabla1[[#This Row],[Entry Price]]</f>
        <v>76.61</v>
      </c>
      <c r="Q93">
        <f>Tabla1[[#This Row],[Initial Risk $]]/Tabla1[[#This Row],[Position Size (shares)]]*3+Tabla1[[#This Row],[Entry Price]]</f>
        <v>78.36</v>
      </c>
    </row>
    <row r="94" spans="1:17" hidden="1" x14ac:dyDescent="0.25">
      <c r="A94" t="str">
        <f t="shared" si="12"/>
        <v>T-093</v>
      </c>
      <c r="B94" s="1">
        <v>46141</v>
      </c>
      <c r="C94" t="s">
        <v>173</v>
      </c>
      <c r="D94" t="s">
        <v>28</v>
      </c>
      <c r="E94" t="s">
        <v>58</v>
      </c>
      <c r="F94">
        <v>140.72999999999999</v>
      </c>
      <c r="G94">
        <v>137.38</v>
      </c>
      <c r="H94">
        <v>3</v>
      </c>
      <c r="I94">
        <f t="shared" si="13"/>
        <v>10.049999999999983</v>
      </c>
      <c r="J94">
        <v>1</v>
      </c>
      <c r="K94">
        <f t="shared" si="7"/>
        <v>10.049999999999983</v>
      </c>
      <c r="L94" t="s">
        <v>72</v>
      </c>
      <c r="M94">
        <f>SUMIF(Executions!B:B,A94,Executions!H:H)</f>
        <v>-10.049999999999983</v>
      </c>
      <c r="N94">
        <f t="shared" si="8"/>
        <v>-1</v>
      </c>
      <c r="O94">
        <f>Tabla1[[#This Row],[Initial Risk $]]/Tabla1[[#This Row],[Position Size (shares)]]+Tabla1[[#This Row],[Entry Price]]</f>
        <v>144.07999999999998</v>
      </c>
      <c r="P94">
        <f>Tabla1[[#This Row],[Initial Risk $]]/Tabla1[[#This Row],[Position Size (shares)]]*2+Tabla1[[#This Row],[Entry Price]]</f>
        <v>147.42999999999998</v>
      </c>
      <c r="Q94">
        <f>Tabla1[[#This Row],[Initial Risk $]]/Tabla1[[#This Row],[Position Size (shares)]]*3+Tabla1[[#This Row],[Entry Price]]</f>
        <v>150.77999999999997</v>
      </c>
    </row>
    <row r="95" spans="1:17" hidden="1" x14ac:dyDescent="0.25">
      <c r="A95" t="str">
        <f t="shared" si="12"/>
        <v>T-094</v>
      </c>
      <c r="B95" s="1">
        <v>46141</v>
      </c>
      <c r="C95" t="s">
        <v>242</v>
      </c>
      <c r="D95" t="s">
        <v>28</v>
      </c>
      <c r="E95" t="s">
        <v>58</v>
      </c>
      <c r="F95">
        <v>4.26</v>
      </c>
      <c r="G95">
        <v>3.81</v>
      </c>
      <c r="H95">
        <v>6</v>
      </c>
      <c r="I95">
        <f t="shared" si="13"/>
        <v>2.6999999999999984</v>
      </c>
      <c r="J95">
        <v>1</v>
      </c>
      <c r="K95">
        <f t="shared" si="7"/>
        <v>2.6999999999999984</v>
      </c>
      <c r="L95" t="s">
        <v>72</v>
      </c>
      <c r="M95">
        <f>SUMIF(Executions!B:B,A95,Executions!H:H)</f>
        <v>-2.76</v>
      </c>
      <c r="N95">
        <f t="shared" si="8"/>
        <v>-1.0222222222222228</v>
      </c>
      <c r="O95">
        <f>Tabla1[[#This Row],[Initial Risk $]]/Tabla1[[#This Row],[Position Size (shares)]]+Tabla1[[#This Row],[Entry Price]]</f>
        <v>4.7099999999999991</v>
      </c>
      <c r="P95">
        <f>Tabla1[[#This Row],[Initial Risk $]]/Tabla1[[#This Row],[Position Size (shares)]]*2+Tabla1[[#This Row],[Entry Price]]</f>
        <v>5.1599999999999993</v>
      </c>
      <c r="Q95">
        <f>Tabla1[[#This Row],[Initial Risk $]]/Tabla1[[#This Row],[Position Size (shares)]]*3+Tabla1[[#This Row],[Entry Price]]</f>
        <v>5.6099999999999994</v>
      </c>
    </row>
    <row r="96" spans="1:17" hidden="1" x14ac:dyDescent="0.25">
      <c r="A96" t="str">
        <f t="shared" si="12"/>
        <v>T-095</v>
      </c>
      <c r="B96" s="1">
        <v>46141</v>
      </c>
      <c r="C96" t="s">
        <v>243</v>
      </c>
      <c r="D96" t="s">
        <v>28</v>
      </c>
      <c r="E96" t="s">
        <v>51</v>
      </c>
      <c r="F96">
        <v>335.32</v>
      </c>
      <c r="G96">
        <v>332.32</v>
      </c>
      <c r="H96">
        <v>2</v>
      </c>
      <c r="I96">
        <f t="shared" si="13"/>
        <v>6</v>
      </c>
      <c r="J96">
        <v>1</v>
      </c>
      <c r="K96">
        <f t="shared" si="7"/>
        <v>6</v>
      </c>
      <c r="L96" t="s">
        <v>72</v>
      </c>
      <c r="M96">
        <f>SUMIF(Executions!B:B,A96,Executions!H:H)</f>
        <v>-7.67999999999995</v>
      </c>
      <c r="N96">
        <f t="shared" si="8"/>
        <v>-1.2799999999999916</v>
      </c>
      <c r="O96">
        <f>Tabla1[[#This Row],[Initial Risk $]]/Tabla1[[#This Row],[Position Size (shares)]]+Tabla1[[#This Row],[Entry Price]]</f>
        <v>338.32</v>
      </c>
      <c r="P96">
        <f>Tabla1[[#This Row],[Initial Risk $]]/Tabla1[[#This Row],[Position Size (shares)]]*2+Tabla1[[#This Row],[Entry Price]]</f>
        <v>341.32</v>
      </c>
      <c r="Q96">
        <f>Tabla1[[#This Row],[Initial Risk $]]/Tabla1[[#This Row],[Position Size (shares)]]*3+Tabla1[[#This Row],[Entry Price]]</f>
        <v>344.32</v>
      </c>
    </row>
    <row r="97" spans="1:17" hidden="1" x14ac:dyDescent="0.25">
      <c r="A97" t="str">
        <f t="shared" si="12"/>
        <v>T-096</v>
      </c>
      <c r="B97" s="1">
        <v>46141</v>
      </c>
      <c r="C97" t="s">
        <v>245</v>
      </c>
      <c r="D97" t="s">
        <v>28</v>
      </c>
      <c r="E97" t="s">
        <v>51</v>
      </c>
      <c r="F97">
        <v>667.39</v>
      </c>
      <c r="G97">
        <v>660.39</v>
      </c>
      <c r="H97">
        <v>1</v>
      </c>
      <c r="I97">
        <f t="shared" si="13"/>
        <v>7</v>
      </c>
      <c r="J97">
        <v>1</v>
      </c>
      <c r="K97">
        <f t="shared" si="7"/>
        <v>7</v>
      </c>
      <c r="L97" t="s">
        <v>72</v>
      </c>
      <c r="M97">
        <f>SUMIF(Executions!B:B,A97,Executions!H:H)</f>
        <v>-7.2999999999999545</v>
      </c>
      <c r="N97">
        <f t="shared" si="8"/>
        <v>-1.0428571428571363</v>
      </c>
      <c r="O97">
        <f>Tabla1[[#This Row],[Initial Risk $]]/Tabla1[[#This Row],[Position Size (shares)]]+Tabla1[[#This Row],[Entry Price]]</f>
        <v>674.39</v>
      </c>
      <c r="P97">
        <f>Tabla1[[#This Row],[Initial Risk $]]/Tabla1[[#This Row],[Position Size (shares)]]*2+Tabla1[[#This Row],[Entry Price]]</f>
        <v>681.39</v>
      </c>
      <c r="Q97">
        <f>Tabla1[[#This Row],[Initial Risk $]]/Tabla1[[#This Row],[Position Size (shares)]]*3+Tabla1[[#This Row],[Entry Price]]</f>
        <v>688.39</v>
      </c>
    </row>
    <row r="98" spans="1:17" hidden="1" x14ac:dyDescent="0.25">
      <c r="A98" t="str">
        <f t="shared" si="12"/>
        <v>T-097</v>
      </c>
      <c r="B98" s="1">
        <v>46141</v>
      </c>
      <c r="C98" t="s">
        <v>245</v>
      </c>
      <c r="D98" t="s">
        <v>28</v>
      </c>
      <c r="E98" t="s">
        <v>51</v>
      </c>
      <c r="F98">
        <v>663.81</v>
      </c>
      <c r="G98">
        <v>657.81</v>
      </c>
      <c r="H98">
        <v>2</v>
      </c>
      <c r="I98">
        <f t="shared" si="13"/>
        <v>12</v>
      </c>
      <c r="J98">
        <v>1</v>
      </c>
      <c r="K98">
        <f t="shared" si="7"/>
        <v>12</v>
      </c>
      <c r="L98" t="s">
        <v>72</v>
      </c>
      <c r="M98">
        <f>SUMIF(Executions!B:B,A98,Executions!H:H)</f>
        <v>-10.899999999999864</v>
      </c>
      <c r="N98">
        <f t="shared" si="8"/>
        <v>-0.908333333333322</v>
      </c>
      <c r="O98">
        <f>Tabla1[[#This Row],[Initial Risk $]]/Tabla1[[#This Row],[Position Size (shares)]]+Tabla1[[#This Row],[Entry Price]]</f>
        <v>669.81</v>
      </c>
      <c r="P98">
        <f>Tabla1[[#This Row],[Initial Risk $]]/Tabla1[[#This Row],[Position Size (shares)]]*2+Tabla1[[#This Row],[Entry Price]]</f>
        <v>675.81</v>
      </c>
      <c r="Q98">
        <f>Tabla1[[#This Row],[Initial Risk $]]/Tabla1[[#This Row],[Position Size (shares)]]*3+Tabla1[[#This Row],[Entry Price]]</f>
        <v>681.81</v>
      </c>
    </row>
    <row r="99" spans="1:17" hidden="1" x14ac:dyDescent="0.25">
      <c r="A99" t="str">
        <f t="shared" si="12"/>
        <v>T-098</v>
      </c>
      <c r="B99" s="1">
        <v>46141</v>
      </c>
      <c r="C99" t="s">
        <v>245</v>
      </c>
      <c r="D99" t="s">
        <v>28</v>
      </c>
      <c r="E99" t="s">
        <v>51</v>
      </c>
      <c r="F99">
        <v>655.42</v>
      </c>
      <c r="G99">
        <v>652.41999999999996</v>
      </c>
      <c r="H99">
        <v>2</v>
      </c>
      <c r="I99">
        <f t="shared" si="13"/>
        <v>6</v>
      </c>
      <c r="J99">
        <v>1</v>
      </c>
      <c r="K99">
        <f t="shared" si="7"/>
        <v>6</v>
      </c>
      <c r="L99" t="s">
        <v>72</v>
      </c>
      <c r="M99">
        <f>SUMIF(Executions!B:B,A99,Executions!H:H)</f>
        <v>-6.1999999999998181</v>
      </c>
      <c r="N99">
        <f t="shared" si="8"/>
        <v>-1.033333333333303</v>
      </c>
      <c r="O99">
        <f>Tabla1[[#This Row],[Initial Risk $]]/Tabla1[[#This Row],[Position Size (shares)]]+Tabla1[[#This Row],[Entry Price]]</f>
        <v>658.42</v>
      </c>
      <c r="P99">
        <f>Tabla1[[#This Row],[Initial Risk $]]/Tabla1[[#This Row],[Position Size (shares)]]*2+Tabla1[[#This Row],[Entry Price]]</f>
        <v>661.42</v>
      </c>
      <c r="Q99">
        <f>Tabla1[[#This Row],[Initial Risk $]]/Tabla1[[#This Row],[Position Size (shares)]]*3+Tabla1[[#This Row],[Entry Price]]</f>
        <v>664.42</v>
      </c>
    </row>
    <row r="100" spans="1:17" hidden="1" x14ac:dyDescent="0.25">
      <c r="A100" t="str">
        <f t="shared" si="12"/>
        <v>T-099</v>
      </c>
      <c r="B100" s="1">
        <v>46141</v>
      </c>
      <c r="C100" t="s">
        <v>245</v>
      </c>
      <c r="D100" t="s">
        <v>28</v>
      </c>
      <c r="E100" t="s">
        <v>51</v>
      </c>
      <c r="F100">
        <v>638.92999999999995</v>
      </c>
      <c r="G100">
        <v>633.35</v>
      </c>
      <c r="H100">
        <v>1</v>
      </c>
      <c r="I100">
        <f t="shared" si="13"/>
        <v>5.5799999999999272</v>
      </c>
      <c r="J100">
        <v>1</v>
      </c>
      <c r="K100">
        <f t="shared" si="7"/>
        <v>5.5799999999999272</v>
      </c>
      <c r="L100" t="s">
        <v>72</v>
      </c>
      <c r="M100">
        <f>SUMIF(Executions!B:B,A100,Executions!H:H)</f>
        <v>-4.8099999999999454</v>
      </c>
      <c r="N100">
        <f t="shared" si="8"/>
        <v>-0.86200716845878278</v>
      </c>
      <c r="O100">
        <f>Tabla1[[#This Row],[Initial Risk $]]/Tabla1[[#This Row],[Position Size (shares)]]+Tabla1[[#This Row],[Entry Price]]</f>
        <v>644.50999999999988</v>
      </c>
      <c r="P100">
        <f>Tabla1[[#This Row],[Initial Risk $]]/Tabla1[[#This Row],[Position Size (shares)]]*2+Tabla1[[#This Row],[Entry Price]]</f>
        <v>650.0899999999998</v>
      </c>
      <c r="Q100">
        <f>Tabla1[[#This Row],[Initial Risk $]]/Tabla1[[#This Row],[Position Size (shares)]]*3+Tabla1[[#This Row],[Entry Price]]</f>
        <v>655.66999999999973</v>
      </c>
    </row>
    <row r="101" spans="1:17" hidden="1" x14ac:dyDescent="0.25">
      <c r="A101" t="str">
        <f t="shared" ref="A101:A111" si="14">"T-"&amp; TEXT(ROW()-1,"000")</f>
        <v>T-100</v>
      </c>
      <c r="B101" s="1">
        <v>46142</v>
      </c>
      <c r="C101" t="s">
        <v>186</v>
      </c>
      <c r="D101" t="s">
        <v>28</v>
      </c>
      <c r="E101" t="s">
        <v>51</v>
      </c>
      <c r="F101">
        <v>266.35000000000002</v>
      </c>
      <c r="G101">
        <v>256.27999999999997</v>
      </c>
      <c r="H101">
        <v>8</v>
      </c>
      <c r="I101">
        <f t="shared" ref="I101:I111" si="15">IF(D101="Long",(F101-G101)*H101,(G101-F101)*0)</f>
        <v>80.5600000000004</v>
      </c>
      <c r="J101">
        <v>1</v>
      </c>
      <c r="K101">
        <f t="shared" si="7"/>
        <v>80.5600000000004</v>
      </c>
      <c r="L101" t="s">
        <v>72</v>
      </c>
      <c r="M101">
        <f>SUMIF(Executions!B:B,A101,Executions!H:H)</f>
        <v>-80.5600000000004</v>
      </c>
      <c r="N101">
        <f t="shared" si="8"/>
        <v>-1</v>
      </c>
      <c r="O101">
        <f>Tabla1[[#This Row],[Initial Risk $]]/Tabla1[[#This Row],[Position Size (shares)]]+Tabla1[[#This Row],[Entry Price]]</f>
        <v>276.42000000000007</v>
      </c>
      <c r="P101">
        <f>Tabla1[[#This Row],[Initial Risk $]]/Tabla1[[#This Row],[Position Size (shares)]]*2+Tabla1[[#This Row],[Entry Price]]</f>
        <v>286.49000000000012</v>
      </c>
      <c r="Q101">
        <f>Tabla1[[#This Row],[Initial Risk $]]/Tabla1[[#This Row],[Position Size (shares)]]*3+Tabla1[[#This Row],[Entry Price]]</f>
        <v>296.56000000000017</v>
      </c>
    </row>
    <row r="102" spans="1:17" hidden="1" x14ac:dyDescent="0.25">
      <c r="A102" t="str">
        <f t="shared" si="14"/>
        <v>T-101</v>
      </c>
      <c r="B102" s="1">
        <v>46142</v>
      </c>
      <c r="C102" t="s">
        <v>154</v>
      </c>
      <c r="D102" t="s">
        <v>28</v>
      </c>
      <c r="E102" t="s">
        <v>51</v>
      </c>
      <c r="F102">
        <v>370.98</v>
      </c>
      <c r="G102">
        <v>362.56</v>
      </c>
      <c r="H102">
        <v>3</v>
      </c>
      <c r="I102">
        <f t="shared" si="15"/>
        <v>25.260000000000048</v>
      </c>
      <c r="J102">
        <v>1</v>
      </c>
      <c r="K102">
        <f t="shared" si="7"/>
        <v>25.260000000000048</v>
      </c>
      <c r="L102" t="s">
        <v>72</v>
      </c>
      <c r="M102">
        <f>SUMIF(Executions!B:B,A102,Executions!H:H)</f>
        <v>27.180000000000007</v>
      </c>
      <c r="N102">
        <f t="shared" si="8"/>
        <v>1.0760095011876467</v>
      </c>
      <c r="O102">
        <f>Tabla1[[#This Row],[Initial Risk $]]/Tabla1[[#This Row],[Position Size (shares)]]+Tabla1[[#This Row],[Entry Price]]</f>
        <v>379.40000000000003</v>
      </c>
      <c r="P102">
        <f>Tabla1[[#This Row],[Initial Risk $]]/Tabla1[[#This Row],[Position Size (shares)]]*2+Tabla1[[#This Row],[Entry Price]]</f>
        <v>387.82000000000005</v>
      </c>
      <c r="Q102">
        <f>Tabla1[[#This Row],[Initial Risk $]]/Tabla1[[#This Row],[Position Size (shares)]]*3+Tabla1[[#This Row],[Entry Price]]</f>
        <v>396.24000000000007</v>
      </c>
    </row>
    <row r="103" spans="1:17" hidden="1" x14ac:dyDescent="0.25">
      <c r="A103" t="str">
        <f t="shared" si="14"/>
        <v>T-102</v>
      </c>
      <c r="B103" s="1">
        <v>46142</v>
      </c>
      <c r="C103" t="s">
        <v>186</v>
      </c>
      <c r="D103" t="s">
        <v>28</v>
      </c>
      <c r="E103" t="s">
        <v>51</v>
      </c>
      <c r="F103">
        <v>259.47000000000003</v>
      </c>
      <c r="G103">
        <v>255.58</v>
      </c>
      <c r="H103">
        <v>4</v>
      </c>
      <c r="I103">
        <f t="shared" si="15"/>
        <v>15.560000000000059</v>
      </c>
      <c r="J103">
        <v>1</v>
      </c>
      <c r="K103">
        <f t="shared" si="7"/>
        <v>15.560000000000059</v>
      </c>
      <c r="L103" t="s">
        <v>72</v>
      </c>
      <c r="M103">
        <f>SUMIF(Executions!B:B,A103,Executions!H:H)</f>
        <v>60.099999999999909</v>
      </c>
      <c r="N103">
        <f t="shared" si="8"/>
        <v>3.8624678663238869</v>
      </c>
      <c r="O103">
        <f>Tabla1[[#This Row],[Initial Risk $]]/Tabla1[[#This Row],[Position Size (shares)]]+Tabla1[[#This Row],[Entry Price]]</f>
        <v>263.36</v>
      </c>
      <c r="P103">
        <f>Tabla1[[#This Row],[Initial Risk $]]/Tabla1[[#This Row],[Position Size (shares)]]*2+Tabla1[[#This Row],[Entry Price]]</f>
        <v>267.25000000000006</v>
      </c>
      <c r="Q103">
        <f>Tabla1[[#This Row],[Initial Risk $]]/Tabla1[[#This Row],[Position Size (shares)]]*3+Tabla1[[#This Row],[Entry Price]]</f>
        <v>271.1400000000001</v>
      </c>
    </row>
    <row r="104" spans="1:17" hidden="1" x14ac:dyDescent="0.25">
      <c r="A104" t="str">
        <f t="shared" si="14"/>
        <v>T-103</v>
      </c>
      <c r="B104" s="1">
        <v>46142</v>
      </c>
      <c r="C104" t="s">
        <v>254</v>
      </c>
      <c r="D104" t="s">
        <v>28</v>
      </c>
      <c r="E104" t="s">
        <v>58</v>
      </c>
      <c r="F104">
        <v>24.95</v>
      </c>
      <c r="G104">
        <v>23.04</v>
      </c>
      <c r="H104">
        <v>6</v>
      </c>
      <c r="I104">
        <f t="shared" si="15"/>
        <v>11.46</v>
      </c>
      <c r="J104">
        <v>1</v>
      </c>
      <c r="K104">
        <f t="shared" si="7"/>
        <v>11.46</v>
      </c>
      <c r="L104" t="s">
        <v>72</v>
      </c>
      <c r="M104">
        <f>SUMIF(Executions!B:B,A104,Executions!H:H)</f>
        <v>-10.64</v>
      </c>
      <c r="N104">
        <f t="shared" si="8"/>
        <v>-0.92844677137870857</v>
      </c>
      <c r="O104">
        <f>Tabla1[[#This Row],[Initial Risk $]]/Tabla1[[#This Row],[Position Size (shares)]]+Tabla1[[#This Row],[Entry Price]]</f>
        <v>26.86</v>
      </c>
      <c r="P104">
        <f>Tabla1[[#This Row],[Initial Risk $]]/Tabla1[[#This Row],[Position Size (shares)]]*2+Tabla1[[#This Row],[Entry Price]]</f>
        <v>28.77</v>
      </c>
      <c r="Q104">
        <f>Tabla1[[#This Row],[Initial Risk $]]/Tabla1[[#This Row],[Position Size (shares)]]*3+Tabla1[[#This Row],[Entry Price]]</f>
        <v>30.68</v>
      </c>
    </row>
    <row r="105" spans="1:17" hidden="1" x14ac:dyDescent="0.25">
      <c r="A105" t="str">
        <f t="shared" si="14"/>
        <v>T-104</v>
      </c>
      <c r="B105" s="1">
        <v>46143</v>
      </c>
      <c r="C105" t="s">
        <v>211</v>
      </c>
      <c r="D105" t="s">
        <v>28</v>
      </c>
      <c r="E105" t="s">
        <v>119</v>
      </c>
      <c r="F105">
        <v>11.62</v>
      </c>
      <c r="G105">
        <v>10.51</v>
      </c>
      <c r="H105">
        <v>10</v>
      </c>
      <c r="I105">
        <f t="shared" si="15"/>
        <v>11.099999999999994</v>
      </c>
      <c r="J105">
        <v>1</v>
      </c>
      <c r="K105">
        <f t="shared" si="7"/>
        <v>11.099999999999994</v>
      </c>
      <c r="L105" t="s">
        <v>72</v>
      </c>
      <c r="M105">
        <f>SUMIF(Executions!B:B,A105,Executions!H:H)</f>
        <v>-11.099999999999994</v>
      </c>
      <c r="N105">
        <f t="shared" si="8"/>
        <v>-1</v>
      </c>
      <c r="O105">
        <f>Tabla1[[#This Row],[Initial Risk $]]/Tabla1[[#This Row],[Position Size (shares)]]+Tabla1[[#This Row],[Entry Price]]</f>
        <v>12.729999999999999</v>
      </c>
      <c r="P105">
        <f>Tabla1[[#This Row],[Initial Risk $]]/Tabla1[[#This Row],[Position Size (shares)]]*2+Tabla1[[#This Row],[Entry Price]]</f>
        <v>13.839999999999998</v>
      </c>
      <c r="Q105">
        <f>Tabla1[[#This Row],[Initial Risk $]]/Tabla1[[#This Row],[Position Size (shares)]]*3+Tabla1[[#This Row],[Entry Price]]</f>
        <v>14.949999999999998</v>
      </c>
    </row>
    <row r="106" spans="1:17" hidden="1" x14ac:dyDescent="0.25">
      <c r="A106" t="str">
        <f t="shared" si="14"/>
        <v>T-105</v>
      </c>
      <c r="B106" s="1">
        <v>46143</v>
      </c>
      <c r="C106" t="s">
        <v>86</v>
      </c>
      <c r="D106" t="s">
        <v>28</v>
      </c>
      <c r="E106" t="s">
        <v>51</v>
      </c>
      <c r="F106">
        <v>126.8</v>
      </c>
      <c r="G106">
        <v>125.8</v>
      </c>
      <c r="H106">
        <v>4</v>
      </c>
      <c r="I106">
        <f t="shared" si="15"/>
        <v>4</v>
      </c>
      <c r="J106">
        <v>1</v>
      </c>
      <c r="K106">
        <f t="shared" si="7"/>
        <v>4</v>
      </c>
      <c r="L106" t="s">
        <v>72</v>
      </c>
      <c r="M106">
        <f>SUMIF(Executions!B:B,A106,Executions!H:H)</f>
        <v>-5.8799999999999955</v>
      </c>
      <c r="N106">
        <f t="shared" si="8"/>
        <v>-1.4699999999999989</v>
      </c>
      <c r="O106">
        <f>Tabla1[[#This Row],[Initial Risk $]]/Tabla1[[#This Row],[Position Size (shares)]]+Tabla1[[#This Row],[Entry Price]]</f>
        <v>127.8</v>
      </c>
      <c r="P106">
        <f>Tabla1[[#This Row],[Initial Risk $]]/Tabla1[[#This Row],[Position Size (shares)]]*2+Tabla1[[#This Row],[Entry Price]]</f>
        <v>128.80000000000001</v>
      </c>
      <c r="Q106">
        <f>Tabla1[[#This Row],[Initial Risk $]]/Tabla1[[#This Row],[Position Size (shares)]]*3+Tabla1[[#This Row],[Entry Price]]</f>
        <v>129.80000000000001</v>
      </c>
    </row>
    <row r="107" spans="1:17" hidden="1" x14ac:dyDescent="0.25">
      <c r="A107" t="str">
        <f t="shared" si="14"/>
        <v>T-106</v>
      </c>
      <c r="B107" s="1">
        <v>46143</v>
      </c>
      <c r="C107" t="s">
        <v>207</v>
      </c>
      <c r="D107" t="s">
        <v>28</v>
      </c>
      <c r="E107" t="s">
        <v>58</v>
      </c>
      <c r="F107">
        <v>27.57</v>
      </c>
      <c r="G107">
        <v>25.34</v>
      </c>
      <c r="H107">
        <v>4</v>
      </c>
      <c r="I107">
        <f t="shared" si="15"/>
        <v>8.9200000000000017</v>
      </c>
      <c r="J107">
        <v>1</v>
      </c>
      <c r="K107">
        <f t="shared" si="7"/>
        <v>8.9200000000000017</v>
      </c>
      <c r="L107" t="s">
        <v>72</v>
      </c>
      <c r="M107">
        <f>SUMIF(Executions!B:B,A107,Executions!H:H)</f>
        <v>21.519999999999996</v>
      </c>
      <c r="N107">
        <f t="shared" si="8"/>
        <v>2.4125560538116582</v>
      </c>
      <c r="O107">
        <f>Tabla1[[#This Row],[Initial Risk $]]/Tabla1[[#This Row],[Position Size (shares)]]+Tabla1[[#This Row],[Entry Price]]</f>
        <v>29.8</v>
      </c>
      <c r="P107">
        <f>Tabla1[[#This Row],[Initial Risk $]]/Tabla1[[#This Row],[Position Size (shares)]]*2+Tabla1[[#This Row],[Entry Price]]</f>
        <v>32.03</v>
      </c>
      <c r="Q107">
        <f>Tabla1[[#This Row],[Initial Risk $]]/Tabla1[[#This Row],[Position Size (shares)]]*3+Tabla1[[#This Row],[Entry Price]]</f>
        <v>34.260000000000005</v>
      </c>
    </row>
    <row r="108" spans="1:17" hidden="1" x14ac:dyDescent="0.25">
      <c r="A108" t="str">
        <f t="shared" si="14"/>
        <v>T-107</v>
      </c>
      <c r="B108" s="1">
        <v>46143</v>
      </c>
      <c r="C108" t="s">
        <v>255</v>
      </c>
      <c r="D108" t="s">
        <v>28</v>
      </c>
      <c r="E108" t="s">
        <v>51</v>
      </c>
      <c r="F108">
        <v>279</v>
      </c>
      <c r="G108">
        <v>277.72000000000003</v>
      </c>
      <c r="H108">
        <v>4</v>
      </c>
      <c r="I108">
        <f t="shared" si="15"/>
        <v>5.1199999999998909</v>
      </c>
      <c r="J108">
        <v>1</v>
      </c>
      <c r="K108">
        <f t="shared" si="7"/>
        <v>5.1199999999998909</v>
      </c>
      <c r="L108" t="s">
        <v>72</v>
      </c>
      <c r="M108">
        <f>SUMIF(Executions!B:B,A108,Executions!H:H)</f>
        <v>20.400000000000091</v>
      </c>
      <c r="N108">
        <f t="shared" si="8"/>
        <v>3.9843750000001026</v>
      </c>
      <c r="O108">
        <f>Tabla1[[#This Row],[Initial Risk $]]/Tabla1[[#This Row],[Position Size (shares)]]+Tabla1[[#This Row],[Entry Price]]</f>
        <v>280.27999999999997</v>
      </c>
      <c r="P108">
        <f>Tabla1[[#This Row],[Initial Risk $]]/Tabla1[[#This Row],[Position Size (shares)]]*2+Tabla1[[#This Row],[Entry Price]]</f>
        <v>281.55999999999995</v>
      </c>
      <c r="Q108">
        <f>Tabla1[[#This Row],[Initial Risk $]]/Tabla1[[#This Row],[Position Size (shares)]]*3+Tabla1[[#This Row],[Entry Price]]</f>
        <v>282.83999999999992</v>
      </c>
    </row>
    <row r="109" spans="1:17" hidden="1" x14ac:dyDescent="0.25">
      <c r="A109" t="str">
        <f t="shared" si="14"/>
        <v>T-108</v>
      </c>
      <c r="B109" s="1">
        <v>46143</v>
      </c>
      <c r="C109" t="s">
        <v>256</v>
      </c>
      <c r="D109" t="s">
        <v>28</v>
      </c>
      <c r="E109" t="s">
        <v>51</v>
      </c>
      <c r="F109">
        <v>84</v>
      </c>
      <c r="G109">
        <v>82.95</v>
      </c>
      <c r="H109">
        <v>1</v>
      </c>
      <c r="I109">
        <f t="shared" si="15"/>
        <v>1.0499999999999972</v>
      </c>
      <c r="J109">
        <v>1</v>
      </c>
      <c r="K109">
        <f t="shared" si="7"/>
        <v>1.0499999999999972</v>
      </c>
      <c r="L109" t="s">
        <v>72</v>
      </c>
      <c r="M109">
        <f>SUMIF(Executions!B:B,A109,Executions!H:H)</f>
        <v>-10.600000000000023</v>
      </c>
      <c r="N109">
        <f t="shared" si="8"/>
        <v>-10.095238095238145</v>
      </c>
      <c r="O109">
        <f>Tabla1[[#This Row],[Initial Risk $]]/Tabla1[[#This Row],[Position Size (shares)]]+Tabla1[[#This Row],[Entry Price]]</f>
        <v>85.05</v>
      </c>
      <c r="P109">
        <f>Tabla1[[#This Row],[Initial Risk $]]/Tabla1[[#This Row],[Position Size (shares)]]*2+Tabla1[[#This Row],[Entry Price]]</f>
        <v>86.1</v>
      </c>
      <c r="Q109">
        <f>Tabla1[[#This Row],[Initial Risk $]]/Tabla1[[#This Row],[Position Size (shares)]]*3+Tabla1[[#This Row],[Entry Price]]</f>
        <v>87.149999999999991</v>
      </c>
    </row>
    <row r="110" spans="1:17" hidden="1" x14ac:dyDescent="0.25">
      <c r="A110" t="str">
        <f t="shared" si="14"/>
        <v>T-109</v>
      </c>
      <c r="B110" s="1">
        <v>46143</v>
      </c>
      <c r="C110" t="s">
        <v>154</v>
      </c>
      <c r="D110" t="s">
        <v>28</v>
      </c>
      <c r="E110" t="s">
        <v>58</v>
      </c>
      <c r="F110">
        <v>377.14</v>
      </c>
      <c r="G110">
        <v>374.54</v>
      </c>
      <c r="H110">
        <v>4</v>
      </c>
      <c r="I110">
        <f t="shared" si="15"/>
        <v>10.399999999999864</v>
      </c>
      <c r="J110">
        <v>1</v>
      </c>
      <c r="K110">
        <f t="shared" si="7"/>
        <v>10.399999999999864</v>
      </c>
      <c r="L110" t="s">
        <v>72</v>
      </c>
      <c r="M110">
        <f>SUMIF(Executions!B:B,A110,Executions!H:H)</f>
        <v>14.5</v>
      </c>
      <c r="N110">
        <f t="shared" si="8"/>
        <v>1.3942307692307876</v>
      </c>
      <c r="O110">
        <f>Tabla1[[#This Row],[Initial Risk $]]/Tabla1[[#This Row],[Position Size (shares)]]+Tabla1[[#This Row],[Entry Price]]</f>
        <v>379.73999999999995</v>
      </c>
      <c r="P110">
        <f>Tabla1[[#This Row],[Initial Risk $]]/Tabla1[[#This Row],[Position Size (shares)]]*2+Tabla1[[#This Row],[Entry Price]]</f>
        <v>382.33999999999992</v>
      </c>
      <c r="Q110">
        <f>Tabla1[[#This Row],[Initial Risk $]]/Tabla1[[#This Row],[Position Size (shares)]]*3+Tabla1[[#This Row],[Entry Price]]</f>
        <v>384.93999999999988</v>
      </c>
    </row>
    <row r="111" spans="1:17" hidden="1" x14ac:dyDescent="0.25">
      <c r="A111" t="str">
        <f t="shared" si="14"/>
        <v>T-110</v>
      </c>
      <c r="B111" s="1">
        <v>46143</v>
      </c>
      <c r="C111" t="s">
        <v>261</v>
      </c>
      <c r="D111" t="s">
        <v>28</v>
      </c>
      <c r="E111" t="s">
        <v>58</v>
      </c>
      <c r="F111">
        <v>1.2</v>
      </c>
      <c r="G111">
        <v>1.03</v>
      </c>
      <c r="H111">
        <v>30</v>
      </c>
      <c r="I111">
        <f t="shared" si="15"/>
        <v>5.0999999999999979</v>
      </c>
      <c r="J111">
        <v>1</v>
      </c>
      <c r="K111">
        <f t="shared" si="7"/>
        <v>5.0999999999999979</v>
      </c>
      <c r="L111" t="s">
        <v>72</v>
      </c>
      <c r="M111">
        <f>SUMIF(Executions!B:B,A111,Executions!H:H)</f>
        <v>-1.5000000000000013</v>
      </c>
      <c r="N111">
        <f t="shared" si="8"/>
        <v>-0.29411764705882393</v>
      </c>
      <c r="O111">
        <f>Tabla1[[#This Row],[Initial Risk $]]/Tabla1[[#This Row],[Position Size (shares)]]+Tabla1[[#This Row],[Entry Price]]</f>
        <v>1.3699999999999999</v>
      </c>
      <c r="P111">
        <f>Tabla1[[#This Row],[Initial Risk $]]/Tabla1[[#This Row],[Position Size (shares)]]*2+Tabla1[[#This Row],[Entry Price]]</f>
        <v>1.5399999999999998</v>
      </c>
      <c r="Q111">
        <f>Tabla1[[#This Row],[Initial Risk $]]/Tabla1[[#This Row],[Position Size (shares)]]*3+Tabla1[[#This Row],[Entry Price]]</f>
        <v>1.7099999999999997</v>
      </c>
    </row>
    <row r="112" spans="1:17" hidden="1" x14ac:dyDescent="0.25">
      <c r="A112" t="str">
        <f t="shared" ref="A112:A118" si="16">"T-"&amp; TEXT(ROW()-1,"000")</f>
        <v>T-111</v>
      </c>
      <c r="B112" s="1">
        <v>46146</v>
      </c>
      <c r="C112" t="s">
        <v>233</v>
      </c>
      <c r="D112" t="s">
        <v>28</v>
      </c>
      <c r="E112" t="s">
        <v>58</v>
      </c>
      <c r="F112">
        <v>411.44</v>
      </c>
      <c r="G112">
        <v>409.05</v>
      </c>
      <c r="H112">
        <v>2</v>
      </c>
      <c r="I112">
        <f t="shared" ref="I112:I118" si="17">IF(D112="Long",(F112-G112)*H112,(G112-F112)*0)</f>
        <v>4.7799999999999727</v>
      </c>
      <c r="J112">
        <v>1</v>
      </c>
      <c r="K112">
        <f t="shared" si="7"/>
        <v>4.7799999999999727</v>
      </c>
      <c r="L112" t="s">
        <v>72</v>
      </c>
      <c r="M112">
        <f>SUMIF(Executions!B:B,A112,Executions!H:H)</f>
        <v>10.960000000000036</v>
      </c>
      <c r="N112">
        <f t="shared" si="8"/>
        <v>2.2928870292887238</v>
      </c>
      <c r="O112">
        <f>Tabla1[[#This Row],[Initial Risk $]]/Tabla1[[#This Row],[Position Size (shares)]]+Tabla1[[#This Row],[Entry Price]]</f>
        <v>413.83</v>
      </c>
      <c r="P112">
        <f>Tabla1[[#This Row],[Initial Risk $]]/Tabla1[[#This Row],[Position Size (shares)]]*2+Tabla1[[#This Row],[Entry Price]]</f>
        <v>416.21999999999997</v>
      </c>
      <c r="Q112">
        <f>Tabla1[[#This Row],[Initial Risk $]]/Tabla1[[#This Row],[Position Size (shares)]]*3+Tabla1[[#This Row],[Entry Price]]</f>
        <v>418.60999999999996</v>
      </c>
    </row>
    <row r="113" spans="1:17" hidden="1" x14ac:dyDescent="0.25">
      <c r="A113" t="str">
        <f t="shared" si="16"/>
        <v>T-112</v>
      </c>
      <c r="B113" s="1">
        <v>46146</v>
      </c>
      <c r="C113" t="s">
        <v>164</v>
      </c>
      <c r="D113" t="s">
        <v>28</v>
      </c>
      <c r="E113" t="s">
        <v>49</v>
      </c>
      <c r="F113">
        <v>199.18</v>
      </c>
      <c r="G113">
        <v>195.49</v>
      </c>
      <c r="H113">
        <v>3</v>
      </c>
      <c r="I113">
        <f t="shared" si="17"/>
        <v>11.069999999999993</v>
      </c>
      <c r="J113">
        <v>1</v>
      </c>
      <c r="K113">
        <f t="shared" si="7"/>
        <v>11.069999999999993</v>
      </c>
      <c r="L113" t="s">
        <v>72</v>
      </c>
      <c r="M113">
        <f>SUMIF(Executions!B:B,A113,Executions!H:H)</f>
        <v>-11.100000000000051</v>
      </c>
      <c r="N113">
        <f t="shared" si="8"/>
        <v>-1.0027100271002762</v>
      </c>
      <c r="O113">
        <f>Tabla1[[#This Row],[Initial Risk $]]/Tabla1[[#This Row],[Position Size (shares)]]+Tabla1[[#This Row],[Entry Price]]</f>
        <v>202.87</v>
      </c>
      <c r="P113">
        <f>Tabla1[[#This Row],[Initial Risk $]]/Tabla1[[#This Row],[Position Size (shares)]]*2+Tabla1[[#This Row],[Entry Price]]</f>
        <v>206.56</v>
      </c>
      <c r="Q113">
        <f>Tabla1[[#This Row],[Initial Risk $]]/Tabla1[[#This Row],[Position Size (shares)]]*3+Tabla1[[#This Row],[Entry Price]]</f>
        <v>210.25</v>
      </c>
    </row>
    <row r="114" spans="1:17" hidden="1" x14ac:dyDescent="0.25">
      <c r="A114" t="str">
        <f t="shared" si="16"/>
        <v>T-113</v>
      </c>
      <c r="B114" s="1">
        <v>46146</v>
      </c>
      <c r="C114" t="s">
        <v>74</v>
      </c>
      <c r="D114" t="s">
        <v>28</v>
      </c>
      <c r="E114" t="s">
        <v>119</v>
      </c>
      <c r="F114">
        <v>7.86</v>
      </c>
      <c r="G114">
        <v>7.37</v>
      </c>
      <c r="H114">
        <v>10</v>
      </c>
      <c r="I114">
        <f t="shared" si="17"/>
        <v>4.9000000000000021</v>
      </c>
      <c r="J114">
        <v>1</v>
      </c>
      <c r="K114">
        <f t="shared" si="7"/>
        <v>4.9000000000000021</v>
      </c>
      <c r="L114" t="s">
        <v>72</v>
      </c>
      <c r="M114">
        <f>SUMIF(Executions!B:B,A114,Executions!H:H)</f>
        <v>3.3999999999999897</v>
      </c>
      <c r="N114">
        <f t="shared" si="8"/>
        <v>0.69387755102040571</v>
      </c>
      <c r="O114">
        <f>Tabla1[[#This Row],[Initial Risk $]]/Tabla1[[#This Row],[Position Size (shares)]]+Tabla1[[#This Row],[Entry Price]]</f>
        <v>8.3500000000000014</v>
      </c>
      <c r="P114">
        <f>Tabla1[[#This Row],[Initial Risk $]]/Tabla1[[#This Row],[Position Size (shares)]]*2+Tabla1[[#This Row],[Entry Price]]</f>
        <v>8.84</v>
      </c>
      <c r="Q114">
        <f>Tabla1[[#This Row],[Initial Risk $]]/Tabla1[[#This Row],[Position Size (shares)]]*3+Tabla1[[#This Row],[Entry Price]]</f>
        <v>9.3300000000000018</v>
      </c>
    </row>
    <row r="115" spans="1:17" hidden="1" x14ac:dyDescent="0.25">
      <c r="A115" t="str">
        <f t="shared" si="16"/>
        <v>T-114</v>
      </c>
      <c r="B115" s="1">
        <v>46146</v>
      </c>
      <c r="C115" t="s">
        <v>262</v>
      </c>
      <c r="D115" t="s">
        <v>28</v>
      </c>
      <c r="E115" t="s">
        <v>119</v>
      </c>
      <c r="F115">
        <v>6.44</v>
      </c>
      <c r="G115">
        <v>5.93</v>
      </c>
      <c r="H115">
        <v>14</v>
      </c>
      <c r="I115">
        <f t="shared" si="17"/>
        <v>7.1400000000000095</v>
      </c>
      <c r="J115">
        <v>1</v>
      </c>
      <c r="K115">
        <f t="shared" si="7"/>
        <v>7.1400000000000095</v>
      </c>
      <c r="L115" t="s">
        <v>72</v>
      </c>
      <c r="M115">
        <f>SUMIF(Executions!B:B,A115,Executions!H:H)</f>
        <v>8.1199999999999886</v>
      </c>
      <c r="N115">
        <f t="shared" si="8"/>
        <v>1.1372549019607812</v>
      </c>
      <c r="O115">
        <f>Tabla1[[#This Row],[Initial Risk $]]/Tabla1[[#This Row],[Position Size (shares)]]+Tabla1[[#This Row],[Entry Price]]</f>
        <v>6.9500000000000011</v>
      </c>
      <c r="P115">
        <f>Tabla1[[#This Row],[Initial Risk $]]/Tabla1[[#This Row],[Position Size (shares)]]*2+Tabla1[[#This Row],[Entry Price]]</f>
        <v>7.4600000000000017</v>
      </c>
      <c r="Q115">
        <f>Tabla1[[#This Row],[Initial Risk $]]/Tabla1[[#This Row],[Position Size (shares)]]*3+Tabla1[[#This Row],[Entry Price]]</f>
        <v>7.9700000000000024</v>
      </c>
    </row>
    <row r="116" spans="1:17" hidden="1" x14ac:dyDescent="0.25">
      <c r="A116" t="str">
        <f t="shared" si="16"/>
        <v>T-115</v>
      </c>
      <c r="B116" s="1">
        <v>46146</v>
      </c>
      <c r="C116" t="s">
        <v>264</v>
      </c>
      <c r="D116" t="s">
        <v>28</v>
      </c>
      <c r="E116" t="s">
        <v>58</v>
      </c>
      <c r="F116">
        <v>108.61</v>
      </c>
      <c r="G116">
        <v>107.61</v>
      </c>
      <c r="H116">
        <v>4</v>
      </c>
      <c r="I116">
        <f t="shared" si="17"/>
        <v>4</v>
      </c>
      <c r="J116">
        <v>1</v>
      </c>
      <c r="K116">
        <f t="shared" si="7"/>
        <v>4</v>
      </c>
      <c r="L116" t="s">
        <v>72</v>
      </c>
      <c r="M116">
        <f>SUMIF(Executions!B:B,A116,Executions!H:H)</f>
        <v>10.360000000000014</v>
      </c>
      <c r="N116">
        <f t="shared" si="8"/>
        <v>2.5900000000000034</v>
      </c>
      <c r="O116">
        <f>Tabla1[[#This Row],[Initial Risk $]]/Tabla1[[#This Row],[Position Size (shares)]]+Tabla1[[#This Row],[Entry Price]]</f>
        <v>109.61</v>
      </c>
      <c r="P116">
        <f>Tabla1[[#This Row],[Initial Risk $]]/Tabla1[[#This Row],[Position Size (shares)]]*2+Tabla1[[#This Row],[Entry Price]]</f>
        <v>110.61</v>
      </c>
      <c r="Q116">
        <f>Tabla1[[#This Row],[Initial Risk $]]/Tabla1[[#This Row],[Position Size (shares)]]*3+Tabla1[[#This Row],[Entry Price]]</f>
        <v>111.61</v>
      </c>
    </row>
    <row r="117" spans="1:17" hidden="1" x14ac:dyDescent="0.25">
      <c r="A117" t="str">
        <f t="shared" si="16"/>
        <v>T-116</v>
      </c>
      <c r="B117" s="1">
        <v>46146</v>
      </c>
      <c r="C117" t="s">
        <v>173</v>
      </c>
      <c r="D117" t="s">
        <v>28</v>
      </c>
      <c r="E117" t="s">
        <v>58</v>
      </c>
      <c r="F117">
        <v>145.58000000000001</v>
      </c>
      <c r="G117">
        <v>144.61000000000001</v>
      </c>
      <c r="H117">
        <v>4</v>
      </c>
      <c r="I117">
        <f t="shared" si="17"/>
        <v>3.8799999999999955</v>
      </c>
      <c r="J117">
        <v>1</v>
      </c>
      <c r="K117">
        <f t="shared" si="7"/>
        <v>3.8799999999999955</v>
      </c>
      <c r="L117" t="s">
        <v>72</v>
      </c>
      <c r="M117">
        <f>SUMIF(Executions!B:B,A117,Executions!H:H)</f>
        <v>4.7199999999999136</v>
      </c>
      <c r="N117">
        <f t="shared" si="8"/>
        <v>1.216494845360804</v>
      </c>
      <c r="O117">
        <f>Tabla1[[#This Row],[Initial Risk $]]/Tabla1[[#This Row],[Position Size (shares)]]+Tabla1[[#This Row],[Entry Price]]</f>
        <v>146.55000000000001</v>
      </c>
      <c r="P117">
        <f>Tabla1[[#This Row],[Initial Risk $]]/Tabla1[[#This Row],[Position Size (shares)]]*2+Tabla1[[#This Row],[Entry Price]]</f>
        <v>147.52000000000001</v>
      </c>
      <c r="Q117">
        <f>Tabla1[[#This Row],[Initial Risk $]]/Tabla1[[#This Row],[Position Size (shares)]]*3+Tabla1[[#This Row],[Entry Price]]</f>
        <v>148.49</v>
      </c>
    </row>
    <row r="118" spans="1:17" hidden="1" x14ac:dyDescent="0.25">
      <c r="A118" t="str">
        <f t="shared" si="16"/>
        <v>T-117</v>
      </c>
      <c r="B118" s="1">
        <v>46146</v>
      </c>
      <c r="C118" t="s">
        <v>269</v>
      </c>
      <c r="D118" t="s">
        <v>28</v>
      </c>
      <c r="E118" t="s">
        <v>60</v>
      </c>
      <c r="F118">
        <v>7.38</v>
      </c>
      <c r="G118">
        <v>6.67</v>
      </c>
      <c r="H118">
        <v>13</v>
      </c>
      <c r="I118">
        <f t="shared" si="17"/>
        <v>9.23</v>
      </c>
      <c r="J118">
        <v>1</v>
      </c>
      <c r="K118">
        <f t="shared" si="7"/>
        <v>9.23</v>
      </c>
      <c r="L118" t="s">
        <v>72</v>
      </c>
      <c r="M118">
        <f>SUMIF(Executions!B:B,A118,Executions!H:H)</f>
        <v>-9.3599999999999959</v>
      </c>
      <c r="N118">
        <f t="shared" si="8"/>
        <v>-1.0140845070422531</v>
      </c>
      <c r="O118">
        <f>Tabla1[[#This Row],[Initial Risk $]]/Tabla1[[#This Row],[Position Size (shares)]]+Tabla1[[#This Row],[Entry Price]]</f>
        <v>8.09</v>
      </c>
      <c r="P118">
        <f>Tabla1[[#This Row],[Initial Risk $]]/Tabla1[[#This Row],[Position Size (shares)]]*2+Tabla1[[#This Row],[Entry Price]]</f>
        <v>8.8000000000000007</v>
      </c>
      <c r="Q118">
        <f>Tabla1[[#This Row],[Initial Risk $]]/Tabla1[[#This Row],[Position Size (shares)]]*3+Tabla1[[#This Row],[Entry Price]]</f>
        <v>9.51</v>
      </c>
    </row>
    <row r="119" spans="1:17" hidden="1" x14ac:dyDescent="0.25">
      <c r="A119" t="str">
        <f t="shared" ref="A119:A132" si="18">"T-"&amp; TEXT(ROW()-1,"000")</f>
        <v>T-118</v>
      </c>
      <c r="B119" s="1">
        <v>46147</v>
      </c>
      <c r="C119" t="s">
        <v>271</v>
      </c>
      <c r="D119" t="s">
        <v>28</v>
      </c>
      <c r="E119" t="s">
        <v>58</v>
      </c>
      <c r="F119">
        <v>403.55</v>
      </c>
      <c r="G119">
        <v>401.88</v>
      </c>
      <c r="H119">
        <v>3</v>
      </c>
      <c r="I119">
        <f t="shared" ref="I119:I132" si="19">IF(D119="Long",(F119-G119)*H119,(G119-F119)*0)</f>
        <v>5.0100000000000477</v>
      </c>
      <c r="J119">
        <v>1</v>
      </c>
      <c r="K119">
        <f t="shared" si="7"/>
        <v>5.0100000000000477</v>
      </c>
      <c r="L119" t="s">
        <v>72</v>
      </c>
      <c r="M119">
        <f>SUMIF(Executions!B:B,A119,Executions!H:H)</f>
        <v>-5.25</v>
      </c>
      <c r="N119">
        <f t="shared" si="8"/>
        <v>-1.0479041916167564</v>
      </c>
      <c r="O119">
        <f>Tabla1[[#This Row],[Initial Risk $]]/Tabla1[[#This Row],[Position Size (shares)]]+Tabla1[[#This Row],[Entry Price]]</f>
        <v>405.22</v>
      </c>
      <c r="P119">
        <f>Tabla1[[#This Row],[Initial Risk $]]/Tabla1[[#This Row],[Position Size (shares)]]*2+Tabla1[[#This Row],[Entry Price]]</f>
        <v>406.89000000000004</v>
      </c>
      <c r="Q119">
        <f>Tabla1[[#This Row],[Initial Risk $]]/Tabla1[[#This Row],[Position Size (shares)]]*3+Tabla1[[#This Row],[Entry Price]]</f>
        <v>408.56000000000006</v>
      </c>
    </row>
    <row r="120" spans="1:17" hidden="1" x14ac:dyDescent="0.25">
      <c r="A120" t="str">
        <f t="shared" si="18"/>
        <v>T-119</v>
      </c>
      <c r="B120" s="1">
        <v>46147</v>
      </c>
      <c r="C120" t="s">
        <v>233</v>
      </c>
      <c r="D120" t="s">
        <v>28</v>
      </c>
      <c r="E120" t="s">
        <v>58</v>
      </c>
      <c r="F120">
        <v>415.18</v>
      </c>
      <c r="G120">
        <v>411.75</v>
      </c>
      <c r="H120">
        <v>3</v>
      </c>
      <c r="I120">
        <f t="shared" si="19"/>
        <v>10.29000000000002</v>
      </c>
      <c r="J120">
        <v>1</v>
      </c>
      <c r="K120">
        <f t="shared" si="7"/>
        <v>10.29000000000002</v>
      </c>
      <c r="L120" t="s">
        <v>72</v>
      </c>
      <c r="M120">
        <f>SUMIF(Executions!B:B,A120,Executions!H:H)</f>
        <v>-10.470000000000027</v>
      </c>
      <c r="N120">
        <f t="shared" si="8"/>
        <v>-1.017492711370263</v>
      </c>
      <c r="O120">
        <f>Tabla1[[#This Row],[Initial Risk $]]/Tabla1[[#This Row],[Position Size (shares)]]+Tabla1[[#This Row],[Entry Price]]</f>
        <v>418.61</v>
      </c>
      <c r="P120">
        <f>Tabla1[[#This Row],[Initial Risk $]]/Tabla1[[#This Row],[Position Size (shares)]]*2+Tabla1[[#This Row],[Entry Price]]</f>
        <v>422.04</v>
      </c>
      <c r="Q120">
        <f>Tabla1[[#This Row],[Initial Risk $]]/Tabla1[[#This Row],[Position Size (shares)]]*3+Tabla1[[#This Row],[Entry Price]]</f>
        <v>425.47</v>
      </c>
    </row>
    <row r="121" spans="1:17" hidden="1" x14ac:dyDescent="0.25">
      <c r="A121" t="str">
        <f t="shared" si="18"/>
        <v>T-120</v>
      </c>
      <c r="B121" s="1">
        <v>46147</v>
      </c>
      <c r="C121" t="s">
        <v>173</v>
      </c>
      <c r="D121" t="s">
        <v>28</v>
      </c>
      <c r="E121" t="s">
        <v>51</v>
      </c>
      <c r="F121">
        <v>139.11000000000001</v>
      </c>
      <c r="G121">
        <v>138.11000000000001</v>
      </c>
      <c r="H121">
        <v>6</v>
      </c>
      <c r="I121">
        <f t="shared" si="19"/>
        <v>6</v>
      </c>
      <c r="J121">
        <v>1</v>
      </c>
      <c r="K121">
        <f t="shared" si="7"/>
        <v>6</v>
      </c>
      <c r="L121" t="s">
        <v>72</v>
      </c>
      <c r="M121">
        <f>SUMIF(Executions!B:B,A121,Executions!H:H)</f>
        <v>-6.1800000000000068</v>
      </c>
      <c r="N121">
        <f t="shared" si="8"/>
        <v>-1.0300000000000011</v>
      </c>
      <c r="O121">
        <f>Tabla1[[#This Row],[Initial Risk $]]/Tabla1[[#This Row],[Position Size (shares)]]+Tabla1[[#This Row],[Entry Price]]</f>
        <v>140.11000000000001</v>
      </c>
      <c r="P121">
        <f>Tabla1[[#This Row],[Initial Risk $]]/Tabla1[[#This Row],[Position Size (shares)]]*2+Tabla1[[#This Row],[Entry Price]]</f>
        <v>141.11000000000001</v>
      </c>
      <c r="Q121">
        <f>Tabla1[[#This Row],[Initial Risk $]]/Tabla1[[#This Row],[Position Size (shares)]]*3+Tabla1[[#This Row],[Entry Price]]</f>
        <v>142.11000000000001</v>
      </c>
    </row>
    <row r="122" spans="1:17" hidden="1" x14ac:dyDescent="0.25">
      <c r="A122" t="str">
        <f t="shared" si="18"/>
        <v>T-121</v>
      </c>
      <c r="B122" s="1">
        <v>46147</v>
      </c>
      <c r="C122" t="s">
        <v>173</v>
      </c>
      <c r="D122" t="s">
        <v>28</v>
      </c>
      <c r="E122" t="s">
        <v>51</v>
      </c>
      <c r="F122">
        <v>138.35</v>
      </c>
      <c r="G122">
        <v>137.4</v>
      </c>
      <c r="H122">
        <v>4</v>
      </c>
      <c r="I122">
        <f t="shared" si="19"/>
        <v>3.7999999999999545</v>
      </c>
      <c r="J122">
        <v>1</v>
      </c>
      <c r="K122">
        <f t="shared" si="7"/>
        <v>3.7999999999999545</v>
      </c>
      <c r="L122" t="s">
        <v>72</v>
      </c>
      <c r="M122">
        <f>SUMIF(Executions!B:B,A122,Executions!H:H)</f>
        <v>-4.1599999999999682</v>
      </c>
      <c r="N122">
        <f t="shared" si="8"/>
        <v>-1.0947368421052679</v>
      </c>
      <c r="O122">
        <f>Tabla1[[#This Row],[Initial Risk $]]/Tabla1[[#This Row],[Position Size (shares)]]+Tabla1[[#This Row],[Entry Price]]</f>
        <v>139.29999999999998</v>
      </c>
      <c r="P122">
        <f>Tabla1[[#This Row],[Initial Risk $]]/Tabla1[[#This Row],[Position Size (shares)]]*2+Tabla1[[#This Row],[Entry Price]]</f>
        <v>140.24999999999997</v>
      </c>
      <c r="Q122">
        <f>Tabla1[[#This Row],[Initial Risk $]]/Tabla1[[#This Row],[Position Size (shares)]]*3+Tabla1[[#This Row],[Entry Price]]</f>
        <v>141.19999999999996</v>
      </c>
    </row>
    <row r="123" spans="1:17" hidden="1" x14ac:dyDescent="0.25">
      <c r="A123" t="str">
        <f t="shared" si="18"/>
        <v>T-122</v>
      </c>
      <c r="B123" s="1">
        <v>46147</v>
      </c>
      <c r="C123" t="s">
        <v>233</v>
      </c>
      <c r="D123" t="s">
        <v>28</v>
      </c>
      <c r="E123" t="s">
        <v>58</v>
      </c>
      <c r="F123">
        <v>410.11</v>
      </c>
      <c r="G123">
        <v>409.11</v>
      </c>
      <c r="H123">
        <v>3</v>
      </c>
      <c r="I123">
        <f t="shared" si="19"/>
        <v>3</v>
      </c>
      <c r="J123">
        <v>1</v>
      </c>
      <c r="K123">
        <f t="shared" si="7"/>
        <v>3</v>
      </c>
      <c r="L123" t="s">
        <v>72</v>
      </c>
      <c r="M123">
        <f>SUMIF(Executions!B:B,A123,Executions!H:H)</f>
        <v>-3.2099999999999795</v>
      </c>
      <c r="N123">
        <f t="shared" si="8"/>
        <v>-1.0699999999999932</v>
      </c>
      <c r="O123">
        <f>Tabla1[[#This Row],[Initial Risk $]]/Tabla1[[#This Row],[Position Size (shares)]]+Tabla1[[#This Row],[Entry Price]]</f>
        <v>411.11</v>
      </c>
      <c r="P123">
        <f>Tabla1[[#This Row],[Initial Risk $]]/Tabla1[[#This Row],[Position Size (shares)]]*2+Tabla1[[#This Row],[Entry Price]]</f>
        <v>412.11</v>
      </c>
      <c r="Q123">
        <f>Tabla1[[#This Row],[Initial Risk $]]/Tabla1[[#This Row],[Position Size (shares)]]*3+Tabla1[[#This Row],[Entry Price]]</f>
        <v>413.11</v>
      </c>
    </row>
    <row r="124" spans="1:17" hidden="1" x14ac:dyDescent="0.25">
      <c r="A124" t="str">
        <f t="shared" si="18"/>
        <v>T-123</v>
      </c>
      <c r="B124" s="1">
        <v>46148</v>
      </c>
      <c r="C124" t="s">
        <v>279</v>
      </c>
      <c r="D124" t="s">
        <v>28</v>
      </c>
      <c r="E124" t="s">
        <v>58</v>
      </c>
      <c r="F124">
        <v>660.62</v>
      </c>
      <c r="G124">
        <v>657.11</v>
      </c>
      <c r="H124">
        <v>2</v>
      </c>
      <c r="I124">
        <f t="shared" si="19"/>
        <v>7.0199999999999818</v>
      </c>
      <c r="J124">
        <v>1</v>
      </c>
      <c r="K124">
        <f t="shared" si="7"/>
        <v>7.0199999999999818</v>
      </c>
      <c r="L124" t="s">
        <v>72</v>
      </c>
      <c r="M124">
        <f>SUMIF(Executions!B:B,A124,Executions!H:H)</f>
        <v>-7.0199999999999818</v>
      </c>
      <c r="N124">
        <f t="shared" si="8"/>
        <v>-1</v>
      </c>
      <c r="O124">
        <f>Tabla1[[#This Row],[Initial Risk $]]/Tabla1[[#This Row],[Position Size (shares)]]+Tabla1[[#This Row],[Entry Price]]</f>
        <v>664.13</v>
      </c>
      <c r="P124">
        <f>Tabla1[[#This Row],[Initial Risk $]]/Tabla1[[#This Row],[Position Size (shares)]]*2+Tabla1[[#This Row],[Entry Price]]</f>
        <v>667.64</v>
      </c>
      <c r="Q124">
        <f>Tabla1[[#This Row],[Initial Risk $]]/Tabla1[[#This Row],[Position Size (shares)]]*3+Tabla1[[#This Row],[Entry Price]]</f>
        <v>671.15</v>
      </c>
    </row>
    <row r="125" spans="1:17" hidden="1" x14ac:dyDescent="0.25">
      <c r="A125" t="str">
        <f t="shared" si="18"/>
        <v>T-124</v>
      </c>
      <c r="B125" s="1">
        <v>46148</v>
      </c>
      <c r="C125" t="s">
        <v>135</v>
      </c>
      <c r="D125" t="s">
        <v>28</v>
      </c>
      <c r="E125" t="s">
        <v>51</v>
      </c>
      <c r="F125">
        <v>229.5</v>
      </c>
      <c r="G125">
        <v>227.5</v>
      </c>
      <c r="H125">
        <v>4</v>
      </c>
      <c r="I125">
        <f t="shared" si="19"/>
        <v>8</v>
      </c>
      <c r="J125">
        <v>1</v>
      </c>
      <c r="K125">
        <f t="shared" si="7"/>
        <v>8</v>
      </c>
      <c r="L125" t="s">
        <v>72</v>
      </c>
      <c r="M125">
        <f>SUMIF(Executions!B:B,A125,Executions!H:H)</f>
        <v>-8</v>
      </c>
      <c r="N125">
        <f t="shared" si="8"/>
        <v>-1</v>
      </c>
      <c r="O125">
        <f>Tabla1[[#This Row],[Initial Risk $]]/Tabla1[[#This Row],[Position Size (shares)]]+Tabla1[[#This Row],[Entry Price]]</f>
        <v>231.5</v>
      </c>
      <c r="P125">
        <f>Tabla1[[#This Row],[Initial Risk $]]/Tabla1[[#This Row],[Position Size (shares)]]*2+Tabla1[[#This Row],[Entry Price]]</f>
        <v>233.5</v>
      </c>
      <c r="Q125">
        <f>Tabla1[[#This Row],[Initial Risk $]]/Tabla1[[#This Row],[Position Size (shares)]]*3+Tabla1[[#This Row],[Entry Price]]</f>
        <v>235.5</v>
      </c>
    </row>
    <row r="126" spans="1:17" hidden="1" x14ac:dyDescent="0.25">
      <c r="A126" t="str">
        <f t="shared" si="18"/>
        <v>T-125</v>
      </c>
      <c r="B126" s="1">
        <v>46148</v>
      </c>
      <c r="C126" t="s">
        <v>130</v>
      </c>
      <c r="D126" t="s">
        <v>28</v>
      </c>
      <c r="E126" t="s">
        <v>51</v>
      </c>
      <c r="F126">
        <v>405.7</v>
      </c>
      <c r="G126">
        <v>403.82</v>
      </c>
      <c r="H126">
        <v>2</v>
      </c>
      <c r="I126">
        <f t="shared" si="19"/>
        <v>3.7599999999999909</v>
      </c>
      <c r="J126">
        <v>1</v>
      </c>
      <c r="K126">
        <f t="shared" si="7"/>
        <v>3.7599999999999909</v>
      </c>
      <c r="L126" t="s">
        <v>72</v>
      </c>
      <c r="M126">
        <f>SUMIF(Executions!B:B,A126,Executions!H:H)</f>
        <v>33.980000000000018</v>
      </c>
      <c r="N126">
        <f t="shared" si="8"/>
        <v>9.0372340425532176</v>
      </c>
      <c r="O126">
        <f>Tabla1[[#This Row],[Initial Risk $]]/Tabla1[[#This Row],[Position Size (shares)]]+Tabla1[[#This Row],[Entry Price]]</f>
        <v>407.58</v>
      </c>
      <c r="P126">
        <f>Tabla1[[#This Row],[Initial Risk $]]/Tabla1[[#This Row],[Position Size (shares)]]*2+Tabla1[[#This Row],[Entry Price]]</f>
        <v>409.46</v>
      </c>
      <c r="Q126">
        <f>Tabla1[[#This Row],[Initial Risk $]]/Tabla1[[#This Row],[Position Size (shares)]]*3+Tabla1[[#This Row],[Entry Price]]</f>
        <v>411.34</v>
      </c>
    </row>
    <row r="127" spans="1:17" hidden="1" x14ac:dyDescent="0.25">
      <c r="A127" t="str">
        <f t="shared" si="18"/>
        <v>T-126</v>
      </c>
      <c r="B127" s="1">
        <v>46148</v>
      </c>
      <c r="C127" t="s">
        <v>154</v>
      </c>
      <c r="D127" t="s">
        <v>28</v>
      </c>
      <c r="E127" t="s">
        <v>58</v>
      </c>
      <c r="F127">
        <v>389.3</v>
      </c>
      <c r="G127">
        <v>387.3</v>
      </c>
      <c r="H127">
        <v>2</v>
      </c>
      <c r="I127">
        <f t="shared" si="19"/>
        <v>4</v>
      </c>
      <c r="J127">
        <v>1</v>
      </c>
      <c r="K127">
        <f t="shared" si="7"/>
        <v>4</v>
      </c>
      <c r="L127" t="s">
        <v>72</v>
      </c>
      <c r="M127">
        <f>SUMIF(Executions!B:B,A127,Executions!H:H)</f>
        <v>-3.9600000000000364</v>
      </c>
      <c r="N127">
        <f t="shared" si="8"/>
        <v>-0.99000000000000909</v>
      </c>
      <c r="O127">
        <f>Tabla1[[#This Row],[Initial Risk $]]/Tabla1[[#This Row],[Position Size (shares)]]+Tabla1[[#This Row],[Entry Price]]</f>
        <v>391.3</v>
      </c>
      <c r="P127">
        <f>Tabla1[[#This Row],[Initial Risk $]]/Tabla1[[#This Row],[Position Size (shares)]]*2+Tabla1[[#This Row],[Entry Price]]</f>
        <v>393.3</v>
      </c>
      <c r="Q127">
        <f>Tabla1[[#This Row],[Initial Risk $]]/Tabla1[[#This Row],[Position Size (shares)]]*3+Tabla1[[#This Row],[Entry Price]]</f>
        <v>395.3</v>
      </c>
    </row>
    <row r="128" spans="1:17" hidden="1" x14ac:dyDescent="0.25">
      <c r="A128" t="str">
        <f t="shared" si="18"/>
        <v>T-127</v>
      </c>
      <c r="B128" s="1">
        <v>46148</v>
      </c>
      <c r="C128" t="s">
        <v>279</v>
      </c>
      <c r="D128" t="s">
        <v>28</v>
      </c>
      <c r="E128" t="s">
        <v>58</v>
      </c>
      <c r="F128">
        <v>650.44000000000005</v>
      </c>
      <c r="G128">
        <v>647.44000000000005</v>
      </c>
      <c r="H128">
        <v>2</v>
      </c>
      <c r="I128">
        <f t="shared" si="19"/>
        <v>6</v>
      </c>
      <c r="J128">
        <v>1</v>
      </c>
      <c r="K128">
        <f t="shared" si="7"/>
        <v>6</v>
      </c>
      <c r="L128" t="s">
        <v>72</v>
      </c>
      <c r="M128">
        <f>SUMIF(Executions!B:B,A128,Executions!H:H)</f>
        <v>11.319999999999936</v>
      </c>
      <c r="N128">
        <f t="shared" si="8"/>
        <v>1.8866666666666561</v>
      </c>
      <c r="O128">
        <f>Tabla1[[#This Row],[Initial Risk $]]/Tabla1[[#This Row],[Position Size (shares)]]+Tabla1[[#This Row],[Entry Price]]</f>
        <v>653.44000000000005</v>
      </c>
      <c r="P128">
        <f>Tabla1[[#This Row],[Initial Risk $]]/Tabla1[[#This Row],[Position Size (shares)]]*2+Tabla1[[#This Row],[Entry Price]]</f>
        <v>656.44</v>
      </c>
      <c r="Q128">
        <f>Tabla1[[#This Row],[Initial Risk $]]/Tabla1[[#This Row],[Position Size (shares)]]*3+Tabla1[[#This Row],[Entry Price]]</f>
        <v>659.44</v>
      </c>
    </row>
    <row r="129" spans="1:17" hidden="1" x14ac:dyDescent="0.25">
      <c r="A129" t="str">
        <f t="shared" si="18"/>
        <v>T-128</v>
      </c>
      <c r="B129" s="1">
        <v>46148</v>
      </c>
      <c r="C129" t="s">
        <v>279</v>
      </c>
      <c r="D129" t="s">
        <v>28</v>
      </c>
      <c r="E129" t="s">
        <v>58</v>
      </c>
      <c r="F129">
        <v>629.32000000000005</v>
      </c>
      <c r="G129">
        <v>625.32000000000005</v>
      </c>
      <c r="H129">
        <v>2</v>
      </c>
      <c r="I129">
        <f t="shared" si="19"/>
        <v>8</v>
      </c>
      <c r="J129">
        <v>1</v>
      </c>
      <c r="K129">
        <f t="shared" si="7"/>
        <v>8</v>
      </c>
      <c r="L129" t="s">
        <v>72</v>
      </c>
      <c r="M129">
        <f>SUMIF(Executions!B:B,A129,Executions!H:H)</f>
        <v>53.559999999999945</v>
      </c>
      <c r="N129">
        <f t="shared" si="8"/>
        <v>6.6949999999999932</v>
      </c>
      <c r="O129">
        <f>Tabla1[[#This Row],[Initial Risk $]]/Tabla1[[#This Row],[Position Size (shares)]]+Tabla1[[#This Row],[Entry Price]]</f>
        <v>633.32000000000005</v>
      </c>
      <c r="P129">
        <f>Tabla1[[#This Row],[Initial Risk $]]/Tabla1[[#This Row],[Position Size (shares)]]*2+Tabla1[[#This Row],[Entry Price]]</f>
        <v>637.32000000000005</v>
      </c>
      <c r="Q129">
        <f>Tabla1[[#This Row],[Initial Risk $]]/Tabla1[[#This Row],[Position Size (shares)]]*3+Tabla1[[#This Row],[Entry Price]]</f>
        <v>641.32000000000005</v>
      </c>
    </row>
    <row r="130" spans="1:17" hidden="1" x14ac:dyDescent="0.25">
      <c r="A130" t="str">
        <f t="shared" si="18"/>
        <v>T-129</v>
      </c>
      <c r="B130" s="1">
        <v>46148</v>
      </c>
      <c r="C130" t="s">
        <v>153</v>
      </c>
      <c r="D130" t="s">
        <v>28</v>
      </c>
      <c r="E130" t="s">
        <v>119</v>
      </c>
      <c r="F130">
        <v>1.5</v>
      </c>
      <c r="G130">
        <v>1.19</v>
      </c>
      <c r="H130">
        <v>20</v>
      </c>
      <c r="I130">
        <f t="shared" si="19"/>
        <v>6.2000000000000011</v>
      </c>
      <c r="J130">
        <v>1</v>
      </c>
      <c r="K130">
        <f t="shared" ref="K130:K193" si="20">I130*J130</f>
        <v>6.2000000000000011</v>
      </c>
      <c r="L130" t="s">
        <v>72</v>
      </c>
      <c r="M130">
        <f>SUMIF(Executions!B:B,A130,Executions!H:H)</f>
        <v>-6.2000000000000011</v>
      </c>
      <c r="N130">
        <f t="shared" ref="N130:N193" si="21">M130/I130</f>
        <v>-1</v>
      </c>
      <c r="O130">
        <f>Tabla1[[#This Row],[Initial Risk $]]/Tabla1[[#This Row],[Position Size (shares)]]+Tabla1[[#This Row],[Entry Price]]</f>
        <v>1.81</v>
      </c>
      <c r="P130">
        <f>Tabla1[[#This Row],[Initial Risk $]]/Tabla1[[#This Row],[Position Size (shares)]]*2+Tabla1[[#This Row],[Entry Price]]</f>
        <v>2.12</v>
      </c>
      <c r="Q130">
        <f>Tabla1[[#This Row],[Initial Risk $]]/Tabla1[[#This Row],[Position Size (shares)]]*3+Tabla1[[#This Row],[Entry Price]]</f>
        <v>2.4300000000000002</v>
      </c>
    </row>
    <row r="131" spans="1:17" hidden="1" x14ac:dyDescent="0.25">
      <c r="A131" t="str">
        <f t="shared" si="18"/>
        <v>T-130</v>
      </c>
      <c r="B131" s="1">
        <v>46148</v>
      </c>
      <c r="C131" t="s">
        <v>101</v>
      </c>
      <c r="D131" t="s">
        <v>28</v>
      </c>
      <c r="E131" t="s">
        <v>119</v>
      </c>
      <c r="F131">
        <v>3.97</v>
      </c>
      <c r="G131">
        <v>3.72</v>
      </c>
      <c r="H131">
        <v>20</v>
      </c>
      <c r="I131">
        <f t="shared" si="19"/>
        <v>5</v>
      </c>
      <c r="J131">
        <v>1</v>
      </c>
      <c r="K131">
        <f t="shared" si="20"/>
        <v>5</v>
      </c>
      <c r="L131" t="s">
        <v>72</v>
      </c>
      <c r="M131">
        <f>SUMIF(Executions!B:B,A131,Executions!H:H)</f>
        <v>10.200000000000005</v>
      </c>
      <c r="N131">
        <f t="shared" si="21"/>
        <v>2.0400000000000009</v>
      </c>
      <c r="O131">
        <f>Tabla1[[#This Row],[Initial Risk $]]/Tabla1[[#This Row],[Position Size (shares)]]+Tabla1[[#This Row],[Entry Price]]</f>
        <v>4.2200000000000006</v>
      </c>
      <c r="P131">
        <f>Tabla1[[#This Row],[Initial Risk $]]/Tabla1[[#This Row],[Position Size (shares)]]*2+Tabla1[[#This Row],[Entry Price]]</f>
        <v>4.4700000000000006</v>
      </c>
      <c r="Q131">
        <f>Tabla1[[#This Row],[Initial Risk $]]/Tabla1[[#This Row],[Position Size (shares)]]*3+Tabla1[[#This Row],[Entry Price]]</f>
        <v>4.7200000000000006</v>
      </c>
    </row>
    <row r="132" spans="1:17" hidden="1" x14ac:dyDescent="0.25">
      <c r="A132" t="str">
        <f t="shared" si="18"/>
        <v>T-131</v>
      </c>
      <c r="B132" s="1">
        <v>46148</v>
      </c>
      <c r="C132" t="s">
        <v>287</v>
      </c>
      <c r="D132" t="s">
        <v>28</v>
      </c>
      <c r="E132" t="s">
        <v>119</v>
      </c>
      <c r="F132">
        <v>14.88</v>
      </c>
      <c r="G132">
        <v>13.4</v>
      </c>
      <c r="H132">
        <v>6</v>
      </c>
      <c r="I132">
        <f t="shared" si="19"/>
        <v>8.8800000000000026</v>
      </c>
      <c r="J132">
        <v>1</v>
      </c>
      <c r="K132">
        <f t="shared" si="20"/>
        <v>8.8800000000000026</v>
      </c>
      <c r="L132" t="s">
        <v>72</v>
      </c>
      <c r="M132">
        <f>SUMIF(Executions!B:B,A132,Executions!H:H)</f>
        <v>-3.0600000000000094</v>
      </c>
      <c r="N132">
        <f t="shared" si="21"/>
        <v>-0.34459459459459557</v>
      </c>
      <c r="O132">
        <f>Tabla1[[#This Row],[Initial Risk $]]/Tabla1[[#This Row],[Position Size (shares)]]+Tabla1[[#This Row],[Entry Price]]</f>
        <v>16.36</v>
      </c>
      <c r="P132">
        <f>Tabla1[[#This Row],[Initial Risk $]]/Tabla1[[#This Row],[Position Size (shares)]]*2+Tabla1[[#This Row],[Entry Price]]</f>
        <v>17.840000000000003</v>
      </c>
      <c r="Q132">
        <f>Tabla1[[#This Row],[Initial Risk $]]/Tabla1[[#This Row],[Position Size (shares)]]*3+Tabla1[[#This Row],[Entry Price]]</f>
        <v>19.32</v>
      </c>
    </row>
    <row r="133" spans="1:17" hidden="1" x14ac:dyDescent="0.25">
      <c r="A133" t="str">
        <f t="shared" ref="A133:A141" si="22">"T-"&amp; TEXT(ROW()-1,"000")</f>
        <v>T-132</v>
      </c>
      <c r="B133" s="1">
        <v>46149</v>
      </c>
      <c r="C133" t="s">
        <v>177</v>
      </c>
      <c r="D133" t="s">
        <v>28</v>
      </c>
      <c r="E133" t="s">
        <v>119</v>
      </c>
      <c r="F133">
        <v>33.409999999999997</v>
      </c>
      <c r="G133">
        <v>31.79</v>
      </c>
      <c r="H133">
        <v>4</v>
      </c>
      <c r="I133">
        <f t="shared" ref="I133:I141" si="23">IF(D133="Long",(F133-G133)*H133,(G133-F133)*0)</f>
        <v>6.4799999999999898</v>
      </c>
      <c r="J133">
        <v>1</v>
      </c>
      <c r="K133">
        <f t="shared" si="20"/>
        <v>6.4799999999999898</v>
      </c>
      <c r="L133" t="s">
        <v>72</v>
      </c>
      <c r="M133">
        <f>SUMIF(Executions!B:B,A133,Executions!H:H)</f>
        <v>-9.6399999999999864</v>
      </c>
      <c r="N133">
        <f t="shared" si="21"/>
        <v>-1.4876543209876545</v>
      </c>
      <c r="O133">
        <f>Tabla1[[#This Row],[Initial Risk $]]/Tabla1[[#This Row],[Position Size (shares)]]+Tabla1[[#This Row],[Entry Price]]</f>
        <v>35.029999999999994</v>
      </c>
      <c r="P133">
        <f>Tabla1[[#This Row],[Initial Risk $]]/Tabla1[[#This Row],[Position Size (shares)]]*2+Tabla1[[#This Row],[Entry Price]]</f>
        <v>36.649999999999991</v>
      </c>
      <c r="Q133">
        <f>Tabla1[[#This Row],[Initial Risk $]]/Tabla1[[#This Row],[Position Size (shares)]]*3+Tabla1[[#This Row],[Entry Price]]</f>
        <v>38.269999999999989</v>
      </c>
    </row>
    <row r="134" spans="1:17" hidden="1" x14ac:dyDescent="0.25">
      <c r="A134" t="str">
        <f t="shared" si="22"/>
        <v>T-133</v>
      </c>
      <c r="B134" s="1">
        <v>46149</v>
      </c>
      <c r="C134" t="s">
        <v>233</v>
      </c>
      <c r="D134" t="s">
        <v>28</v>
      </c>
      <c r="E134" t="s">
        <v>58</v>
      </c>
      <c r="F134">
        <v>419</v>
      </c>
      <c r="G134">
        <v>417.33</v>
      </c>
      <c r="H134">
        <v>3</v>
      </c>
      <c r="I134">
        <f t="shared" si="23"/>
        <v>5.0100000000000477</v>
      </c>
      <c r="J134">
        <v>1</v>
      </c>
      <c r="K134">
        <f t="shared" si="20"/>
        <v>5.0100000000000477</v>
      </c>
      <c r="L134" t="s">
        <v>72</v>
      </c>
      <c r="M134">
        <f>SUMIF(Executions!B:B,A134,Executions!H:H)</f>
        <v>14.910000000000082</v>
      </c>
      <c r="N134">
        <f t="shared" si="21"/>
        <v>2.9760479041916046</v>
      </c>
      <c r="O134">
        <f>Tabla1[[#This Row],[Initial Risk $]]/Tabla1[[#This Row],[Position Size (shares)]]+Tabla1[[#This Row],[Entry Price]]</f>
        <v>420.67</v>
      </c>
      <c r="P134">
        <f>Tabla1[[#This Row],[Initial Risk $]]/Tabla1[[#This Row],[Position Size (shares)]]*2+Tabla1[[#This Row],[Entry Price]]</f>
        <v>422.34000000000003</v>
      </c>
      <c r="Q134">
        <f>Tabla1[[#This Row],[Initial Risk $]]/Tabla1[[#This Row],[Position Size (shares)]]*3+Tabla1[[#This Row],[Entry Price]]</f>
        <v>424.01000000000005</v>
      </c>
    </row>
    <row r="135" spans="1:17" hidden="1" x14ac:dyDescent="0.25">
      <c r="A135" t="str">
        <f t="shared" si="22"/>
        <v>T-134</v>
      </c>
      <c r="B135" s="1">
        <v>46149</v>
      </c>
      <c r="C135" t="s">
        <v>290</v>
      </c>
      <c r="D135" t="s">
        <v>28</v>
      </c>
      <c r="E135" t="s">
        <v>51</v>
      </c>
      <c r="F135">
        <v>253</v>
      </c>
      <c r="G135">
        <v>252</v>
      </c>
      <c r="H135">
        <v>4</v>
      </c>
      <c r="I135">
        <f t="shared" si="23"/>
        <v>4</v>
      </c>
      <c r="J135">
        <v>1</v>
      </c>
      <c r="K135">
        <f t="shared" si="20"/>
        <v>4</v>
      </c>
      <c r="L135" t="s">
        <v>72</v>
      </c>
      <c r="M135">
        <f>SUMIF(Executions!B:B,A135,Executions!H:H)</f>
        <v>0.55999999999994543</v>
      </c>
      <c r="N135">
        <f t="shared" si="21"/>
        <v>0.13999999999998636</v>
      </c>
      <c r="O135">
        <f>Tabla1[[#This Row],[Initial Risk $]]/Tabla1[[#This Row],[Position Size (shares)]]+Tabla1[[#This Row],[Entry Price]]</f>
        <v>254</v>
      </c>
      <c r="P135">
        <f>Tabla1[[#This Row],[Initial Risk $]]/Tabla1[[#This Row],[Position Size (shares)]]*2+Tabla1[[#This Row],[Entry Price]]</f>
        <v>255</v>
      </c>
      <c r="Q135">
        <f>Tabla1[[#This Row],[Initial Risk $]]/Tabla1[[#This Row],[Position Size (shares)]]*3+Tabla1[[#This Row],[Entry Price]]</f>
        <v>256</v>
      </c>
    </row>
    <row r="136" spans="1:17" hidden="1" x14ac:dyDescent="0.25">
      <c r="A136" t="str">
        <f t="shared" si="22"/>
        <v>T-135</v>
      </c>
      <c r="B136" s="1">
        <v>46149</v>
      </c>
      <c r="C136" t="s">
        <v>290</v>
      </c>
      <c r="D136" t="s">
        <v>28</v>
      </c>
      <c r="E136" t="s">
        <v>51</v>
      </c>
      <c r="F136">
        <v>250.11</v>
      </c>
      <c r="G136">
        <v>248.11</v>
      </c>
      <c r="H136">
        <v>4</v>
      </c>
      <c r="I136">
        <f t="shared" si="23"/>
        <v>8</v>
      </c>
      <c r="J136">
        <v>1</v>
      </c>
      <c r="K136">
        <f t="shared" si="20"/>
        <v>8</v>
      </c>
      <c r="L136" t="s">
        <v>72</v>
      </c>
      <c r="M136">
        <f>SUMIF(Executions!B:B,A136,Executions!H:H)</f>
        <v>25.960000000000036</v>
      </c>
      <c r="N136">
        <f t="shared" si="21"/>
        <v>3.2450000000000045</v>
      </c>
      <c r="O136">
        <f>Tabla1[[#This Row],[Initial Risk $]]/Tabla1[[#This Row],[Position Size (shares)]]+Tabla1[[#This Row],[Entry Price]]</f>
        <v>252.11</v>
      </c>
      <c r="P136">
        <f>Tabla1[[#This Row],[Initial Risk $]]/Tabla1[[#This Row],[Position Size (shares)]]*2+Tabla1[[#This Row],[Entry Price]]</f>
        <v>254.11</v>
      </c>
      <c r="Q136">
        <f>Tabla1[[#This Row],[Initial Risk $]]/Tabla1[[#This Row],[Position Size (shares)]]*3+Tabla1[[#This Row],[Entry Price]]</f>
        <v>256.11</v>
      </c>
    </row>
    <row r="137" spans="1:17" hidden="1" x14ac:dyDescent="0.25">
      <c r="A137" t="str">
        <f t="shared" si="22"/>
        <v>T-136</v>
      </c>
      <c r="B137" s="1">
        <v>46149</v>
      </c>
      <c r="C137" t="s">
        <v>129</v>
      </c>
      <c r="D137" t="s">
        <v>28</v>
      </c>
      <c r="E137" t="s">
        <v>51</v>
      </c>
      <c r="F137">
        <v>55.5</v>
      </c>
      <c r="G137">
        <v>54.5</v>
      </c>
      <c r="H137">
        <v>4</v>
      </c>
      <c r="I137">
        <f t="shared" si="23"/>
        <v>4</v>
      </c>
      <c r="J137">
        <v>1</v>
      </c>
      <c r="K137">
        <f t="shared" si="20"/>
        <v>4</v>
      </c>
      <c r="L137" t="s">
        <v>72</v>
      </c>
      <c r="M137">
        <f>SUMIF(Executions!B:B,A137,Executions!H:H)</f>
        <v>61.5</v>
      </c>
      <c r="N137">
        <f t="shared" si="21"/>
        <v>15.375</v>
      </c>
      <c r="O137">
        <f>Tabla1[[#This Row],[Initial Risk $]]/Tabla1[[#This Row],[Position Size (shares)]]+Tabla1[[#This Row],[Entry Price]]</f>
        <v>56.5</v>
      </c>
      <c r="P137">
        <f>Tabla1[[#This Row],[Initial Risk $]]/Tabla1[[#This Row],[Position Size (shares)]]*2+Tabla1[[#This Row],[Entry Price]]</f>
        <v>57.5</v>
      </c>
      <c r="Q137">
        <f>Tabla1[[#This Row],[Initial Risk $]]/Tabla1[[#This Row],[Position Size (shares)]]*3+Tabla1[[#This Row],[Entry Price]]</f>
        <v>58.5</v>
      </c>
    </row>
    <row r="138" spans="1:17" hidden="1" x14ac:dyDescent="0.25">
      <c r="A138" t="str">
        <f t="shared" si="22"/>
        <v>T-137</v>
      </c>
      <c r="B138" s="1">
        <v>46149</v>
      </c>
      <c r="C138" t="s">
        <v>279</v>
      </c>
      <c r="D138" t="s">
        <v>28</v>
      </c>
      <c r="E138" t="s">
        <v>119</v>
      </c>
      <c r="F138">
        <v>660.83</v>
      </c>
      <c r="G138">
        <v>657.83</v>
      </c>
      <c r="H138">
        <v>2</v>
      </c>
      <c r="I138">
        <f t="shared" si="23"/>
        <v>6</v>
      </c>
      <c r="J138">
        <v>1</v>
      </c>
      <c r="K138">
        <f t="shared" si="20"/>
        <v>6</v>
      </c>
      <c r="L138" t="s">
        <v>72</v>
      </c>
      <c r="M138">
        <f>SUMIF(Executions!B:B,A138,Executions!H:H)</f>
        <v>-6.0199999999999818</v>
      </c>
      <c r="N138">
        <f t="shared" si="21"/>
        <v>-1.0033333333333303</v>
      </c>
      <c r="O138">
        <f>Tabla1[[#This Row],[Initial Risk $]]/Tabla1[[#This Row],[Position Size (shares)]]+Tabla1[[#This Row],[Entry Price]]</f>
        <v>663.83</v>
      </c>
      <c r="P138">
        <f>Tabla1[[#This Row],[Initial Risk $]]/Tabla1[[#This Row],[Position Size (shares)]]*2+Tabla1[[#This Row],[Entry Price]]</f>
        <v>666.83</v>
      </c>
      <c r="Q138">
        <f>Tabla1[[#This Row],[Initial Risk $]]/Tabla1[[#This Row],[Position Size (shares)]]*3+Tabla1[[#This Row],[Entry Price]]</f>
        <v>669.83</v>
      </c>
    </row>
    <row r="139" spans="1:17" hidden="1" x14ac:dyDescent="0.25">
      <c r="A139" t="str">
        <f t="shared" si="22"/>
        <v>T-138</v>
      </c>
      <c r="B139" s="1">
        <v>46149</v>
      </c>
      <c r="C139" t="s">
        <v>294</v>
      </c>
      <c r="D139" t="s">
        <v>28</v>
      </c>
      <c r="E139" t="s">
        <v>58</v>
      </c>
      <c r="F139">
        <v>194.41</v>
      </c>
      <c r="G139">
        <v>193.16</v>
      </c>
      <c r="H139">
        <v>4</v>
      </c>
      <c r="I139">
        <f t="shared" si="23"/>
        <v>5</v>
      </c>
      <c r="J139">
        <v>1</v>
      </c>
      <c r="K139">
        <f t="shared" si="20"/>
        <v>5</v>
      </c>
      <c r="L139" t="s">
        <v>72</v>
      </c>
      <c r="M139">
        <f>SUMIF(Executions!B:B,A139,Executions!H:H)</f>
        <v>-5.3199999999999363</v>
      </c>
      <c r="N139">
        <f t="shared" si="21"/>
        <v>-1.0639999999999872</v>
      </c>
      <c r="O139">
        <f>Tabla1[[#This Row],[Initial Risk $]]/Tabla1[[#This Row],[Position Size (shares)]]+Tabla1[[#This Row],[Entry Price]]</f>
        <v>195.66</v>
      </c>
      <c r="P139">
        <f>Tabla1[[#This Row],[Initial Risk $]]/Tabla1[[#This Row],[Position Size (shares)]]*2+Tabla1[[#This Row],[Entry Price]]</f>
        <v>196.91</v>
      </c>
      <c r="Q139">
        <f>Tabla1[[#This Row],[Initial Risk $]]/Tabla1[[#This Row],[Position Size (shares)]]*3+Tabla1[[#This Row],[Entry Price]]</f>
        <v>198.16</v>
      </c>
    </row>
    <row r="140" spans="1:17" hidden="1" x14ac:dyDescent="0.25">
      <c r="A140" t="str">
        <f t="shared" si="22"/>
        <v>T-139</v>
      </c>
      <c r="B140" s="1">
        <v>46149</v>
      </c>
      <c r="C140" t="s">
        <v>225</v>
      </c>
      <c r="D140" t="s">
        <v>28</v>
      </c>
      <c r="E140" t="s">
        <v>58</v>
      </c>
      <c r="F140">
        <v>206.45</v>
      </c>
      <c r="G140">
        <v>205.92</v>
      </c>
      <c r="H140">
        <v>3</v>
      </c>
      <c r="I140">
        <f t="shared" si="23"/>
        <v>1.5900000000000034</v>
      </c>
      <c r="J140">
        <v>1</v>
      </c>
      <c r="K140">
        <f t="shared" si="20"/>
        <v>1.5900000000000034</v>
      </c>
      <c r="L140" t="s">
        <v>72</v>
      </c>
      <c r="M140">
        <f>SUMIF(Executions!B:B,A140,Executions!H:H)</f>
        <v>-1.5900000000000034</v>
      </c>
      <c r="N140">
        <f t="shared" si="21"/>
        <v>-1</v>
      </c>
      <c r="O140">
        <f>Tabla1[[#This Row],[Initial Risk $]]/Tabla1[[#This Row],[Position Size (shares)]]+Tabla1[[#This Row],[Entry Price]]</f>
        <v>206.98</v>
      </c>
      <c r="P140">
        <f>Tabla1[[#This Row],[Initial Risk $]]/Tabla1[[#This Row],[Position Size (shares)]]*2+Tabla1[[#This Row],[Entry Price]]</f>
        <v>207.51</v>
      </c>
      <c r="Q140">
        <f>Tabla1[[#This Row],[Initial Risk $]]/Tabla1[[#This Row],[Position Size (shares)]]*3+Tabla1[[#This Row],[Entry Price]]</f>
        <v>208.04</v>
      </c>
    </row>
    <row r="141" spans="1:17" hidden="1" x14ac:dyDescent="0.25">
      <c r="A141" t="str">
        <f t="shared" si="22"/>
        <v>T-140</v>
      </c>
      <c r="B141" s="1">
        <v>46149</v>
      </c>
      <c r="C141" t="s">
        <v>300</v>
      </c>
      <c r="D141" t="s">
        <v>28</v>
      </c>
      <c r="E141" t="s">
        <v>51</v>
      </c>
      <c r="F141">
        <v>180.75</v>
      </c>
      <c r="G141">
        <v>180.01</v>
      </c>
      <c r="H141">
        <v>3</v>
      </c>
      <c r="I141">
        <f t="shared" si="23"/>
        <v>2.2200000000000273</v>
      </c>
      <c r="J141">
        <v>1</v>
      </c>
      <c r="K141">
        <f t="shared" si="20"/>
        <v>2.2200000000000273</v>
      </c>
      <c r="L141" t="s">
        <v>72</v>
      </c>
      <c r="M141">
        <f>SUMIF(Executions!B:B,A141,Executions!H:H)</f>
        <v>-2.1899999999999693</v>
      </c>
      <c r="N141">
        <f t="shared" si="21"/>
        <v>-0.98648648648646053</v>
      </c>
      <c r="O141">
        <f>Tabla1[[#This Row],[Initial Risk $]]/Tabla1[[#This Row],[Position Size (shares)]]+Tabla1[[#This Row],[Entry Price]]</f>
        <v>181.49</v>
      </c>
      <c r="P141">
        <f>Tabla1[[#This Row],[Initial Risk $]]/Tabla1[[#This Row],[Position Size (shares)]]*2+Tabla1[[#This Row],[Entry Price]]</f>
        <v>182.23000000000002</v>
      </c>
      <c r="Q141">
        <f>Tabla1[[#This Row],[Initial Risk $]]/Tabla1[[#This Row],[Position Size (shares)]]*3+Tabla1[[#This Row],[Entry Price]]</f>
        <v>182.97000000000003</v>
      </c>
    </row>
    <row r="142" spans="1:17" hidden="1" x14ac:dyDescent="0.25">
      <c r="A142" t="str">
        <f t="shared" ref="A142:A151" si="24">"T-"&amp; TEXT(ROW()-1,"000")</f>
        <v>T-141</v>
      </c>
      <c r="B142" s="1">
        <v>46150</v>
      </c>
      <c r="C142" t="s">
        <v>95</v>
      </c>
      <c r="D142" t="s">
        <v>28</v>
      </c>
      <c r="E142" t="s">
        <v>51</v>
      </c>
      <c r="F142">
        <v>84.16</v>
      </c>
      <c r="G142">
        <v>83.16</v>
      </c>
      <c r="H142">
        <v>4</v>
      </c>
      <c r="I142">
        <f t="shared" ref="I142:I151" si="25">IF(D142="Long",(F142-G142)*H142,(G142-F142)*0)</f>
        <v>4</v>
      </c>
      <c r="J142">
        <v>1</v>
      </c>
      <c r="K142">
        <f t="shared" si="20"/>
        <v>4</v>
      </c>
      <c r="L142" t="s">
        <v>72</v>
      </c>
      <c r="M142">
        <f>SUMIF(Executions!B:B,A142,Executions!H:H)</f>
        <v>-2.839999999999975</v>
      </c>
      <c r="N142">
        <f t="shared" si="21"/>
        <v>-0.70999999999999375</v>
      </c>
      <c r="O142">
        <f>Tabla1[[#This Row],[Initial Risk $]]/Tabla1[[#This Row],[Position Size (shares)]]+Tabla1[[#This Row],[Entry Price]]</f>
        <v>85.16</v>
      </c>
      <c r="P142">
        <f>Tabla1[[#This Row],[Initial Risk $]]/Tabla1[[#This Row],[Position Size (shares)]]*2+Tabla1[[#This Row],[Entry Price]]</f>
        <v>86.16</v>
      </c>
      <c r="Q142">
        <f>Tabla1[[#This Row],[Initial Risk $]]/Tabla1[[#This Row],[Position Size (shares)]]*3+Tabla1[[#This Row],[Entry Price]]</f>
        <v>87.16</v>
      </c>
    </row>
    <row r="143" spans="1:17" hidden="1" x14ac:dyDescent="0.25">
      <c r="A143" t="str">
        <f t="shared" si="24"/>
        <v>T-142</v>
      </c>
      <c r="B143" s="1">
        <v>46150</v>
      </c>
      <c r="C143" t="s">
        <v>164</v>
      </c>
      <c r="D143" t="s">
        <v>28</v>
      </c>
      <c r="E143" t="s">
        <v>58</v>
      </c>
      <c r="F143">
        <v>213.24</v>
      </c>
      <c r="G143">
        <v>212.24</v>
      </c>
      <c r="H143">
        <v>4</v>
      </c>
      <c r="I143">
        <f t="shared" si="25"/>
        <v>4</v>
      </c>
      <c r="J143">
        <v>1</v>
      </c>
      <c r="K143">
        <f t="shared" si="20"/>
        <v>4</v>
      </c>
      <c r="L143" t="s">
        <v>72</v>
      </c>
      <c r="M143">
        <f>SUMIF(Executions!B:B,A143,Executions!H:H)</f>
        <v>10.159999999999968</v>
      </c>
      <c r="N143">
        <f t="shared" si="21"/>
        <v>2.539999999999992</v>
      </c>
      <c r="O143">
        <f>Tabla1[[#This Row],[Initial Risk $]]/Tabla1[[#This Row],[Position Size (shares)]]+Tabla1[[#This Row],[Entry Price]]</f>
        <v>214.24</v>
      </c>
      <c r="P143">
        <f>Tabla1[[#This Row],[Initial Risk $]]/Tabla1[[#This Row],[Position Size (shares)]]*2+Tabla1[[#This Row],[Entry Price]]</f>
        <v>215.24</v>
      </c>
      <c r="Q143">
        <f>Tabla1[[#This Row],[Initial Risk $]]/Tabla1[[#This Row],[Position Size (shares)]]*3+Tabla1[[#This Row],[Entry Price]]</f>
        <v>216.24</v>
      </c>
    </row>
    <row r="144" spans="1:17" hidden="1" x14ac:dyDescent="0.25">
      <c r="A144" t="str">
        <f t="shared" si="24"/>
        <v>T-143</v>
      </c>
      <c r="B144" s="1">
        <v>46150</v>
      </c>
      <c r="C144" t="s">
        <v>302</v>
      </c>
      <c r="D144" t="s">
        <v>28</v>
      </c>
      <c r="E144" t="s">
        <v>58</v>
      </c>
      <c r="F144">
        <v>12.56</v>
      </c>
      <c r="G144">
        <v>11.97</v>
      </c>
      <c r="H144">
        <v>10</v>
      </c>
      <c r="I144">
        <f t="shared" si="25"/>
        <v>5.8999999999999986</v>
      </c>
      <c r="J144">
        <v>1</v>
      </c>
      <c r="K144">
        <f t="shared" si="20"/>
        <v>5.8999999999999986</v>
      </c>
      <c r="L144" t="s">
        <v>72</v>
      </c>
      <c r="M144">
        <f>SUMIF(Executions!B:B,A144,Executions!H:H)</f>
        <v>5.0999999999999979</v>
      </c>
      <c r="N144">
        <f t="shared" si="21"/>
        <v>0.86440677966101676</v>
      </c>
      <c r="O144">
        <f>Tabla1[[#This Row],[Initial Risk $]]/Tabla1[[#This Row],[Position Size (shares)]]+Tabla1[[#This Row],[Entry Price]]</f>
        <v>13.15</v>
      </c>
      <c r="P144">
        <f>Tabla1[[#This Row],[Initial Risk $]]/Tabla1[[#This Row],[Position Size (shares)]]*2+Tabla1[[#This Row],[Entry Price]]</f>
        <v>13.74</v>
      </c>
      <c r="Q144">
        <f>Tabla1[[#This Row],[Initial Risk $]]/Tabla1[[#This Row],[Position Size (shares)]]*3+Tabla1[[#This Row],[Entry Price]]</f>
        <v>14.33</v>
      </c>
    </row>
    <row r="145" spans="1:17" hidden="1" x14ac:dyDescent="0.25">
      <c r="A145" t="str">
        <f t="shared" si="24"/>
        <v>T-144</v>
      </c>
      <c r="B145" s="1">
        <v>46150</v>
      </c>
      <c r="C145" t="s">
        <v>303</v>
      </c>
      <c r="D145" t="s">
        <v>28</v>
      </c>
      <c r="E145" t="s">
        <v>119</v>
      </c>
      <c r="F145">
        <v>4.01</v>
      </c>
      <c r="G145">
        <v>3.84</v>
      </c>
      <c r="H145">
        <v>20</v>
      </c>
      <c r="I145">
        <f t="shared" si="25"/>
        <v>3.3999999999999986</v>
      </c>
      <c r="J145">
        <v>1</v>
      </c>
      <c r="K145">
        <f t="shared" si="20"/>
        <v>3.3999999999999986</v>
      </c>
      <c r="L145" t="s">
        <v>72</v>
      </c>
      <c r="M145">
        <f>SUMIF(Executions!B:B,A145,Executions!H:H)</f>
        <v>-3.3999999999999986</v>
      </c>
      <c r="N145">
        <f t="shared" si="21"/>
        <v>-1</v>
      </c>
      <c r="O145">
        <f>Tabla1[[#This Row],[Initial Risk $]]/Tabla1[[#This Row],[Position Size (shares)]]+Tabla1[[#This Row],[Entry Price]]</f>
        <v>4.18</v>
      </c>
      <c r="P145">
        <f>Tabla1[[#This Row],[Initial Risk $]]/Tabla1[[#This Row],[Position Size (shares)]]*2+Tabla1[[#This Row],[Entry Price]]</f>
        <v>4.3499999999999996</v>
      </c>
      <c r="Q145">
        <f>Tabla1[[#This Row],[Initial Risk $]]/Tabla1[[#This Row],[Position Size (shares)]]*3+Tabla1[[#This Row],[Entry Price]]</f>
        <v>4.5199999999999996</v>
      </c>
    </row>
    <row r="146" spans="1:17" hidden="1" x14ac:dyDescent="0.25">
      <c r="A146" t="str">
        <f t="shared" si="24"/>
        <v>T-145</v>
      </c>
      <c r="B146" s="1">
        <v>46150</v>
      </c>
      <c r="C146" t="s">
        <v>164</v>
      </c>
      <c r="D146" t="s">
        <v>28</v>
      </c>
      <c r="E146" t="s">
        <v>58</v>
      </c>
      <c r="F146">
        <v>216.08</v>
      </c>
      <c r="G146">
        <v>215.08</v>
      </c>
      <c r="H146">
        <v>4</v>
      </c>
      <c r="I146">
        <f t="shared" si="25"/>
        <v>4</v>
      </c>
      <c r="J146">
        <v>1</v>
      </c>
      <c r="K146">
        <f t="shared" si="20"/>
        <v>4</v>
      </c>
      <c r="L146" t="s">
        <v>72</v>
      </c>
      <c r="M146">
        <f>SUMIF(Executions!B:B,A146,Executions!H:H)</f>
        <v>-4</v>
      </c>
      <c r="N146">
        <f t="shared" si="21"/>
        <v>-1</v>
      </c>
      <c r="O146">
        <f>Tabla1[[#This Row],[Initial Risk $]]/Tabla1[[#This Row],[Position Size (shares)]]+Tabla1[[#This Row],[Entry Price]]</f>
        <v>217.08</v>
      </c>
      <c r="P146">
        <f>Tabla1[[#This Row],[Initial Risk $]]/Tabla1[[#This Row],[Position Size (shares)]]*2+Tabla1[[#This Row],[Entry Price]]</f>
        <v>218.08</v>
      </c>
      <c r="Q146">
        <f>Tabla1[[#This Row],[Initial Risk $]]/Tabla1[[#This Row],[Position Size (shares)]]*3+Tabla1[[#This Row],[Entry Price]]</f>
        <v>219.08</v>
      </c>
    </row>
    <row r="147" spans="1:17" hidden="1" x14ac:dyDescent="0.25">
      <c r="A147" t="str">
        <f t="shared" si="24"/>
        <v>T-146</v>
      </c>
      <c r="B147" s="1">
        <v>46150</v>
      </c>
      <c r="C147" t="s">
        <v>130</v>
      </c>
      <c r="D147" t="s">
        <v>28</v>
      </c>
      <c r="E147" t="s">
        <v>58</v>
      </c>
      <c r="F147">
        <v>434.08</v>
      </c>
      <c r="G147">
        <v>432.85</v>
      </c>
      <c r="H147">
        <v>3</v>
      </c>
      <c r="I147">
        <f t="shared" si="25"/>
        <v>3.689999999999884</v>
      </c>
      <c r="J147">
        <v>1</v>
      </c>
      <c r="K147">
        <f t="shared" si="20"/>
        <v>3.689999999999884</v>
      </c>
      <c r="L147" t="s">
        <v>72</v>
      </c>
      <c r="M147">
        <f>SUMIF(Executions!B:B,A147,Executions!H:H)</f>
        <v>14.130000000000109</v>
      </c>
      <c r="N147">
        <f t="shared" si="21"/>
        <v>3.8292682926830768</v>
      </c>
      <c r="O147">
        <f>Tabla1[[#This Row],[Initial Risk $]]/Tabla1[[#This Row],[Position Size (shares)]]+Tabla1[[#This Row],[Entry Price]]</f>
        <v>435.30999999999995</v>
      </c>
      <c r="P147">
        <f>Tabla1[[#This Row],[Initial Risk $]]/Tabla1[[#This Row],[Position Size (shares)]]*2+Tabla1[[#This Row],[Entry Price]]</f>
        <v>436.53999999999991</v>
      </c>
      <c r="Q147">
        <f>Tabla1[[#This Row],[Initial Risk $]]/Tabla1[[#This Row],[Position Size (shares)]]*3+Tabla1[[#This Row],[Entry Price]]</f>
        <v>437.76999999999987</v>
      </c>
    </row>
    <row r="148" spans="1:17" hidden="1" x14ac:dyDescent="0.25">
      <c r="A148" t="str">
        <f t="shared" si="24"/>
        <v>T-147</v>
      </c>
      <c r="B148" s="1">
        <v>46150</v>
      </c>
      <c r="C148" t="s">
        <v>287</v>
      </c>
      <c r="D148" t="s">
        <v>28</v>
      </c>
      <c r="E148" t="s">
        <v>119</v>
      </c>
      <c r="F148">
        <v>14.71</v>
      </c>
      <c r="G148">
        <v>13.88</v>
      </c>
      <c r="H148">
        <v>6</v>
      </c>
      <c r="I148">
        <f t="shared" si="25"/>
        <v>4.9800000000000004</v>
      </c>
      <c r="J148">
        <v>1</v>
      </c>
      <c r="K148">
        <f t="shared" si="20"/>
        <v>4.9800000000000004</v>
      </c>
      <c r="L148" t="s">
        <v>72</v>
      </c>
      <c r="M148">
        <f>SUMIF(Executions!B:B,A148,Executions!H:H)</f>
        <v>-4.9800000000000004</v>
      </c>
      <c r="N148">
        <f t="shared" si="21"/>
        <v>-1</v>
      </c>
      <c r="O148">
        <f>Tabla1[[#This Row],[Initial Risk $]]/Tabla1[[#This Row],[Position Size (shares)]]+Tabla1[[#This Row],[Entry Price]]</f>
        <v>15.540000000000001</v>
      </c>
      <c r="P148">
        <f>Tabla1[[#This Row],[Initial Risk $]]/Tabla1[[#This Row],[Position Size (shares)]]*2+Tabla1[[#This Row],[Entry Price]]</f>
        <v>16.37</v>
      </c>
      <c r="Q148">
        <f>Tabla1[[#This Row],[Initial Risk $]]/Tabla1[[#This Row],[Position Size (shares)]]*3+Tabla1[[#This Row],[Entry Price]]</f>
        <v>17.200000000000003</v>
      </c>
    </row>
    <row r="149" spans="1:17" hidden="1" x14ac:dyDescent="0.25">
      <c r="A149" t="str">
        <f t="shared" si="24"/>
        <v>T-148</v>
      </c>
      <c r="B149" s="1">
        <v>46150</v>
      </c>
      <c r="C149" t="s">
        <v>225</v>
      </c>
      <c r="D149" t="s">
        <v>28</v>
      </c>
      <c r="E149" t="s">
        <v>119</v>
      </c>
      <c r="F149">
        <v>219.64</v>
      </c>
      <c r="G149">
        <v>218.01</v>
      </c>
      <c r="H149">
        <v>4</v>
      </c>
      <c r="I149">
        <f t="shared" si="25"/>
        <v>6.5199999999999818</v>
      </c>
      <c r="J149">
        <v>1</v>
      </c>
      <c r="K149">
        <f t="shared" si="20"/>
        <v>6.5199999999999818</v>
      </c>
      <c r="L149" t="s">
        <v>72</v>
      </c>
      <c r="M149">
        <f>SUMIF(Executions!B:B,A149,Executions!H:H)</f>
        <v>-6.8799999999999955</v>
      </c>
      <c r="N149">
        <f t="shared" si="21"/>
        <v>-1.0552147239263827</v>
      </c>
      <c r="O149">
        <f>Tabla1[[#This Row],[Initial Risk $]]/Tabla1[[#This Row],[Position Size (shares)]]+Tabla1[[#This Row],[Entry Price]]</f>
        <v>221.26999999999998</v>
      </c>
      <c r="P149">
        <f>Tabla1[[#This Row],[Initial Risk $]]/Tabla1[[#This Row],[Position Size (shares)]]*2+Tabla1[[#This Row],[Entry Price]]</f>
        <v>222.89999999999998</v>
      </c>
      <c r="Q149">
        <f>Tabla1[[#This Row],[Initial Risk $]]/Tabla1[[#This Row],[Position Size (shares)]]*3+Tabla1[[#This Row],[Entry Price]]</f>
        <v>224.52999999999997</v>
      </c>
    </row>
    <row r="150" spans="1:17" hidden="1" x14ac:dyDescent="0.25">
      <c r="A150" t="str">
        <f t="shared" si="24"/>
        <v>T-149</v>
      </c>
      <c r="B150" s="1">
        <v>46150</v>
      </c>
      <c r="C150" t="s">
        <v>225</v>
      </c>
      <c r="D150" t="s">
        <v>28</v>
      </c>
      <c r="E150" t="s">
        <v>119</v>
      </c>
      <c r="F150">
        <v>218.3</v>
      </c>
      <c r="G150">
        <v>217.05</v>
      </c>
      <c r="H150">
        <v>4</v>
      </c>
      <c r="I150">
        <f t="shared" si="25"/>
        <v>5</v>
      </c>
      <c r="J150">
        <v>1</v>
      </c>
      <c r="K150">
        <f t="shared" si="20"/>
        <v>5</v>
      </c>
      <c r="L150" t="s">
        <v>72</v>
      </c>
      <c r="M150">
        <f>SUMIF(Executions!B:B,A150,Executions!H:H)</f>
        <v>-5.2000000000000455</v>
      </c>
      <c r="N150">
        <f t="shared" si="21"/>
        <v>-1.0400000000000091</v>
      </c>
      <c r="O150">
        <f>Tabla1[[#This Row],[Initial Risk $]]/Tabla1[[#This Row],[Position Size (shares)]]+Tabla1[[#This Row],[Entry Price]]</f>
        <v>219.55</v>
      </c>
      <c r="P150">
        <f>Tabla1[[#This Row],[Initial Risk $]]/Tabla1[[#This Row],[Position Size (shares)]]*2+Tabla1[[#This Row],[Entry Price]]</f>
        <v>220.8</v>
      </c>
      <c r="Q150">
        <f>Tabla1[[#This Row],[Initial Risk $]]/Tabla1[[#This Row],[Position Size (shares)]]*3+Tabla1[[#This Row],[Entry Price]]</f>
        <v>222.05</v>
      </c>
    </row>
    <row r="151" spans="1:17" hidden="1" x14ac:dyDescent="0.25">
      <c r="A151" t="str">
        <f t="shared" si="24"/>
        <v>T-150</v>
      </c>
      <c r="B151" s="1">
        <v>46150</v>
      </c>
      <c r="C151" t="s">
        <v>225</v>
      </c>
      <c r="D151" t="s">
        <v>28</v>
      </c>
      <c r="E151" t="s">
        <v>58</v>
      </c>
      <c r="F151">
        <v>218.92</v>
      </c>
      <c r="G151">
        <v>217.92</v>
      </c>
      <c r="H151">
        <v>4</v>
      </c>
      <c r="I151">
        <f t="shared" si="25"/>
        <v>4</v>
      </c>
      <c r="J151">
        <v>1</v>
      </c>
      <c r="K151">
        <f t="shared" si="20"/>
        <v>4</v>
      </c>
      <c r="L151" t="s">
        <v>72</v>
      </c>
      <c r="M151">
        <f>SUMIF(Executions!B:B,A151,Executions!H:H)</f>
        <v>-4.4799999999999045</v>
      </c>
      <c r="N151">
        <f t="shared" si="21"/>
        <v>-1.1199999999999761</v>
      </c>
      <c r="O151">
        <f>Tabla1[[#This Row],[Initial Risk $]]/Tabla1[[#This Row],[Position Size (shares)]]+Tabla1[[#This Row],[Entry Price]]</f>
        <v>219.92</v>
      </c>
      <c r="P151">
        <f>Tabla1[[#This Row],[Initial Risk $]]/Tabla1[[#This Row],[Position Size (shares)]]*2+Tabla1[[#This Row],[Entry Price]]</f>
        <v>220.92</v>
      </c>
      <c r="Q151">
        <f>Tabla1[[#This Row],[Initial Risk $]]/Tabla1[[#This Row],[Position Size (shares)]]*3+Tabla1[[#This Row],[Entry Price]]</f>
        <v>221.92</v>
      </c>
    </row>
    <row r="152" spans="1:17" hidden="1" x14ac:dyDescent="0.25">
      <c r="A152" t="str">
        <f t="shared" ref="A152:A159" si="26">"T-"&amp; TEXT(ROW()-1,"000")</f>
        <v>T-151</v>
      </c>
      <c r="B152" s="1">
        <v>46153</v>
      </c>
      <c r="C152" t="s">
        <v>225</v>
      </c>
      <c r="D152" t="s">
        <v>28</v>
      </c>
      <c r="E152" t="s">
        <v>58</v>
      </c>
      <c r="F152">
        <v>232</v>
      </c>
      <c r="G152">
        <v>231</v>
      </c>
      <c r="H152">
        <v>4</v>
      </c>
      <c r="I152">
        <f t="shared" ref="I152:I159" si="27">IF(D152="Long",(F152-G152)*H152,(G152-F152)*0)</f>
        <v>4</v>
      </c>
      <c r="J152">
        <v>1</v>
      </c>
      <c r="K152">
        <f t="shared" si="20"/>
        <v>4</v>
      </c>
      <c r="L152" t="s">
        <v>72</v>
      </c>
      <c r="M152">
        <f>SUMIF(Executions!B:B,A152,Executions!H:H)</f>
        <v>26.559999999999945</v>
      </c>
      <c r="N152">
        <f t="shared" si="21"/>
        <v>6.6399999999999864</v>
      </c>
      <c r="O152">
        <f>Tabla1[[#This Row],[Initial Risk $]]/Tabla1[[#This Row],[Position Size (shares)]]+Tabla1[[#This Row],[Entry Price]]</f>
        <v>233</v>
      </c>
      <c r="P152">
        <f>Tabla1[[#This Row],[Initial Risk $]]/Tabla1[[#This Row],[Position Size (shares)]]*2+Tabla1[[#This Row],[Entry Price]]</f>
        <v>234</v>
      </c>
      <c r="Q152">
        <f>Tabla1[[#This Row],[Initial Risk $]]/Tabla1[[#This Row],[Position Size (shares)]]*3+Tabla1[[#This Row],[Entry Price]]</f>
        <v>235</v>
      </c>
    </row>
    <row r="153" spans="1:17" hidden="1" x14ac:dyDescent="0.25">
      <c r="A153" t="str">
        <f t="shared" si="26"/>
        <v>T-152</v>
      </c>
      <c r="B153" s="1">
        <v>46153</v>
      </c>
      <c r="C153" t="s">
        <v>225</v>
      </c>
      <c r="D153" t="s">
        <v>28</v>
      </c>
      <c r="E153" t="s">
        <v>58</v>
      </c>
      <c r="F153">
        <v>240.53</v>
      </c>
      <c r="G153">
        <v>238.53</v>
      </c>
      <c r="H153">
        <v>4</v>
      </c>
      <c r="I153">
        <f t="shared" si="27"/>
        <v>8</v>
      </c>
      <c r="J153">
        <v>1</v>
      </c>
      <c r="K153">
        <f t="shared" si="20"/>
        <v>8</v>
      </c>
      <c r="L153" t="s">
        <v>72</v>
      </c>
      <c r="M153">
        <f>SUMIF(Executions!B:B,A153,Executions!H:H)</f>
        <v>-8.5600000000000591</v>
      </c>
      <c r="N153">
        <f t="shared" si="21"/>
        <v>-1.0700000000000074</v>
      </c>
      <c r="O153">
        <f>Tabla1[[#This Row],[Initial Risk $]]/Tabla1[[#This Row],[Position Size (shares)]]+Tabla1[[#This Row],[Entry Price]]</f>
        <v>242.53</v>
      </c>
      <c r="P153">
        <f>Tabla1[[#This Row],[Initial Risk $]]/Tabla1[[#This Row],[Position Size (shares)]]*2+Tabla1[[#This Row],[Entry Price]]</f>
        <v>244.53</v>
      </c>
      <c r="Q153">
        <f>Tabla1[[#This Row],[Initial Risk $]]/Tabla1[[#This Row],[Position Size (shares)]]*3+Tabla1[[#This Row],[Entry Price]]</f>
        <v>246.53</v>
      </c>
    </row>
    <row r="154" spans="1:17" hidden="1" x14ac:dyDescent="0.25">
      <c r="A154" t="str">
        <f t="shared" si="26"/>
        <v>T-153</v>
      </c>
      <c r="B154" s="1">
        <v>46153</v>
      </c>
      <c r="C154" t="s">
        <v>317</v>
      </c>
      <c r="D154" t="s">
        <v>28</v>
      </c>
      <c r="E154" t="s">
        <v>58</v>
      </c>
      <c r="F154">
        <v>56.37</v>
      </c>
      <c r="G154">
        <v>55.16</v>
      </c>
      <c r="H154">
        <v>5</v>
      </c>
      <c r="I154">
        <f t="shared" si="27"/>
        <v>6.0500000000000043</v>
      </c>
      <c r="J154">
        <v>1</v>
      </c>
      <c r="K154">
        <f t="shared" si="20"/>
        <v>6.0500000000000043</v>
      </c>
      <c r="L154" t="s">
        <v>72</v>
      </c>
      <c r="M154">
        <f>SUMIF(Executions!B:B,A154,Executions!H:H)</f>
        <v>-6.25</v>
      </c>
      <c r="N154">
        <f t="shared" si="21"/>
        <v>-1.0330578512396686</v>
      </c>
      <c r="O154">
        <f>Tabla1[[#This Row],[Initial Risk $]]/Tabla1[[#This Row],[Position Size (shares)]]+Tabla1[[#This Row],[Entry Price]]</f>
        <v>57.58</v>
      </c>
      <c r="P154">
        <f>Tabla1[[#This Row],[Initial Risk $]]/Tabla1[[#This Row],[Position Size (shares)]]*2+Tabla1[[#This Row],[Entry Price]]</f>
        <v>58.79</v>
      </c>
      <c r="Q154">
        <f>Tabla1[[#This Row],[Initial Risk $]]/Tabla1[[#This Row],[Position Size (shares)]]*3+Tabla1[[#This Row],[Entry Price]]</f>
        <v>60</v>
      </c>
    </row>
    <row r="155" spans="1:17" hidden="1" x14ac:dyDescent="0.25">
      <c r="A155" t="str">
        <f t="shared" si="26"/>
        <v>T-154</v>
      </c>
      <c r="B155" s="1">
        <v>46153</v>
      </c>
      <c r="C155" t="s">
        <v>279</v>
      </c>
      <c r="D155" t="s">
        <v>28</v>
      </c>
      <c r="E155" t="s">
        <v>58</v>
      </c>
      <c r="F155">
        <v>770.31</v>
      </c>
      <c r="G155">
        <v>768.31</v>
      </c>
      <c r="H155">
        <v>2</v>
      </c>
      <c r="I155">
        <f t="shared" si="27"/>
        <v>4</v>
      </c>
      <c r="J155">
        <v>1</v>
      </c>
      <c r="K155">
        <f t="shared" si="20"/>
        <v>4</v>
      </c>
      <c r="L155" t="s">
        <v>72</v>
      </c>
      <c r="M155">
        <f>SUMIF(Executions!B:B,A155,Executions!H:H)</f>
        <v>7.9000000000000909</v>
      </c>
      <c r="N155">
        <f t="shared" si="21"/>
        <v>1.9750000000000227</v>
      </c>
      <c r="O155">
        <f>Tabla1[[#This Row],[Initial Risk $]]/Tabla1[[#This Row],[Position Size (shares)]]+Tabla1[[#This Row],[Entry Price]]</f>
        <v>772.31</v>
      </c>
      <c r="P155">
        <f>Tabla1[[#This Row],[Initial Risk $]]/Tabla1[[#This Row],[Position Size (shares)]]*2+Tabla1[[#This Row],[Entry Price]]</f>
        <v>774.31</v>
      </c>
      <c r="Q155">
        <f>Tabla1[[#This Row],[Initial Risk $]]/Tabla1[[#This Row],[Position Size (shares)]]*3+Tabla1[[#This Row],[Entry Price]]</f>
        <v>776.31</v>
      </c>
    </row>
    <row r="156" spans="1:17" hidden="1" x14ac:dyDescent="0.25">
      <c r="A156" t="str">
        <f t="shared" si="26"/>
        <v>T-155</v>
      </c>
      <c r="B156" s="1">
        <v>46153</v>
      </c>
      <c r="C156" t="s">
        <v>279</v>
      </c>
      <c r="D156" t="s">
        <v>28</v>
      </c>
      <c r="E156" t="s">
        <v>58</v>
      </c>
      <c r="F156">
        <v>787.07</v>
      </c>
      <c r="G156">
        <v>784.07</v>
      </c>
      <c r="H156">
        <v>2</v>
      </c>
      <c r="I156">
        <f t="shared" si="27"/>
        <v>6</v>
      </c>
      <c r="J156">
        <v>1</v>
      </c>
      <c r="K156">
        <f t="shared" si="20"/>
        <v>6</v>
      </c>
      <c r="L156" t="s">
        <v>72</v>
      </c>
      <c r="M156">
        <f>SUMIF(Executions!B:B,A156,Executions!H:H)</f>
        <v>-6.0800000000001546</v>
      </c>
      <c r="N156">
        <f t="shared" si="21"/>
        <v>-1.0133333333333592</v>
      </c>
      <c r="O156">
        <f>Tabla1[[#This Row],[Initial Risk $]]/Tabla1[[#This Row],[Position Size (shares)]]+Tabla1[[#This Row],[Entry Price]]</f>
        <v>790.07</v>
      </c>
      <c r="P156">
        <f>Tabla1[[#This Row],[Initial Risk $]]/Tabla1[[#This Row],[Position Size (shares)]]*2+Tabla1[[#This Row],[Entry Price]]</f>
        <v>793.07</v>
      </c>
      <c r="Q156">
        <f>Tabla1[[#This Row],[Initial Risk $]]/Tabla1[[#This Row],[Position Size (shares)]]*3+Tabla1[[#This Row],[Entry Price]]</f>
        <v>796.07</v>
      </c>
    </row>
    <row r="157" spans="1:17" hidden="1" x14ac:dyDescent="0.25">
      <c r="A157" t="str">
        <f t="shared" si="26"/>
        <v>T-156</v>
      </c>
      <c r="B157" s="1">
        <v>46153</v>
      </c>
      <c r="C157" t="s">
        <v>279</v>
      </c>
      <c r="D157" t="s">
        <v>28</v>
      </c>
      <c r="E157" t="s">
        <v>58</v>
      </c>
      <c r="F157">
        <v>788.75</v>
      </c>
      <c r="G157">
        <v>783.41</v>
      </c>
      <c r="H157">
        <v>2</v>
      </c>
      <c r="I157">
        <f t="shared" si="27"/>
        <v>10.680000000000064</v>
      </c>
      <c r="J157">
        <v>1</v>
      </c>
      <c r="K157">
        <f t="shared" si="20"/>
        <v>10.680000000000064</v>
      </c>
      <c r="L157" t="s">
        <v>72</v>
      </c>
      <c r="M157">
        <f>SUMIF(Executions!B:B,A157,Executions!H:H)</f>
        <v>-10.680000000000064</v>
      </c>
      <c r="N157">
        <f t="shared" si="21"/>
        <v>-1</v>
      </c>
      <c r="O157">
        <f>Tabla1[[#This Row],[Initial Risk $]]/Tabla1[[#This Row],[Position Size (shares)]]+Tabla1[[#This Row],[Entry Price]]</f>
        <v>794.09</v>
      </c>
      <c r="P157">
        <f>Tabla1[[#This Row],[Initial Risk $]]/Tabla1[[#This Row],[Position Size (shares)]]*2+Tabla1[[#This Row],[Entry Price]]</f>
        <v>799.43000000000006</v>
      </c>
      <c r="Q157">
        <f>Tabla1[[#This Row],[Initial Risk $]]/Tabla1[[#This Row],[Position Size (shares)]]*3+Tabla1[[#This Row],[Entry Price]]</f>
        <v>804.7700000000001</v>
      </c>
    </row>
    <row r="158" spans="1:17" hidden="1" x14ac:dyDescent="0.25">
      <c r="A158" t="str">
        <f t="shared" si="26"/>
        <v>T-157</v>
      </c>
      <c r="B158" s="1">
        <v>46153</v>
      </c>
      <c r="C158" t="s">
        <v>225</v>
      </c>
      <c r="D158" t="s">
        <v>28</v>
      </c>
      <c r="E158" t="s">
        <v>58</v>
      </c>
      <c r="F158">
        <v>235.82</v>
      </c>
      <c r="G158">
        <v>231.84</v>
      </c>
      <c r="H158">
        <v>2</v>
      </c>
      <c r="I158">
        <f t="shared" si="27"/>
        <v>7.9599999999999795</v>
      </c>
      <c r="J158">
        <v>1</v>
      </c>
      <c r="K158">
        <f t="shared" si="20"/>
        <v>7.9599999999999795</v>
      </c>
      <c r="L158" t="s">
        <v>72</v>
      </c>
      <c r="M158">
        <f>SUMIF(Executions!B:B,A158,Executions!H:H)</f>
        <v>-8.1999999999999886</v>
      </c>
      <c r="N158">
        <f t="shared" si="21"/>
        <v>-1.0301507537688455</v>
      </c>
      <c r="O158">
        <f>Tabla1[[#This Row],[Initial Risk $]]/Tabla1[[#This Row],[Position Size (shares)]]+Tabla1[[#This Row],[Entry Price]]</f>
        <v>239.79999999999998</v>
      </c>
      <c r="P158">
        <f>Tabla1[[#This Row],[Initial Risk $]]/Tabla1[[#This Row],[Position Size (shares)]]*2+Tabla1[[#This Row],[Entry Price]]</f>
        <v>243.77999999999997</v>
      </c>
      <c r="Q158">
        <f>Tabla1[[#This Row],[Initial Risk $]]/Tabla1[[#This Row],[Position Size (shares)]]*3+Tabla1[[#This Row],[Entry Price]]</f>
        <v>247.75999999999996</v>
      </c>
    </row>
    <row r="159" spans="1:17" hidden="1" x14ac:dyDescent="0.25">
      <c r="A159" t="str">
        <f t="shared" si="26"/>
        <v>T-158</v>
      </c>
      <c r="B159" s="1">
        <v>46153</v>
      </c>
      <c r="C159" t="s">
        <v>323</v>
      </c>
      <c r="D159" t="s">
        <v>28</v>
      </c>
      <c r="E159" t="s">
        <v>60</v>
      </c>
      <c r="F159">
        <v>14.64</v>
      </c>
      <c r="G159">
        <v>14.24</v>
      </c>
      <c r="H159">
        <v>10</v>
      </c>
      <c r="I159">
        <f t="shared" si="27"/>
        <v>4.0000000000000036</v>
      </c>
      <c r="J159">
        <v>1</v>
      </c>
      <c r="K159">
        <f t="shared" si="20"/>
        <v>4.0000000000000036</v>
      </c>
      <c r="L159" t="s">
        <v>72</v>
      </c>
      <c r="M159">
        <f>SUMIF(Executions!B:B,A159,Executions!H:H)</f>
        <v>-4.0000000000000036</v>
      </c>
      <c r="N159">
        <f t="shared" si="21"/>
        <v>-1</v>
      </c>
      <c r="O159">
        <f>Tabla1[[#This Row],[Initial Risk $]]/Tabla1[[#This Row],[Position Size (shares)]]+Tabla1[[#This Row],[Entry Price]]</f>
        <v>15.040000000000001</v>
      </c>
      <c r="P159">
        <f>Tabla1[[#This Row],[Initial Risk $]]/Tabla1[[#This Row],[Position Size (shares)]]*2+Tabla1[[#This Row],[Entry Price]]</f>
        <v>15.440000000000001</v>
      </c>
      <c r="Q159">
        <f>Tabla1[[#This Row],[Initial Risk $]]/Tabla1[[#This Row],[Position Size (shares)]]*3+Tabla1[[#This Row],[Entry Price]]</f>
        <v>15.840000000000002</v>
      </c>
    </row>
    <row r="160" spans="1:17" hidden="1" x14ac:dyDescent="0.25">
      <c r="A160" t="str">
        <f t="shared" ref="A160:A168" si="28">"T-"&amp; TEXT(ROW()-1,"000")</f>
        <v>T-159</v>
      </c>
      <c r="B160" s="1">
        <v>46154</v>
      </c>
      <c r="C160" t="s">
        <v>325</v>
      </c>
      <c r="D160" t="s">
        <v>28</v>
      </c>
      <c r="E160" t="s">
        <v>51</v>
      </c>
      <c r="F160">
        <v>245.5</v>
      </c>
      <c r="G160">
        <v>243.59</v>
      </c>
      <c r="H160">
        <v>4</v>
      </c>
      <c r="I160">
        <f t="shared" ref="I160:I168" si="29">IF(D160="Long",(F160-G160)*H160,(G160-F160)*0)</f>
        <v>7.6399999999999864</v>
      </c>
      <c r="J160">
        <v>1</v>
      </c>
      <c r="K160">
        <f t="shared" si="20"/>
        <v>7.6399999999999864</v>
      </c>
      <c r="L160" t="s">
        <v>72</v>
      </c>
      <c r="M160">
        <f>SUMIF(Executions!B:B,A160,Executions!H:H)</f>
        <v>-7.6399999999999864</v>
      </c>
      <c r="N160">
        <f t="shared" si="21"/>
        <v>-1</v>
      </c>
      <c r="O160">
        <f>Tabla1[[#This Row],[Initial Risk $]]/Tabla1[[#This Row],[Position Size (shares)]]+Tabla1[[#This Row],[Entry Price]]</f>
        <v>247.41</v>
      </c>
      <c r="P160">
        <f>Tabla1[[#This Row],[Initial Risk $]]/Tabla1[[#This Row],[Position Size (shares)]]*2+Tabla1[[#This Row],[Entry Price]]</f>
        <v>249.32</v>
      </c>
      <c r="Q160">
        <f>Tabla1[[#This Row],[Initial Risk $]]/Tabla1[[#This Row],[Position Size (shares)]]*3+Tabla1[[#This Row],[Entry Price]]</f>
        <v>251.23</v>
      </c>
    </row>
    <row r="161" spans="1:17" hidden="1" x14ac:dyDescent="0.25">
      <c r="A161" t="str">
        <f t="shared" si="28"/>
        <v>T-160</v>
      </c>
      <c r="B161" s="1">
        <v>46154</v>
      </c>
      <c r="C161" t="s">
        <v>326</v>
      </c>
      <c r="D161" t="s">
        <v>28</v>
      </c>
      <c r="E161" t="s">
        <v>58</v>
      </c>
      <c r="F161">
        <v>99.69</v>
      </c>
      <c r="G161">
        <v>98.68</v>
      </c>
      <c r="H161">
        <v>4</v>
      </c>
      <c r="I161">
        <f t="shared" si="29"/>
        <v>4.0399999999999636</v>
      </c>
      <c r="J161">
        <v>1</v>
      </c>
      <c r="K161">
        <f t="shared" si="20"/>
        <v>4.0399999999999636</v>
      </c>
      <c r="L161" t="s">
        <v>72</v>
      </c>
      <c r="M161">
        <f>SUMIF(Executions!B:B,A161,Executions!H:H)</f>
        <v>-4.0399999999999636</v>
      </c>
      <c r="N161">
        <f t="shared" si="21"/>
        <v>-1</v>
      </c>
      <c r="O161">
        <f>Tabla1[[#This Row],[Initial Risk $]]/Tabla1[[#This Row],[Position Size (shares)]]+Tabla1[[#This Row],[Entry Price]]</f>
        <v>100.69999999999999</v>
      </c>
      <c r="P161">
        <f>Tabla1[[#This Row],[Initial Risk $]]/Tabla1[[#This Row],[Position Size (shares)]]*2+Tabla1[[#This Row],[Entry Price]]</f>
        <v>101.70999999999998</v>
      </c>
      <c r="Q161">
        <f>Tabla1[[#This Row],[Initial Risk $]]/Tabla1[[#This Row],[Position Size (shares)]]*3+Tabla1[[#This Row],[Entry Price]]</f>
        <v>102.71999999999997</v>
      </c>
    </row>
    <row r="162" spans="1:17" hidden="1" x14ac:dyDescent="0.25">
      <c r="A162" t="str">
        <f t="shared" si="28"/>
        <v>T-161</v>
      </c>
      <c r="B162" s="1">
        <v>46154</v>
      </c>
      <c r="C162" t="s">
        <v>327</v>
      </c>
      <c r="D162" t="s">
        <v>28</v>
      </c>
      <c r="E162" t="s">
        <v>119</v>
      </c>
      <c r="F162">
        <v>178.41</v>
      </c>
      <c r="G162">
        <v>173.75</v>
      </c>
      <c r="H162">
        <v>2</v>
      </c>
      <c r="I162">
        <f t="shared" si="29"/>
        <v>9.3199999999999932</v>
      </c>
      <c r="J162">
        <v>1</v>
      </c>
      <c r="K162">
        <f t="shared" si="20"/>
        <v>9.3199999999999932</v>
      </c>
      <c r="L162" t="s">
        <v>72</v>
      </c>
      <c r="M162">
        <f>SUMIF(Executions!B:B,A162,Executions!H:H)</f>
        <v>-8.1800000000000068</v>
      </c>
      <c r="N162">
        <f t="shared" si="21"/>
        <v>-0.87768240343347781</v>
      </c>
      <c r="O162">
        <f>Tabla1[[#This Row],[Initial Risk $]]/Tabla1[[#This Row],[Position Size (shares)]]+Tabla1[[#This Row],[Entry Price]]</f>
        <v>183.07</v>
      </c>
      <c r="P162">
        <f>Tabla1[[#This Row],[Initial Risk $]]/Tabla1[[#This Row],[Position Size (shares)]]*2+Tabla1[[#This Row],[Entry Price]]</f>
        <v>187.73</v>
      </c>
      <c r="Q162">
        <f>Tabla1[[#This Row],[Initial Risk $]]/Tabla1[[#This Row],[Position Size (shares)]]*3+Tabla1[[#This Row],[Entry Price]]</f>
        <v>192.39</v>
      </c>
    </row>
    <row r="163" spans="1:17" hidden="1" x14ac:dyDescent="0.25">
      <c r="A163" t="str">
        <f t="shared" si="28"/>
        <v>T-162</v>
      </c>
      <c r="B163" s="1">
        <v>46154</v>
      </c>
      <c r="C163" t="s">
        <v>328</v>
      </c>
      <c r="D163" t="s">
        <v>28</v>
      </c>
      <c r="E163" t="s">
        <v>51</v>
      </c>
      <c r="F163">
        <v>12.72</v>
      </c>
      <c r="G163">
        <v>12.64</v>
      </c>
      <c r="H163">
        <v>20</v>
      </c>
      <c r="I163">
        <f t="shared" si="29"/>
        <v>1.6000000000000014</v>
      </c>
      <c r="J163">
        <v>1</v>
      </c>
      <c r="K163">
        <f t="shared" si="20"/>
        <v>1.6000000000000014</v>
      </c>
      <c r="L163" t="s">
        <v>72</v>
      </c>
      <c r="M163">
        <f>SUMIF(Executions!B:B,A163,Executions!H:H)</f>
        <v>-1.6000000000000014</v>
      </c>
      <c r="N163">
        <f t="shared" si="21"/>
        <v>-1</v>
      </c>
      <c r="O163">
        <f>Tabla1[[#This Row],[Initial Risk $]]/Tabla1[[#This Row],[Position Size (shares)]]+Tabla1[[#This Row],[Entry Price]]</f>
        <v>12.8</v>
      </c>
      <c r="P163">
        <f>Tabla1[[#This Row],[Initial Risk $]]/Tabla1[[#This Row],[Position Size (shares)]]*2+Tabla1[[#This Row],[Entry Price]]</f>
        <v>12.88</v>
      </c>
      <c r="Q163">
        <f>Tabla1[[#This Row],[Initial Risk $]]/Tabla1[[#This Row],[Position Size (shares)]]*3+Tabla1[[#This Row],[Entry Price]]</f>
        <v>12.96</v>
      </c>
    </row>
    <row r="164" spans="1:17" hidden="1" x14ac:dyDescent="0.25">
      <c r="A164" t="str">
        <f t="shared" si="28"/>
        <v>T-163</v>
      </c>
      <c r="B164" s="1">
        <v>46154</v>
      </c>
      <c r="C164" t="s">
        <v>325</v>
      </c>
      <c r="D164" t="s">
        <v>28</v>
      </c>
      <c r="E164" t="s">
        <v>51</v>
      </c>
      <c r="F164">
        <v>245.48</v>
      </c>
      <c r="G164">
        <v>243.48</v>
      </c>
      <c r="H164">
        <v>4</v>
      </c>
      <c r="I164">
        <f t="shared" si="29"/>
        <v>8</v>
      </c>
      <c r="J164">
        <v>1</v>
      </c>
      <c r="K164">
        <f t="shared" si="20"/>
        <v>8</v>
      </c>
      <c r="L164" t="s">
        <v>72</v>
      </c>
      <c r="M164">
        <f>SUMIF(Executions!B:B,A164,Executions!H:H)</f>
        <v>52.840000000000032</v>
      </c>
      <c r="N164">
        <f t="shared" si="21"/>
        <v>6.605000000000004</v>
      </c>
      <c r="O164">
        <f>Tabla1[[#This Row],[Initial Risk $]]/Tabla1[[#This Row],[Position Size (shares)]]+Tabla1[[#This Row],[Entry Price]]</f>
        <v>247.48</v>
      </c>
      <c r="P164">
        <f>Tabla1[[#This Row],[Initial Risk $]]/Tabla1[[#This Row],[Position Size (shares)]]*2+Tabla1[[#This Row],[Entry Price]]</f>
        <v>249.48</v>
      </c>
      <c r="Q164">
        <f>Tabla1[[#This Row],[Initial Risk $]]/Tabla1[[#This Row],[Position Size (shares)]]*3+Tabla1[[#This Row],[Entry Price]]</f>
        <v>251.48</v>
      </c>
    </row>
    <row r="165" spans="1:17" hidden="1" x14ac:dyDescent="0.25">
      <c r="A165" t="str">
        <f t="shared" si="28"/>
        <v>T-164</v>
      </c>
      <c r="B165" s="1">
        <v>46154</v>
      </c>
      <c r="C165" t="s">
        <v>279</v>
      </c>
      <c r="D165" t="s">
        <v>28</v>
      </c>
      <c r="E165" t="s">
        <v>58</v>
      </c>
      <c r="F165">
        <v>773.49</v>
      </c>
      <c r="G165">
        <v>767.49</v>
      </c>
      <c r="H165">
        <v>2</v>
      </c>
      <c r="I165">
        <f t="shared" si="29"/>
        <v>12</v>
      </c>
      <c r="J165">
        <v>1</v>
      </c>
      <c r="K165">
        <f t="shared" si="20"/>
        <v>12</v>
      </c>
      <c r="L165" t="s">
        <v>72</v>
      </c>
      <c r="M165">
        <f>SUMIF(Executions!B:B,A165,Executions!H:H)</f>
        <v>-11.740000000000009</v>
      </c>
      <c r="N165">
        <f t="shared" si="21"/>
        <v>-0.97833333333333405</v>
      </c>
      <c r="O165">
        <f>Tabla1[[#This Row],[Initial Risk $]]/Tabla1[[#This Row],[Position Size (shares)]]+Tabla1[[#This Row],[Entry Price]]</f>
        <v>779.49</v>
      </c>
      <c r="P165">
        <f>Tabla1[[#This Row],[Initial Risk $]]/Tabla1[[#This Row],[Position Size (shares)]]*2+Tabla1[[#This Row],[Entry Price]]</f>
        <v>785.49</v>
      </c>
      <c r="Q165">
        <f>Tabla1[[#This Row],[Initial Risk $]]/Tabla1[[#This Row],[Position Size (shares)]]*3+Tabla1[[#This Row],[Entry Price]]</f>
        <v>791.49</v>
      </c>
    </row>
    <row r="166" spans="1:17" hidden="1" x14ac:dyDescent="0.25">
      <c r="A166" t="str">
        <f t="shared" si="28"/>
        <v>T-165</v>
      </c>
      <c r="B166" s="1">
        <v>46154</v>
      </c>
      <c r="C166" t="s">
        <v>279</v>
      </c>
      <c r="D166" t="s">
        <v>28</v>
      </c>
      <c r="E166" t="s">
        <v>58</v>
      </c>
      <c r="F166">
        <v>764.87</v>
      </c>
      <c r="G166">
        <v>760.87</v>
      </c>
      <c r="H166">
        <v>2</v>
      </c>
      <c r="I166">
        <f t="shared" si="29"/>
        <v>8</v>
      </c>
      <c r="J166">
        <v>1</v>
      </c>
      <c r="K166">
        <f t="shared" si="20"/>
        <v>8</v>
      </c>
      <c r="L166" t="s">
        <v>72</v>
      </c>
      <c r="M166">
        <f>SUMIF(Executions!B:B,A166,Executions!H:H)</f>
        <v>-8.2400000000000091</v>
      </c>
      <c r="N166">
        <f t="shared" si="21"/>
        <v>-1.0300000000000011</v>
      </c>
      <c r="O166">
        <f>Tabla1[[#This Row],[Initial Risk $]]/Tabla1[[#This Row],[Position Size (shares)]]+Tabla1[[#This Row],[Entry Price]]</f>
        <v>768.87</v>
      </c>
      <c r="P166">
        <f>Tabla1[[#This Row],[Initial Risk $]]/Tabla1[[#This Row],[Position Size (shares)]]*2+Tabla1[[#This Row],[Entry Price]]</f>
        <v>772.87</v>
      </c>
      <c r="Q166">
        <f>Tabla1[[#This Row],[Initial Risk $]]/Tabla1[[#This Row],[Position Size (shares)]]*3+Tabla1[[#This Row],[Entry Price]]</f>
        <v>776.87</v>
      </c>
    </row>
    <row r="167" spans="1:17" hidden="1" x14ac:dyDescent="0.25">
      <c r="A167" t="str">
        <f t="shared" si="28"/>
        <v>T-166</v>
      </c>
      <c r="B167" s="1">
        <v>46154</v>
      </c>
      <c r="C167" t="s">
        <v>279</v>
      </c>
      <c r="D167" t="s">
        <v>28</v>
      </c>
      <c r="E167" t="s">
        <v>58</v>
      </c>
      <c r="F167">
        <v>765.2</v>
      </c>
      <c r="G167">
        <v>758.2</v>
      </c>
      <c r="H167">
        <v>2</v>
      </c>
      <c r="I167">
        <f t="shared" si="29"/>
        <v>14</v>
      </c>
      <c r="J167">
        <v>1</v>
      </c>
      <c r="K167">
        <f t="shared" si="20"/>
        <v>14</v>
      </c>
      <c r="L167" t="s">
        <v>72</v>
      </c>
      <c r="M167">
        <f>SUMIF(Executions!B:B,A167,Executions!H:H)</f>
        <v>-14</v>
      </c>
      <c r="N167">
        <f t="shared" si="21"/>
        <v>-1</v>
      </c>
      <c r="O167">
        <f>Tabla1[[#This Row],[Initial Risk $]]/Tabla1[[#This Row],[Position Size (shares)]]+Tabla1[[#This Row],[Entry Price]]</f>
        <v>772.2</v>
      </c>
      <c r="P167">
        <f>Tabla1[[#This Row],[Initial Risk $]]/Tabla1[[#This Row],[Position Size (shares)]]*2+Tabla1[[#This Row],[Entry Price]]</f>
        <v>779.2</v>
      </c>
      <c r="Q167">
        <f>Tabla1[[#This Row],[Initial Risk $]]/Tabla1[[#This Row],[Position Size (shares)]]*3+Tabla1[[#This Row],[Entry Price]]</f>
        <v>786.2</v>
      </c>
    </row>
    <row r="168" spans="1:17" hidden="1" x14ac:dyDescent="0.25">
      <c r="A168" t="str">
        <f t="shared" si="28"/>
        <v>T-167</v>
      </c>
      <c r="B168" s="1">
        <v>46154</v>
      </c>
      <c r="C168" t="s">
        <v>328</v>
      </c>
      <c r="D168" t="s">
        <v>28</v>
      </c>
      <c r="E168" t="s">
        <v>51</v>
      </c>
      <c r="F168">
        <v>11.6</v>
      </c>
      <c r="G168">
        <v>11.1</v>
      </c>
      <c r="H168">
        <v>8</v>
      </c>
      <c r="I168">
        <f t="shared" si="29"/>
        <v>4</v>
      </c>
      <c r="J168">
        <v>1</v>
      </c>
      <c r="K168">
        <f t="shared" si="20"/>
        <v>4</v>
      </c>
      <c r="L168" t="s">
        <v>72</v>
      </c>
      <c r="M168">
        <f>SUMIF(Executions!B:B,A168,Executions!H:H)</f>
        <v>-4.1599999999999966</v>
      </c>
      <c r="N168">
        <f t="shared" si="21"/>
        <v>-1.0399999999999991</v>
      </c>
      <c r="O168">
        <f>Tabla1[[#This Row],[Initial Risk $]]/Tabla1[[#This Row],[Position Size (shares)]]+Tabla1[[#This Row],[Entry Price]]</f>
        <v>12.1</v>
      </c>
      <c r="P168">
        <f>Tabla1[[#This Row],[Initial Risk $]]/Tabla1[[#This Row],[Position Size (shares)]]*2+Tabla1[[#This Row],[Entry Price]]</f>
        <v>12.6</v>
      </c>
      <c r="Q168">
        <f>Tabla1[[#This Row],[Initial Risk $]]/Tabla1[[#This Row],[Position Size (shares)]]*3+Tabla1[[#This Row],[Entry Price]]</f>
        <v>13.1</v>
      </c>
    </row>
    <row r="169" spans="1:17" hidden="1" x14ac:dyDescent="0.25">
      <c r="A169" t="str">
        <f t="shared" ref="A169:A178" si="30">"T-"&amp; TEXT(ROW()-1,"000")</f>
        <v>T-168</v>
      </c>
      <c r="B169" s="1">
        <v>46155</v>
      </c>
      <c r="C169" t="s">
        <v>279</v>
      </c>
      <c r="D169" t="s">
        <v>28</v>
      </c>
      <c r="E169" t="s">
        <v>58</v>
      </c>
      <c r="F169">
        <v>805</v>
      </c>
      <c r="G169">
        <v>802</v>
      </c>
      <c r="H169">
        <v>2</v>
      </c>
      <c r="I169">
        <f t="shared" ref="I169:I178" si="31">IF(D169="Long",(F169-G169)*H169,(G169-F169)*0)</f>
        <v>6</v>
      </c>
      <c r="J169">
        <v>1</v>
      </c>
      <c r="K169">
        <f t="shared" si="20"/>
        <v>6</v>
      </c>
      <c r="L169" t="s">
        <v>72</v>
      </c>
      <c r="M169">
        <f>SUMIF(Executions!B:B,A169,Executions!H:H)</f>
        <v>-6</v>
      </c>
      <c r="N169">
        <f t="shared" si="21"/>
        <v>-1</v>
      </c>
      <c r="O169">
        <f>Tabla1[[#This Row],[Initial Risk $]]/Tabla1[[#This Row],[Position Size (shares)]]+Tabla1[[#This Row],[Entry Price]]</f>
        <v>808</v>
      </c>
      <c r="P169">
        <f>Tabla1[[#This Row],[Initial Risk $]]/Tabla1[[#This Row],[Position Size (shares)]]*2+Tabla1[[#This Row],[Entry Price]]</f>
        <v>811</v>
      </c>
      <c r="Q169">
        <f>Tabla1[[#This Row],[Initial Risk $]]/Tabla1[[#This Row],[Position Size (shares)]]*3+Tabla1[[#This Row],[Entry Price]]</f>
        <v>814</v>
      </c>
    </row>
    <row r="170" spans="1:17" hidden="1" x14ac:dyDescent="0.25">
      <c r="A170" t="str">
        <f t="shared" si="30"/>
        <v>T-169</v>
      </c>
      <c r="B170" s="1">
        <v>46155</v>
      </c>
      <c r="C170" t="s">
        <v>164</v>
      </c>
      <c r="D170" t="s">
        <v>28</v>
      </c>
      <c r="E170" t="s">
        <v>58</v>
      </c>
      <c r="F170">
        <v>224.84</v>
      </c>
      <c r="G170">
        <v>223.84</v>
      </c>
      <c r="H170">
        <v>4</v>
      </c>
      <c r="I170">
        <f t="shared" si="31"/>
        <v>4</v>
      </c>
      <c r="J170">
        <v>1</v>
      </c>
      <c r="K170">
        <f t="shared" si="20"/>
        <v>4</v>
      </c>
      <c r="L170" t="s">
        <v>72</v>
      </c>
      <c r="M170">
        <f>SUMIF(Executions!B:B,A170,Executions!H:H)</f>
        <v>-4</v>
      </c>
      <c r="N170">
        <f t="shared" si="21"/>
        <v>-1</v>
      </c>
      <c r="O170">
        <f>Tabla1[[#This Row],[Initial Risk $]]/Tabla1[[#This Row],[Position Size (shares)]]+Tabla1[[#This Row],[Entry Price]]</f>
        <v>225.84</v>
      </c>
      <c r="P170">
        <f>Tabla1[[#This Row],[Initial Risk $]]/Tabla1[[#This Row],[Position Size (shares)]]*2+Tabla1[[#This Row],[Entry Price]]</f>
        <v>226.84</v>
      </c>
      <c r="Q170">
        <f>Tabla1[[#This Row],[Initial Risk $]]/Tabla1[[#This Row],[Position Size (shares)]]*3+Tabla1[[#This Row],[Entry Price]]</f>
        <v>227.84</v>
      </c>
    </row>
    <row r="171" spans="1:17" hidden="1" x14ac:dyDescent="0.25">
      <c r="A171" t="str">
        <f t="shared" si="30"/>
        <v>T-170</v>
      </c>
      <c r="B171" s="1">
        <v>46155</v>
      </c>
      <c r="C171" t="s">
        <v>341</v>
      </c>
      <c r="D171" t="s">
        <v>28</v>
      </c>
      <c r="E171" t="s">
        <v>58</v>
      </c>
      <c r="F171">
        <v>305.64999999999998</v>
      </c>
      <c r="G171">
        <v>303.39</v>
      </c>
      <c r="H171">
        <v>3</v>
      </c>
      <c r="I171">
        <f t="shared" si="31"/>
        <v>6.7799999999999727</v>
      </c>
      <c r="J171">
        <v>1</v>
      </c>
      <c r="K171">
        <f t="shared" si="20"/>
        <v>6.7799999999999727</v>
      </c>
      <c r="L171" t="s">
        <v>72</v>
      </c>
      <c r="M171">
        <f>SUMIF(Executions!B:B,A171,Executions!H:H)</f>
        <v>8.310000000000116</v>
      </c>
      <c r="N171">
        <f t="shared" si="21"/>
        <v>1.2256637168141813</v>
      </c>
      <c r="O171">
        <f>Tabla1[[#This Row],[Initial Risk $]]/Tabla1[[#This Row],[Position Size (shares)]]+Tabla1[[#This Row],[Entry Price]]</f>
        <v>307.90999999999997</v>
      </c>
      <c r="P171">
        <f>Tabla1[[#This Row],[Initial Risk $]]/Tabla1[[#This Row],[Position Size (shares)]]*2+Tabla1[[#This Row],[Entry Price]]</f>
        <v>310.16999999999996</v>
      </c>
      <c r="Q171">
        <f>Tabla1[[#This Row],[Initial Risk $]]/Tabla1[[#This Row],[Position Size (shares)]]*3+Tabla1[[#This Row],[Entry Price]]</f>
        <v>312.42999999999995</v>
      </c>
    </row>
    <row r="172" spans="1:17" hidden="1" x14ac:dyDescent="0.25">
      <c r="A172" t="str">
        <f t="shared" si="30"/>
        <v>T-171</v>
      </c>
      <c r="B172" s="1">
        <v>46155</v>
      </c>
      <c r="C172" t="s">
        <v>279</v>
      </c>
      <c r="D172" t="s">
        <v>28</v>
      </c>
      <c r="E172" t="s">
        <v>58</v>
      </c>
      <c r="F172">
        <v>798.56</v>
      </c>
      <c r="G172">
        <v>795.56</v>
      </c>
      <c r="H172">
        <v>4</v>
      </c>
      <c r="I172">
        <f t="shared" si="31"/>
        <v>12</v>
      </c>
      <c r="J172">
        <v>1</v>
      </c>
      <c r="K172">
        <f t="shared" si="20"/>
        <v>12</v>
      </c>
      <c r="L172" t="s">
        <v>72</v>
      </c>
      <c r="M172">
        <f>SUMIF(Executions!B:B,A172,Executions!H:H)</f>
        <v>40.870000000000118</v>
      </c>
      <c r="N172">
        <f t="shared" si="21"/>
        <v>3.405833333333343</v>
      </c>
      <c r="O172">
        <f>Tabla1[[#This Row],[Initial Risk $]]/Tabla1[[#This Row],[Position Size (shares)]]+Tabla1[[#This Row],[Entry Price]]</f>
        <v>801.56</v>
      </c>
      <c r="P172">
        <f>Tabla1[[#This Row],[Initial Risk $]]/Tabla1[[#This Row],[Position Size (shares)]]*2+Tabla1[[#This Row],[Entry Price]]</f>
        <v>804.56</v>
      </c>
      <c r="Q172">
        <f>Tabla1[[#This Row],[Initial Risk $]]/Tabla1[[#This Row],[Position Size (shares)]]*3+Tabla1[[#This Row],[Entry Price]]</f>
        <v>807.56</v>
      </c>
    </row>
    <row r="173" spans="1:17" hidden="1" x14ac:dyDescent="0.25">
      <c r="A173" t="str">
        <f t="shared" si="30"/>
        <v>T-172</v>
      </c>
      <c r="B173" s="1">
        <v>46156</v>
      </c>
      <c r="C173" t="s">
        <v>279</v>
      </c>
      <c r="D173" t="s">
        <v>28</v>
      </c>
      <c r="E173" t="s">
        <v>58</v>
      </c>
      <c r="F173">
        <v>787.72</v>
      </c>
      <c r="G173">
        <v>786.5</v>
      </c>
      <c r="H173">
        <v>2</v>
      </c>
      <c r="I173">
        <f t="shared" si="31"/>
        <v>2.4400000000000546</v>
      </c>
      <c r="J173">
        <v>1</v>
      </c>
      <c r="K173">
        <f t="shared" si="20"/>
        <v>2.4400000000000546</v>
      </c>
      <c r="L173" t="s">
        <v>72</v>
      </c>
      <c r="M173">
        <f>SUMIF(Executions!B:B,A173,Executions!H:H)</f>
        <v>-2.4400000000000546</v>
      </c>
      <c r="N173">
        <f t="shared" si="21"/>
        <v>-1</v>
      </c>
      <c r="O173">
        <f>Tabla1[[#This Row],[Initial Risk $]]/Tabla1[[#This Row],[Position Size (shares)]]+Tabla1[[#This Row],[Entry Price]]</f>
        <v>788.94</v>
      </c>
      <c r="P173">
        <f>Tabla1[[#This Row],[Initial Risk $]]/Tabla1[[#This Row],[Position Size (shares)]]*2+Tabla1[[#This Row],[Entry Price]]</f>
        <v>790.16000000000008</v>
      </c>
      <c r="Q173">
        <f>Tabla1[[#This Row],[Initial Risk $]]/Tabla1[[#This Row],[Position Size (shares)]]*3+Tabla1[[#This Row],[Entry Price]]</f>
        <v>791.38000000000011</v>
      </c>
    </row>
    <row r="174" spans="1:17" hidden="1" x14ac:dyDescent="0.25">
      <c r="A174" t="str">
        <f t="shared" si="30"/>
        <v>T-173</v>
      </c>
      <c r="B174" s="1">
        <v>46156</v>
      </c>
      <c r="C174" t="s">
        <v>164</v>
      </c>
      <c r="D174" t="s">
        <v>28</v>
      </c>
      <c r="E174" t="s">
        <v>58</v>
      </c>
      <c r="F174">
        <v>230</v>
      </c>
      <c r="G174">
        <v>229</v>
      </c>
      <c r="H174">
        <v>4</v>
      </c>
      <c r="I174">
        <f t="shared" si="31"/>
        <v>4</v>
      </c>
      <c r="J174">
        <v>1</v>
      </c>
      <c r="K174">
        <f t="shared" si="20"/>
        <v>4</v>
      </c>
      <c r="L174" t="s">
        <v>72</v>
      </c>
      <c r="M174">
        <f>SUMIF(Executions!B:B,A174,Executions!H:H)</f>
        <v>20.240000000000009</v>
      </c>
      <c r="N174">
        <f t="shared" si="21"/>
        <v>5.0600000000000023</v>
      </c>
      <c r="O174">
        <f>Tabla1[[#This Row],[Initial Risk $]]/Tabla1[[#This Row],[Position Size (shares)]]+Tabla1[[#This Row],[Entry Price]]</f>
        <v>231</v>
      </c>
      <c r="P174">
        <f>Tabla1[[#This Row],[Initial Risk $]]/Tabla1[[#This Row],[Position Size (shares)]]*2+Tabla1[[#This Row],[Entry Price]]</f>
        <v>232</v>
      </c>
      <c r="Q174">
        <f>Tabla1[[#This Row],[Initial Risk $]]/Tabla1[[#This Row],[Position Size (shares)]]*3+Tabla1[[#This Row],[Entry Price]]</f>
        <v>233</v>
      </c>
    </row>
    <row r="175" spans="1:17" hidden="1" x14ac:dyDescent="0.25">
      <c r="A175" t="str">
        <f t="shared" si="30"/>
        <v>T-174</v>
      </c>
      <c r="B175" s="1">
        <v>46156</v>
      </c>
      <c r="C175" t="s">
        <v>348</v>
      </c>
      <c r="D175" t="s">
        <v>28</v>
      </c>
      <c r="E175" t="s">
        <v>58</v>
      </c>
      <c r="F175">
        <v>115</v>
      </c>
      <c r="G175">
        <v>113.51</v>
      </c>
      <c r="H175">
        <v>3</v>
      </c>
      <c r="I175">
        <f t="shared" si="31"/>
        <v>4.4699999999999847</v>
      </c>
      <c r="J175">
        <v>1</v>
      </c>
      <c r="K175">
        <f t="shared" si="20"/>
        <v>4.4699999999999847</v>
      </c>
      <c r="L175" t="s">
        <v>72</v>
      </c>
      <c r="M175">
        <f>SUMIF(Executions!B:B,A175,Executions!H:H)</f>
        <v>-4.9799999999999898</v>
      </c>
      <c r="N175">
        <f t="shared" si="21"/>
        <v>-1.1140939597315451</v>
      </c>
      <c r="O175">
        <f>Tabla1[[#This Row],[Initial Risk $]]/Tabla1[[#This Row],[Position Size (shares)]]+Tabla1[[#This Row],[Entry Price]]</f>
        <v>116.49</v>
      </c>
      <c r="P175">
        <f>Tabla1[[#This Row],[Initial Risk $]]/Tabla1[[#This Row],[Position Size (shares)]]*2+Tabla1[[#This Row],[Entry Price]]</f>
        <v>117.97999999999999</v>
      </c>
      <c r="Q175">
        <f>Tabla1[[#This Row],[Initial Risk $]]/Tabla1[[#This Row],[Position Size (shares)]]*3+Tabla1[[#This Row],[Entry Price]]</f>
        <v>119.46999999999998</v>
      </c>
    </row>
    <row r="176" spans="1:17" hidden="1" x14ac:dyDescent="0.25">
      <c r="A176" t="str">
        <f t="shared" si="30"/>
        <v>T-175</v>
      </c>
      <c r="B176" s="1">
        <v>46156</v>
      </c>
      <c r="C176" t="s">
        <v>279</v>
      </c>
      <c r="D176" t="s">
        <v>28</v>
      </c>
      <c r="E176" t="s">
        <v>58</v>
      </c>
      <c r="F176">
        <v>803.79</v>
      </c>
      <c r="G176">
        <v>801.62</v>
      </c>
      <c r="H176">
        <v>2</v>
      </c>
      <c r="I176">
        <f t="shared" si="31"/>
        <v>4.3399999999999181</v>
      </c>
      <c r="J176">
        <v>1</v>
      </c>
      <c r="K176">
        <f t="shared" si="20"/>
        <v>4.3399999999999181</v>
      </c>
      <c r="L176" t="s">
        <v>72</v>
      </c>
      <c r="M176">
        <f>SUMIF(Executions!B:B,A176,Executions!H:H)</f>
        <v>-4</v>
      </c>
      <c r="N176">
        <f t="shared" si="21"/>
        <v>-0.92165898617513264</v>
      </c>
      <c r="O176">
        <f>Tabla1[[#This Row],[Initial Risk $]]/Tabla1[[#This Row],[Position Size (shares)]]+Tabla1[[#This Row],[Entry Price]]</f>
        <v>805.95999999999992</v>
      </c>
      <c r="P176">
        <f>Tabla1[[#This Row],[Initial Risk $]]/Tabla1[[#This Row],[Position Size (shares)]]*2+Tabla1[[#This Row],[Entry Price]]</f>
        <v>808.12999999999988</v>
      </c>
      <c r="Q176">
        <f>Tabla1[[#This Row],[Initial Risk $]]/Tabla1[[#This Row],[Position Size (shares)]]*3+Tabla1[[#This Row],[Entry Price]]</f>
        <v>810.29999999999984</v>
      </c>
    </row>
    <row r="177" spans="1:17" hidden="1" x14ac:dyDescent="0.25">
      <c r="A177" t="str">
        <f t="shared" si="30"/>
        <v>T-176</v>
      </c>
      <c r="B177" s="1">
        <v>46156</v>
      </c>
      <c r="C177" t="s">
        <v>154</v>
      </c>
      <c r="D177" t="s">
        <v>28</v>
      </c>
      <c r="E177" t="s">
        <v>58</v>
      </c>
      <c r="F177">
        <v>394.62</v>
      </c>
      <c r="G177">
        <v>393.62</v>
      </c>
      <c r="H177">
        <v>3</v>
      </c>
      <c r="I177">
        <f t="shared" si="31"/>
        <v>3</v>
      </c>
      <c r="J177">
        <v>1</v>
      </c>
      <c r="K177">
        <f t="shared" si="20"/>
        <v>3</v>
      </c>
      <c r="L177" t="s">
        <v>72</v>
      </c>
      <c r="M177">
        <f>SUMIF(Executions!B:B,A177,Executions!H:H)</f>
        <v>-3.0900000000000887</v>
      </c>
      <c r="N177">
        <f t="shared" si="21"/>
        <v>-1.0300000000000296</v>
      </c>
      <c r="O177">
        <f>Tabla1[[#This Row],[Initial Risk $]]/Tabla1[[#This Row],[Position Size (shares)]]+Tabla1[[#This Row],[Entry Price]]</f>
        <v>395.62</v>
      </c>
      <c r="P177">
        <f>Tabla1[[#This Row],[Initial Risk $]]/Tabla1[[#This Row],[Position Size (shares)]]*2+Tabla1[[#This Row],[Entry Price]]</f>
        <v>396.62</v>
      </c>
      <c r="Q177">
        <f>Tabla1[[#This Row],[Initial Risk $]]/Tabla1[[#This Row],[Position Size (shares)]]*3+Tabla1[[#This Row],[Entry Price]]</f>
        <v>397.62</v>
      </c>
    </row>
    <row r="178" spans="1:17" hidden="1" x14ac:dyDescent="0.25">
      <c r="A178" t="str">
        <f t="shared" si="30"/>
        <v>T-177</v>
      </c>
      <c r="B178" s="1">
        <v>46156</v>
      </c>
      <c r="C178" t="s">
        <v>279</v>
      </c>
      <c r="D178" t="s">
        <v>28</v>
      </c>
      <c r="E178" t="s">
        <v>58</v>
      </c>
      <c r="F178">
        <v>791.2</v>
      </c>
      <c r="G178">
        <v>787.2</v>
      </c>
      <c r="H178">
        <v>2</v>
      </c>
      <c r="I178">
        <f t="shared" si="31"/>
        <v>8</v>
      </c>
      <c r="J178">
        <v>1</v>
      </c>
      <c r="K178">
        <f t="shared" si="20"/>
        <v>8</v>
      </c>
      <c r="L178" t="s">
        <v>72</v>
      </c>
      <c r="M178">
        <f>SUMIF(Executions!B:B,A178,Executions!H:H)</f>
        <v>-8</v>
      </c>
      <c r="N178">
        <f t="shared" si="21"/>
        <v>-1</v>
      </c>
      <c r="O178">
        <f>Tabla1[[#This Row],[Initial Risk $]]/Tabla1[[#This Row],[Position Size (shares)]]+Tabla1[[#This Row],[Entry Price]]</f>
        <v>795.2</v>
      </c>
      <c r="P178">
        <f>Tabla1[[#This Row],[Initial Risk $]]/Tabla1[[#This Row],[Position Size (shares)]]*2+Tabla1[[#This Row],[Entry Price]]</f>
        <v>799.2</v>
      </c>
      <c r="Q178">
        <f>Tabla1[[#This Row],[Initial Risk $]]/Tabla1[[#This Row],[Position Size (shares)]]*3+Tabla1[[#This Row],[Entry Price]]</f>
        <v>803.2</v>
      </c>
    </row>
    <row r="179" spans="1:17" hidden="1" x14ac:dyDescent="0.25">
      <c r="A179" t="str">
        <f t="shared" ref="A179:A184" si="32">"T-"&amp; TEXT(ROW()-1,"000")</f>
        <v>T-178</v>
      </c>
      <c r="B179" s="1">
        <v>46157</v>
      </c>
      <c r="C179" t="s">
        <v>145</v>
      </c>
      <c r="D179" t="s">
        <v>28</v>
      </c>
      <c r="E179" t="s">
        <v>58</v>
      </c>
      <c r="F179">
        <v>132.16</v>
      </c>
      <c r="G179">
        <v>131.16</v>
      </c>
      <c r="H179">
        <v>4</v>
      </c>
      <c r="I179">
        <f t="shared" ref="I179:I184" si="33">IF(D179="Long",(F179-G179)*H179,(G179-F179)*0)</f>
        <v>4</v>
      </c>
      <c r="J179">
        <v>1</v>
      </c>
      <c r="K179">
        <f t="shared" si="20"/>
        <v>4</v>
      </c>
      <c r="L179" t="s">
        <v>72</v>
      </c>
      <c r="M179">
        <f>SUMIF(Executions!B:B,A179,Executions!H:H)</f>
        <v>-4.1200000000000045</v>
      </c>
      <c r="N179">
        <f t="shared" si="21"/>
        <v>-1.0300000000000011</v>
      </c>
      <c r="O179">
        <f>Tabla1[[#This Row],[Initial Risk $]]/Tabla1[[#This Row],[Position Size (shares)]]+Tabla1[[#This Row],[Entry Price]]</f>
        <v>133.16</v>
      </c>
      <c r="P179">
        <f>Tabla1[[#This Row],[Initial Risk $]]/Tabla1[[#This Row],[Position Size (shares)]]*2+Tabla1[[#This Row],[Entry Price]]</f>
        <v>134.16</v>
      </c>
      <c r="Q179">
        <f>Tabla1[[#This Row],[Initial Risk $]]/Tabla1[[#This Row],[Position Size (shares)]]*3+Tabla1[[#This Row],[Entry Price]]</f>
        <v>135.16</v>
      </c>
    </row>
    <row r="180" spans="1:17" hidden="1" x14ac:dyDescent="0.25">
      <c r="A180" t="str">
        <f t="shared" si="32"/>
        <v>T-179</v>
      </c>
      <c r="B180" s="1">
        <v>46157</v>
      </c>
      <c r="C180" t="s">
        <v>279</v>
      </c>
      <c r="D180" t="s">
        <v>28</v>
      </c>
      <c r="E180" t="s">
        <v>49</v>
      </c>
      <c r="F180">
        <v>728.11</v>
      </c>
      <c r="G180">
        <v>725.34</v>
      </c>
      <c r="H180">
        <v>2</v>
      </c>
      <c r="I180">
        <f t="shared" si="33"/>
        <v>5.5399999999999636</v>
      </c>
      <c r="J180">
        <v>1</v>
      </c>
      <c r="K180">
        <f t="shared" si="20"/>
        <v>5.5399999999999636</v>
      </c>
      <c r="L180" t="s">
        <v>72</v>
      </c>
      <c r="M180">
        <f>SUMIF(Executions!B:B,A180,Executions!H:H)</f>
        <v>-5.5399999999999636</v>
      </c>
      <c r="N180">
        <f t="shared" si="21"/>
        <v>-1</v>
      </c>
      <c r="O180">
        <f>Tabla1[[#This Row],[Initial Risk $]]/Tabla1[[#This Row],[Position Size (shares)]]+Tabla1[[#This Row],[Entry Price]]</f>
        <v>730.88</v>
      </c>
      <c r="P180">
        <f>Tabla1[[#This Row],[Initial Risk $]]/Tabla1[[#This Row],[Position Size (shares)]]*2+Tabla1[[#This Row],[Entry Price]]</f>
        <v>733.65</v>
      </c>
      <c r="Q180">
        <f>Tabla1[[#This Row],[Initial Risk $]]/Tabla1[[#This Row],[Position Size (shares)]]*3+Tabla1[[#This Row],[Entry Price]]</f>
        <v>736.42</v>
      </c>
    </row>
    <row r="181" spans="1:17" hidden="1" x14ac:dyDescent="0.25">
      <c r="A181" t="str">
        <f t="shared" si="32"/>
        <v>T-180</v>
      </c>
      <c r="B181" s="1">
        <v>46157</v>
      </c>
      <c r="C181" t="s">
        <v>279</v>
      </c>
      <c r="D181" t="s">
        <v>28</v>
      </c>
      <c r="E181" t="s">
        <v>49</v>
      </c>
      <c r="F181">
        <v>723.52</v>
      </c>
      <c r="G181">
        <v>721.5</v>
      </c>
      <c r="H181">
        <v>2</v>
      </c>
      <c r="I181">
        <f t="shared" si="33"/>
        <v>4.0399999999999636</v>
      </c>
      <c r="J181">
        <v>1</v>
      </c>
      <c r="K181">
        <f t="shared" si="20"/>
        <v>4.0399999999999636</v>
      </c>
      <c r="L181" t="s">
        <v>72</v>
      </c>
      <c r="M181">
        <f>SUMIF(Executions!B:B,A181,Executions!H:H)</f>
        <v>-3.9400000000000546</v>
      </c>
      <c r="N181">
        <f t="shared" si="21"/>
        <v>-0.97524752475249754</v>
      </c>
      <c r="O181">
        <f>Tabla1[[#This Row],[Initial Risk $]]/Tabla1[[#This Row],[Position Size (shares)]]+Tabla1[[#This Row],[Entry Price]]</f>
        <v>725.54</v>
      </c>
      <c r="P181">
        <f>Tabla1[[#This Row],[Initial Risk $]]/Tabla1[[#This Row],[Position Size (shares)]]*2+Tabla1[[#This Row],[Entry Price]]</f>
        <v>727.56</v>
      </c>
      <c r="Q181">
        <f>Tabla1[[#This Row],[Initial Risk $]]/Tabla1[[#This Row],[Position Size (shares)]]*3+Tabla1[[#This Row],[Entry Price]]</f>
        <v>729.57999999999993</v>
      </c>
    </row>
    <row r="182" spans="1:17" hidden="1" x14ac:dyDescent="0.25">
      <c r="A182" t="str">
        <f t="shared" si="32"/>
        <v>T-181</v>
      </c>
      <c r="B182" s="1">
        <v>46157</v>
      </c>
      <c r="C182" t="s">
        <v>359</v>
      </c>
      <c r="D182" t="s">
        <v>28</v>
      </c>
      <c r="E182" t="s">
        <v>119</v>
      </c>
      <c r="F182">
        <v>87.46</v>
      </c>
      <c r="G182">
        <v>86.99</v>
      </c>
      <c r="H182">
        <v>10</v>
      </c>
      <c r="I182">
        <f t="shared" si="33"/>
        <v>4.6999999999999886</v>
      </c>
      <c r="J182">
        <v>1</v>
      </c>
      <c r="K182">
        <f t="shared" si="20"/>
        <v>4.6999999999999886</v>
      </c>
      <c r="L182" t="s">
        <v>72</v>
      </c>
      <c r="M182">
        <f>SUMIF(Executions!B:B,A182,Executions!H:H)</f>
        <v>-4.7999999999998977</v>
      </c>
      <c r="N182">
        <f t="shared" si="21"/>
        <v>-1.0212765957446615</v>
      </c>
      <c r="O182">
        <f>Tabla1[[#This Row],[Initial Risk $]]/Tabla1[[#This Row],[Position Size (shares)]]+Tabla1[[#This Row],[Entry Price]]</f>
        <v>87.929999999999993</v>
      </c>
      <c r="P182">
        <f>Tabla1[[#This Row],[Initial Risk $]]/Tabla1[[#This Row],[Position Size (shares)]]*2+Tabla1[[#This Row],[Entry Price]]</f>
        <v>88.399999999999991</v>
      </c>
      <c r="Q182">
        <f>Tabla1[[#This Row],[Initial Risk $]]/Tabla1[[#This Row],[Position Size (shares)]]*3+Tabla1[[#This Row],[Entry Price]]</f>
        <v>88.86999999999999</v>
      </c>
    </row>
    <row r="183" spans="1:17" hidden="1" x14ac:dyDescent="0.25">
      <c r="A183" t="str">
        <f t="shared" si="32"/>
        <v>T-182</v>
      </c>
      <c r="B183" s="1">
        <v>46157</v>
      </c>
      <c r="C183" t="s">
        <v>233</v>
      </c>
      <c r="D183" t="s">
        <v>28</v>
      </c>
      <c r="E183" t="s">
        <v>58</v>
      </c>
      <c r="F183">
        <v>423.41</v>
      </c>
      <c r="G183">
        <v>421.83</v>
      </c>
      <c r="H183">
        <v>3</v>
      </c>
      <c r="I183">
        <f t="shared" si="33"/>
        <v>4.7400000000001228</v>
      </c>
      <c r="J183">
        <v>1</v>
      </c>
      <c r="K183">
        <f t="shared" si="20"/>
        <v>4.7400000000001228</v>
      </c>
      <c r="L183" t="s">
        <v>72</v>
      </c>
      <c r="M183">
        <f>SUMIF(Executions!B:B,A183,Executions!H:H)</f>
        <v>-4.7400000000001228</v>
      </c>
      <c r="N183">
        <f t="shared" si="21"/>
        <v>-1</v>
      </c>
      <c r="O183">
        <f>Tabla1[[#This Row],[Initial Risk $]]/Tabla1[[#This Row],[Position Size (shares)]]+Tabla1[[#This Row],[Entry Price]]</f>
        <v>424.99000000000007</v>
      </c>
      <c r="P183">
        <f>Tabla1[[#This Row],[Initial Risk $]]/Tabla1[[#This Row],[Position Size (shares)]]*2+Tabla1[[#This Row],[Entry Price]]</f>
        <v>426.57000000000011</v>
      </c>
      <c r="Q183">
        <f>Tabla1[[#This Row],[Initial Risk $]]/Tabla1[[#This Row],[Position Size (shares)]]*3+Tabla1[[#This Row],[Entry Price]]</f>
        <v>428.15000000000015</v>
      </c>
    </row>
    <row r="184" spans="1:17" hidden="1" x14ac:dyDescent="0.25">
      <c r="A184" t="str">
        <f t="shared" si="32"/>
        <v>T-183</v>
      </c>
      <c r="B184" s="1">
        <v>46157</v>
      </c>
      <c r="C184" t="s">
        <v>233</v>
      </c>
      <c r="D184" t="s">
        <v>28</v>
      </c>
      <c r="E184" t="s">
        <v>58</v>
      </c>
      <c r="F184">
        <v>420.83</v>
      </c>
      <c r="G184">
        <v>419.65</v>
      </c>
      <c r="H184">
        <v>3</v>
      </c>
      <c r="I184">
        <f t="shared" si="33"/>
        <v>3.5400000000000205</v>
      </c>
      <c r="J184">
        <v>1</v>
      </c>
      <c r="K184">
        <f t="shared" si="20"/>
        <v>3.5400000000000205</v>
      </c>
      <c r="L184" t="s">
        <v>72</v>
      </c>
      <c r="M184">
        <f>SUMIF(Executions!B:B,A184,Executions!H:H)</f>
        <v>17.550000000000068</v>
      </c>
      <c r="N184">
        <f t="shared" si="21"/>
        <v>4.9576271186440586</v>
      </c>
      <c r="O184">
        <f>Tabla1[[#This Row],[Initial Risk $]]/Tabla1[[#This Row],[Position Size (shares)]]+Tabla1[[#This Row],[Entry Price]]</f>
        <v>422.01</v>
      </c>
      <c r="P184">
        <f>Tabla1[[#This Row],[Initial Risk $]]/Tabla1[[#This Row],[Position Size (shares)]]*2+Tabla1[[#This Row],[Entry Price]]</f>
        <v>423.19</v>
      </c>
      <c r="Q184">
        <f>Tabla1[[#This Row],[Initial Risk $]]/Tabla1[[#This Row],[Position Size (shares)]]*3+Tabla1[[#This Row],[Entry Price]]</f>
        <v>424.37</v>
      </c>
    </row>
    <row r="185" spans="1:17" hidden="1" x14ac:dyDescent="0.25">
      <c r="A185" t="str">
        <f t="shared" ref="A185:A192" si="34">"T-"&amp; TEXT(ROW()-1,"000")</f>
        <v>T-184</v>
      </c>
      <c r="B185" s="1">
        <v>46160</v>
      </c>
      <c r="C185" t="s">
        <v>207</v>
      </c>
      <c r="D185" t="s">
        <v>28</v>
      </c>
      <c r="E185" t="s">
        <v>49</v>
      </c>
      <c r="F185">
        <v>31.16</v>
      </c>
      <c r="G185">
        <v>28.71</v>
      </c>
      <c r="H185">
        <v>4</v>
      </c>
      <c r="I185">
        <f t="shared" ref="I185:I192" si="35">IF(D185="Long",(F185-G185)*H185,(G185-F185)*0)</f>
        <v>9.7999999999999972</v>
      </c>
      <c r="J185">
        <v>1</v>
      </c>
      <c r="K185">
        <f t="shared" si="20"/>
        <v>9.7999999999999972</v>
      </c>
      <c r="L185" t="s">
        <v>72</v>
      </c>
      <c r="M185">
        <f>SUMIF(Executions!B:B,A185,Executions!H:H)</f>
        <v>57.440000000000012</v>
      </c>
      <c r="N185">
        <f t="shared" si="21"/>
        <v>5.8612244897959211</v>
      </c>
      <c r="O185">
        <f>Tabla1[[#This Row],[Initial Risk $]]/Tabla1[[#This Row],[Position Size (shares)]]+Tabla1[[#This Row],[Entry Price]]</f>
        <v>33.61</v>
      </c>
      <c r="P185">
        <f>Tabla1[[#This Row],[Initial Risk $]]/Tabla1[[#This Row],[Position Size (shares)]]*2+Tabla1[[#This Row],[Entry Price]]</f>
        <v>36.06</v>
      </c>
      <c r="Q185">
        <f>Tabla1[[#This Row],[Initial Risk $]]/Tabla1[[#This Row],[Position Size (shares)]]*3+Tabla1[[#This Row],[Entry Price]]</f>
        <v>38.51</v>
      </c>
    </row>
    <row r="186" spans="1:17" hidden="1" x14ac:dyDescent="0.25">
      <c r="A186" t="str">
        <f t="shared" si="34"/>
        <v>T-185</v>
      </c>
      <c r="B186" s="1">
        <v>46160</v>
      </c>
      <c r="C186" t="s">
        <v>164</v>
      </c>
      <c r="D186" t="s">
        <v>28</v>
      </c>
      <c r="E186" t="s">
        <v>58</v>
      </c>
      <c r="F186">
        <v>228.92</v>
      </c>
      <c r="G186">
        <v>226.92</v>
      </c>
      <c r="H186">
        <v>4</v>
      </c>
      <c r="I186">
        <f t="shared" si="35"/>
        <v>8</v>
      </c>
      <c r="J186">
        <v>1</v>
      </c>
      <c r="K186">
        <f t="shared" si="20"/>
        <v>8</v>
      </c>
      <c r="L186" t="s">
        <v>72</v>
      </c>
      <c r="M186">
        <f>SUMIF(Executions!B:B,A186,Executions!H:H)</f>
        <v>-7.9599999999999227</v>
      </c>
      <c r="N186">
        <f t="shared" si="21"/>
        <v>-0.99499999999999034</v>
      </c>
      <c r="O186">
        <f>Tabla1[[#This Row],[Initial Risk $]]/Tabla1[[#This Row],[Position Size (shares)]]+Tabla1[[#This Row],[Entry Price]]</f>
        <v>230.92</v>
      </c>
      <c r="P186">
        <f>Tabla1[[#This Row],[Initial Risk $]]/Tabla1[[#This Row],[Position Size (shares)]]*2+Tabla1[[#This Row],[Entry Price]]</f>
        <v>232.92</v>
      </c>
      <c r="Q186">
        <f>Tabla1[[#This Row],[Initial Risk $]]/Tabla1[[#This Row],[Position Size (shares)]]*3+Tabla1[[#This Row],[Entry Price]]</f>
        <v>234.92</v>
      </c>
    </row>
    <row r="187" spans="1:17" hidden="1" x14ac:dyDescent="0.25">
      <c r="A187" t="str">
        <f t="shared" si="34"/>
        <v>T-186</v>
      </c>
      <c r="B187" s="1">
        <v>46160</v>
      </c>
      <c r="C187" t="s">
        <v>161</v>
      </c>
      <c r="D187" t="s">
        <v>28</v>
      </c>
      <c r="E187" t="s">
        <v>49</v>
      </c>
      <c r="F187">
        <v>108.93</v>
      </c>
      <c r="G187">
        <v>106.93</v>
      </c>
      <c r="H187">
        <v>4</v>
      </c>
      <c r="I187">
        <f t="shared" si="35"/>
        <v>8</v>
      </c>
      <c r="J187">
        <v>1</v>
      </c>
      <c r="K187">
        <f t="shared" si="20"/>
        <v>8</v>
      </c>
      <c r="L187" t="s">
        <v>72</v>
      </c>
      <c r="M187">
        <f>SUMIF(Executions!B:B,A187,Executions!H:H)</f>
        <v>-8</v>
      </c>
      <c r="N187">
        <f t="shared" si="21"/>
        <v>-1</v>
      </c>
      <c r="O187">
        <f>Tabla1[[#This Row],[Initial Risk $]]/Tabla1[[#This Row],[Position Size (shares)]]+Tabla1[[#This Row],[Entry Price]]</f>
        <v>110.93</v>
      </c>
      <c r="P187">
        <f>Tabla1[[#This Row],[Initial Risk $]]/Tabla1[[#This Row],[Position Size (shares)]]*2+Tabla1[[#This Row],[Entry Price]]</f>
        <v>112.93</v>
      </c>
      <c r="Q187">
        <f>Tabla1[[#This Row],[Initial Risk $]]/Tabla1[[#This Row],[Position Size (shares)]]*3+Tabla1[[#This Row],[Entry Price]]</f>
        <v>114.93</v>
      </c>
    </row>
    <row r="188" spans="1:17" hidden="1" x14ac:dyDescent="0.25">
      <c r="A188" t="str">
        <f t="shared" si="34"/>
        <v>T-187</v>
      </c>
      <c r="B188" s="1">
        <v>46160</v>
      </c>
      <c r="C188" t="s">
        <v>279</v>
      </c>
      <c r="D188" t="s">
        <v>28</v>
      </c>
      <c r="E188" t="s">
        <v>58</v>
      </c>
      <c r="F188">
        <v>721</v>
      </c>
      <c r="G188">
        <v>718</v>
      </c>
      <c r="H188">
        <v>2</v>
      </c>
      <c r="I188">
        <f t="shared" si="35"/>
        <v>6</v>
      </c>
      <c r="J188">
        <v>1</v>
      </c>
      <c r="K188">
        <f t="shared" si="20"/>
        <v>6</v>
      </c>
      <c r="L188" t="s">
        <v>72</v>
      </c>
      <c r="M188">
        <f>SUMIF(Executions!B:B,A188,Executions!H:H)</f>
        <v>-4</v>
      </c>
      <c r="N188">
        <f t="shared" si="21"/>
        <v>-0.66666666666666663</v>
      </c>
      <c r="O188">
        <f>Tabla1[[#This Row],[Initial Risk $]]/Tabla1[[#This Row],[Position Size (shares)]]+Tabla1[[#This Row],[Entry Price]]</f>
        <v>724</v>
      </c>
      <c r="P188">
        <f>Tabla1[[#This Row],[Initial Risk $]]/Tabla1[[#This Row],[Position Size (shares)]]*2+Tabla1[[#This Row],[Entry Price]]</f>
        <v>727</v>
      </c>
      <c r="Q188">
        <f>Tabla1[[#This Row],[Initial Risk $]]/Tabla1[[#This Row],[Position Size (shares)]]*3+Tabla1[[#This Row],[Entry Price]]</f>
        <v>730</v>
      </c>
    </row>
    <row r="189" spans="1:17" hidden="1" x14ac:dyDescent="0.25">
      <c r="A189" t="str">
        <f t="shared" si="34"/>
        <v>T-188</v>
      </c>
      <c r="B189" s="1">
        <v>46160</v>
      </c>
      <c r="C189" t="s">
        <v>164</v>
      </c>
      <c r="D189" t="s">
        <v>28</v>
      </c>
      <c r="E189" t="s">
        <v>58</v>
      </c>
      <c r="F189">
        <v>224.77</v>
      </c>
      <c r="G189">
        <v>223.27</v>
      </c>
      <c r="H189">
        <v>4</v>
      </c>
      <c r="I189">
        <f t="shared" si="35"/>
        <v>6</v>
      </c>
      <c r="J189">
        <v>1</v>
      </c>
      <c r="K189">
        <f t="shared" si="20"/>
        <v>6</v>
      </c>
      <c r="L189" t="s">
        <v>72</v>
      </c>
      <c r="M189">
        <f>SUMIF(Executions!B:B,A189,Executions!H:H)</f>
        <v>-6.32000000000005</v>
      </c>
      <c r="N189">
        <f t="shared" si="21"/>
        <v>-1.0533333333333417</v>
      </c>
      <c r="O189">
        <f>Tabla1[[#This Row],[Initial Risk $]]/Tabla1[[#This Row],[Position Size (shares)]]+Tabla1[[#This Row],[Entry Price]]</f>
        <v>226.27</v>
      </c>
      <c r="P189">
        <f>Tabla1[[#This Row],[Initial Risk $]]/Tabla1[[#This Row],[Position Size (shares)]]*2+Tabla1[[#This Row],[Entry Price]]</f>
        <v>227.77</v>
      </c>
      <c r="Q189">
        <f>Tabla1[[#This Row],[Initial Risk $]]/Tabla1[[#This Row],[Position Size (shares)]]*3+Tabla1[[#This Row],[Entry Price]]</f>
        <v>229.27</v>
      </c>
    </row>
    <row r="190" spans="1:17" hidden="1" x14ac:dyDescent="0.25">
      <c r="A190" t="str">
        <f t="shared" si="34"/>
        <v>T-189</v>
      </c>
      <c r="B190" s="1">
        <v>46160</v>
      </c>
      <c r="C190" t="s">
        <v>279</v>
      </c>
      <c r="D190" t="s">
        <v>28</v>
      </c>
      <c r="E190" t="s">
        <v>49</v>
      </c>
      <c r="F190">
        <v>715.89</v>
      </c>
      <c r="G190">
        <v>711.49</v>
      </c>
      <c r="H190">
        <v>2</v>
      </c>
      <c r="I190">
        <f t="shared" si="35"/>
        <v>8.7999999999999545</v>
      </c>
      <c r="J190">
        <v>1</v>
      </c>
      <c r="K190">
        <f t="shared" si="20"/>
        <v>8.7999999999999545</v>
      </c>
      <c r="L190" t="s">
        <v>72</v>
      </c>
      <c r="M190">
        <f>SUMIF(Executions!B:B,A190,Executions!H:H)</f>
        <v>-10.5</v>
      </c>
      <c r="N190">
        <f t="shared" si="21"/>
        <v>-1.1931818181818243</v>
      </c>
      <c r="O190">
        <f>Tabla1[[#This Row],[Initial Risk $]]/Tabla1[[#This Row],[Position Size (shares)]]+Tabla1[[#This Row],[Entry Price]]</f>
        <v>720.29</v>
      </c>
      <c r="P190">
        <f>Tabla1[[#This Row],[Initial Risk $]]/Tabla1[[#This Row],[Position Size (shares)]]*2+Tabla1[[#This Row],[Entry Price]]</f>
        <v>724.68999999999994</v>
      </c>
      <c r="Q190">
        <f>Tabla1[[#This Row],[Initial Risk $]]/Tabla1[[#This Row],[Position Size (shares)]]*3+Tabla1[[#This Row],[Entry Price]]</f>
        <v>729.08999999999992</v>
      </c>
    </row>
    <row r="191" spans="1:17" hidden="1" x14ac:dyDescent="0.25">
      <c r="A191" t="str">
        <f t="shared" si="34"/>
        <v>T-190</v>
      </c>
      <c r="B191" s="1">
        <v>46160</v>
      </c>
      <c r="C191" t="s">
        <v>154</v>
      </c>
      <c r="D191" t="s">
        <v>28</v>
      </c>
      <c r="E191" t="s">
        <v>58</v>
      </c>
      <c r="F191">
        <v>399.01</v>
      </c>
      <c r="G191">
        <v>397.01</v>
      </c>
      <c r="H191">
        <v>3</v>
      </c>
      <c r="I191">
        <f t="shared" si="35"/>
        <v>6</v>
      </c>
      <c r="J191">
        <v>1</v>
      </c>
      <c r="K191">
        <f t="shared" si="20"/>
        <v>6</v>
      </c>
      <c r="L191" t="s">
        <v>72</v>
      </c>
      <c r="M191">
        <f>SUMIF(Executions!B:B,A191,Executions!H:H)</f>
        <v>-5.9400000000000546</v>
      </c>
      <c r="N191">
        <f t="shared" si="21"/>
        <v>-0.99000000000000909</v>
      </c>
      <c r="O191">
        <f>Tabla1[[#This Row],[Initial Risk $]]/Tabla1[[#This Row],[Position Size (shares)]]+Tabla1[[#This Row],[Entry Price]]</f>
        <v>401.01</v>
      </c>
      <c r="P191">
        <f>Tabla1[[#This Row],[Initial Risk $]]/Tabla1[[#This Row],[Position Size (shares)]]*2+Tabla1[[#This Row],[Entry Price]]</f>
        <v>403.01</v>
      </c>
      <c r="Q191">
        <f>Tabla1[[#This Row],[Initial Risk $]]/Tabla1[[#This Row],[Position Size (shares)]]*3+Tabla1[[#This Row],[Entry Price]]</f>
        <v>405.01</v>
      </c>
    </row>
    <row r="192" spans="1:17" hidden="1" x14ac:dyDescent="0.25">
      <c r="A192" t="str">
        <f t="shared" si="34"/>
        <v>T-191</v>
      </c>
      <c r="B192" s="1">
        <v>46160</v>
      </c>
      <c r="C192" t="s">
        <v>186</v>
      </c>
      <c r="D192" t="s">
        <v>28</v>
      </c>
      <c r="E192" t="s">
        <v>58</v>
      </c>
      <c r="F192">
        <v>266.60000000000002</v>
      </c>
      <c r="G192">
        <v>265.35000000000002</v>
      </c>
      <c r="H192">
        <v>4</v>
      </c>
      <c r="I192">
        <f t="shared" si="35"/>
        <v>5</v>
      </c>
      <c r="J192">
        <v>1</v>
      </c>
      <c r="K192">
        <f t="shared" si="20"/>
        <v>5</v>
      </c>
      <c r="L192" t="s">
        <v>72</v>
      </c>
      <c r="M192">
        <f>SUMIF(Executions!B:B,A192,Executions!H:H)</f>
        <v>-5.1200000000001182</v>
      </c>
      <c r="N192">
        <f t="shared" si="21"/>
        <v>-1.0240000000000236</v>
      </c>
      <c r="O192">
        <f>Tabla1[[#This Row],[Initial Risk $]]/Tabla1[[#This Row],[Position Size (shares)]]+Tabla1[[#This Row],[Entry Price]]</f>
        <v>267.85000000000002</v>
      </c>
      <c r="P192">
        <f>Tabla1[[#This Row],[Initial Risk $]]/Tabla1[[#This Row],[Position Size (shares)]]*2+Tabla1[[#This Row],[Entry Price]]</f>
        <v>269.10000000000002</v>
      </c>
      <c r="Q192">
        <f>Tabla1[[#This Row],[Initial Risk $]]/Tabla1[[#This Row],[Position Size (shares)]]*3+Tabla1[[#This Row],[Entry Price]]</f>
        <v>270.35000000000002</v>
      </c>
    </row>
    <row r="193" spans="1:17" hidden="1" x14ac:dyDescent="0.25">
      <c r="A193" t="str">
        <f t="shared" ref="A193:A200" si="36">"T-"&amp; TEXT(ROW()-1,"000")</f>
        <v>T-192</v>
      </c>
      <c r="B193" s="1">
        <v>46161</v>
      </c>
      <c r="C193" t="s">
        <v>206</v>
      </c>
      <c r="D193" t="s">
        <v>28</v>
      </c>
      <c r="E193" t="s">
        <v>58</v>
      </c>
      <c r="F193">
        <v>5.25</v>
      </c>
      <c r="G193">
        <v>4.95</v>
      </c>
      <c r="H193">
        <v>20</v>
      </c>
      <c r="I193">
        <f t="shared" ref="I193:I200" si="37">IF(D193="Long",(F193-G193)*H193,(G193-F193)*0)</f>
        <v>5.9999999999999964</v>
      </c>
      <c r="J193">
        <v>1</v>
      </c>
      <c r="K193">
        <f t="shared" si="20"/>
        <v>5.9999999999999964</v>
      </c>
      <c r="L193" t="s">
        <v>72</v>
      </c>
      <c r="M193">
        <f>SUMIF(Executions!B:B,A193,Executions!H:H)</f>
        <v>-6.1999999999999922</v>
      </c>
      <c r="N193">
        <f t="shared" si="21"/>
        <v>-1.0333333333333325</v>
      </c>
      <c r="O193">
        <f>Tabla1[[#This Row],[Initial Risk $]]/Tabla1[[#This Row],[Position Size (shares)]]+Tabla1[[#This Row],[Entry Price]]</f>
        <v>5.55</v>
      </c>
      <c r="P193">
        <f>Tabla1[[#This Row],[Initial Risk $]]/Tabla1[[#This Row],[Position Size (shares)]]*2+Tabla1[[#This Row],[Entry Price]]</f>
        <v>5.85</v>
      </c>
      <c r="Q193">
        <f>Tabla1[[#This Row],[Initial Risk $]]/Tabla1[[#This Row],[Position Size (shares)]]*3+Tabla1[[#This Row],[Entry Price]]</f>
        <v>6.1499999999999995</v>
      </c>
    </row>
    <row r="194" spans="1:17" hidden="1" x14ac:dyDescent="0.25">
      <c r="A194" t="str">
        <f t="shared" si="36"/>
        <v>T-193</v>
      </c>
      <c r="B194" s="1">
        <v>46161</v>
      </c>
      <c r="C194" t="s">
        <v>233</v>
      </c>
      <c r="D194" t="s">
        <v>28</v>
      </c>
      <c r="E194" t="s">
        <v>58</v>
      </c>
      <c r="F194">
        <v>425.95</v>
      </c>
      <c r="G194">
        <v>423</v>
      </c>
      <c r="H194">
        <v>2</v>
      </c>
      <c r="I194">
        <f t="shared" si="37"/>
        <v>5.8999999999999773</v>
      </c>
      <c r="J194">
        <v>1</v>
      </c>
      <c r="K194">
        <f t="shared" ref="K194:K235" si="38">I194*J194</f>
        <v>5.8999999999999773</v>
      </c>
      <c r="L194" t="s">
        <v>72</v>
      </c>
      <c r="M194">
        <f>SUMIF(Executions!B:B,A194,Executions!H:H)</f>
        <v>-6.0399999999999636</v>
      </c>
      <c r="N194">
        <f t="shared" ref="N194:N257" si="39">M194/I194</f>
        <v>-1.0237288135593199</v>
      </c>
      <c r="O194">
        <f>Tabla1[[#This Row],[Initial Risk $]]/Tabla1[[#This Row],[Position Size (shares)]]+Tabla1[[#This Row],[Entry Price]]</f>
        <v>428.9</v>
      </c>
      <c r="P194">
        <f>Tabla1[[#This Row],[Initial Risk $]]/Tabla1[[#This Row],[Position Size (shares)]]*2+Tabla1[[#This Row],[Entry Price]]</f>
        <v>431.84999999999997</v>
      </c>
      <c r="Q194">
        <f>Tabla1[[#This Row],[Initial Risk $]]/Tabla1[[#This Row],[Position Size (shares)]]*3+Tabla1[[#This Row],[Entry Price]]</f>
        <v>434.79999999999995</v>
      </c>
    </row>
    <row r="195" spans="1:17" hidden="1" x14ac:dyDescent="0.25">
      <c r="A195" t="str">
        <f t="shared" si="36"/>
        <v>T-194</v>
      </c>
      <c r="B195" s="1">
        <v>46161</v>
      </c>
      <c r="C195" t="s">
        <v>370</v>
      </c>
      <c r="D195" t="s">
        <v>28</v>
      </c>
      <c r="E195" t="s">
        <v>58</v>
      </c>
      <c r="F195">
        <v>25.35</v>
      </c>
      <c r="G195">
        <v>23.59</v>
      </c>
      <c r="H195">
        <v>4</v>
      </c>
      <c r="I195">
        <f t="shared" si="37"/>
        <v>7.0400000000000063</v>
      </c>
      <c r="J195">
        <v>1</v>
      </c>
      <c r="K195">
        <f t="shared" si="38"/>
        <v>7.0400000000000063</v>
      </c>
      <c r="L195" t="s">
        <v>72</v>
      </c>
      <c r="M195">
        <f>SUMIF(Executions!B:B,A195,Executions!H:H)</f>
        <v>19.28</v>
      </c>
      <c r="N195">
        <f t="shared" si="39"/>
        <v>2.7386363636363615</v>
      </c>
      <c r="O195">
        <f>Tabla1[[#This Row],[Initial Risk $]]/Tabla1[[#This Row],[Position Size (shares)]]+Tabla1[[#This Row],[Entry Price]]</f>
        <v>27.110000000000003</v>
      </c>
      <c r="P195">
        <f>Tabla1[[#This Row],[Initial Risk $]]/Tabla1[[#This Row],[Position Size (shares)]]*2+Tabla1[[#This Row],[Entry Price]]</f>
        <v>28.870000000000005</v>
      </c>
      <c r="Q195">
        <f>Tabla1[[#This Row],[Initial Risk $]]/Tabla1[[#This Row],[Position Size (shares)]]*3+Tabla1[[#This Row],[Entry Price]]</f>
        <v>30.630000000000006</v>
      </c>
    </row>
    <row r="196" spans="1:17" hidden="1" x14ac:dyDescent="0.25">
      <c r="A196" t="str">
        <f t="shared" si="36"/>
        <v>T-195</v>
      </c>
      <c r="B196" s="1">
        <v>46161</v>
      </c>
      <c r="C196" t="s">
        <v>279</v>
      </c>
      <c r="D196" t="s">
        <v>28</v>
      </c>
      <c r="E196" t="s">
        <v>49</v>
      </c>
      <c r="F196">
        <v>673.93</v>
      </c>
      <c r="G196">
        <v>670.93</v>
      </c>
      <c r="H196">
        <v>4</v>
      </c>
      <c r="I196">
        <f t="shared" si="37"/>
        <v>12</v>
      </c>
      <c r="J196">
        <v>1</v>
      </c>
      <c r="K196">
        <f t="shared" si="38"/>
        <v>12</v>
      </c>
      <c r="L196" t="s">
        <v>72</v>
      </c>
      <c r="M196">
        <f>SUMIF(Executions!B:B,A196,Executions!H:H)</f>
        <v>72.010000000000218</v>
      </c>
      <c r="N196">
        <f t="shared" si="39"/>
        <v>6.0008333333333512</v>
      </c>
      <c r="O196">
        <f>Tabla1[[#This Row],[Initial Risk $]]/Tabla1[[#This Row],[Position Size (shares)]]+Tabla1[[#This Row],[Entry Price]]</f>
        <v>676.93</v>
      </c>
      <c r="P196">
        <f>Tabla1[[#This Row],[Initial Risk $]]/Tabla1[[#This Row],[Position Size (shares)]]*2+Tabla1[[#This Row],[Entry Price]]</f>
        <v>679.93</v>
      </c>
      <c r="Q196">
        <f>Tabla1[[#This Row],[Initial Risk $]]/Tabla1[[#This Row],[Position Size (shares)]]*3+Tabla1[[#This Row],[Entry Price]]</f>
        <v>682.93</v>
      </c>
    </row>
    <row r="197" spans="1:17" hidden="1" x14ac:dyDescent="0.25">
      <c r="A197" t="str">
        <f t="shared" si="36"/>
        <v>T-196</v>
      </c>
      <c r="B197" s="1">
        <v>46161</v>
      </c>
      <c r="C197" t="s">
        <v>164</v>
      </c>
      <c r="D197" t="s">
        <v>28</v>
      </c>
      <c r="E197" t="s">
        <v>58</v>
      </c>
      <c r="F197">
        <v>220.6</v>
      </c>
      <c r="G197">
        <v>219.6</v>
      </c>
      <c r="H197">
        <v>5</v>
      </c>
      <c r="I197">
        <f t="shared" si="37"/>
        <v>5</v>
      </c>
      <c r="J197">
        <v>1</v>
      </c>
      <c r="K197">
        <f t="shared" si="38"/>
        <v>5</v>
      </c>
      <c r="L197" t="s">
        <v>72</v>
      </c>
      <c r="M197">
        <f>SUMIF(Executions!B:B,A197,Executions!H:H)</f>
        <v>11.599999999999966</v>
      </c>
      <c r="N197">
        <f t="shared" si="39"/>
        <v>2.3199999999999932</v>
      </c>
      <c r="O197">
        <f>Tabla1[[#This Row],[Initial Risk $]]/Tabla1[[#This Row],[Position Size (shares)]]+Tabla1[[#This Row],[Entry Price]]</f>
        <v>221.6</v>
      </c>
      <c r="P197">
        <f>Tabla1[[#This Row],[Initial Risk $]]/Tabla1[[#This Row],[Position Size (shares)]]*2+Tabla1[[#This Row],[Entry Price]]</f>
        <v>222.6</v>
      </c>
      <c r="Q197">
        <f>Tabla1[[#This Row],[Initial Risk $]]/Tabla1[[#This Row],[Position Size (shares)]]*3+Tabla1[[#This Row],[Entry Price]]</f>
        <v>223.6</v>
      </c>
    </row>
    <row r="198" spans="1:17" hidden="1" x14ac:dyDescent="0.25">
      <c r="A198" t="str">
        <f t="shared" si="36"/>
        <v>T-197</v>
      </c>
      <c r="B198" s="1">
        <v>46161</v>
      </c>
      <c r="C198" t="s">
        <v>255</v>
      </c>
      <c r="D198" t="s">
        <v>28</v>
      </c>
      <c r="E198" t="s">
        <v>58</v>
      </c>
      <c r="F198">
        <v>297.72000000000003</v>
      </c>
      <c r="G198">
        <v>296.72000000000003</v>
      </c>
      <c r="H198">
        <v>4</v>
      </c>
      <c r="I198">
        <f t="shared" si="37"/>
        <v>4</v>
      </c>
      <c r="J198">
        <v>1</v>
      </c>
      <c r="K198">
        <f t="shared" si="38"/>
        <v>4</v>
      </c>
      <c r="L198" t="s">
        <v>72</v>
      </c>
      <c r="M198">
        <f>SUMIF(Executions!B:B,A198,Executions!H:H)</f>
        <v>2.5199999999999818</v>
      </c>
      <c r="N198">
        <f t="shared" si="39"/>
        <v>0.62999999999999545</v>
      </c>
      <c r="O198">
        <f>Tabla1[[#This Row],[Initial Risk $]]/Tabla1[[#This Row],[Position Size (shares)]]+Tabla1[[#This Row],[Entry Price]]</f>
        <v>298.72000000000003</v>
      </c>
      <c r="P198">
        <f>Tabla1[[#This Row],[Initial Risk $]]/Tabla1[[#This Row],[Position Size (shares)]]*2+Tabla1[[#This Row],[Entry Price]]</f>
        <v>299.72000000000003</v>
      </c>
      <c r="Q198">
        <f>Tabla1[[#This Row],[Initial Risk $]]/Tabla1[[#This Row],[Position Size (shares)]]*3+Tabla1[[#This Row],[Entry Price]]</f>
        <v>300.72000000000003</v>
      </c>
    </row>
    <row r="199" spans="1:17" hidden="1" x14ac:dyDescent="0.25">
      <c r="A199" t="str">
        <f t="shared" si="36"/>
        <v>T-198</v>
      </c>
      <c r="B199" s="1">
        <v>46161</v>
      </c>
      <c r="C199" t="s">
        <v>154</v>
      </c>
      <c r="D199" t="s">
        <v>28</v>
      </c>
      <c r="E199" t="s">
        <v>58</v>
      </c>
      <c r="F199">
        <v>386.64</v>
      </c>
      <c r="G199">
        <v>384.14</v>
      </c>
      <c r="H199">
        <v>2</v>
      </c>
      <c r="I199">
        <f t="shared" si="37"/>
        <v>5</v>
      </c>
      <c r="J199">
        <v>1</v>
      </c>
      <c r="K199">
        <f t="shared" si="38"/>
        <v>5</v>
      </c>
      <c r="L199" t="s">
        <v>72</v>
      </c>
      <c r="M199">
        <f>SUMIF(Executions!B:B,A199,Executions!H:H)</f>
        <v>-3.6599999999999682</v>
      </c>
      <c r="N199">
        <f t="shared" si="39"/>
        <v>-0.73199999999999366</v>
      </c>
      <c r="O199">
        <f>Tabla1[[#This Row],[Initial Risk $]]/Tabla1[[#This Row],[Position Size (shares)]]+Tabla1[[#This Row],[Entry Price]]</f>
        <v>389.14</v>
      </c>
      <c r="P199">
        <f>Tabla1[[#This Row],[Initial Risk $]]/Tabla1[[#This Row],[Position Size (shares)]]*2+Tabla1[[#This Row],[Entry Price]]</f>
        <v>391.64</v>
      </c>
      <c r="Q199">
        <f>Tabla1[[#This Row],[Initial Risk $]]/Tabla1[[#This Row],[Position Size (shares)]]*3+Tabla1[[#This Row],[Entry Price]]</f>
        <v>394.14</v>
      </c>
    </row>
    <row r="200" spans="1:17" hidden="1" x14ac:dyDescent="0.25">
      <c r="A200" t="str">
        <f t="shared" si="36"/>
        <v>T-199</v>
      </c>
      <c r="B200" s="1">
        <v>46161</v>
      </c>
      <c r="C200" t="s">
        <v>173</v>
      </c>
      <c r="D200" t="s">
        <v>28</v>
      </c>
      <c r="E200" t="s">
        <v>119</v>
      </c>
      <c r="F200">
        <v>135.01</v>
      </c>
      <c r="G200">
        <v>134.25</v>
      </c>
      <c r="H200">
        <v>8</v>
      </c>
      <c r="I200">
        <f t="shared" si="37"/>
        <v>6.0799999999999272</v>
      </c>
      <c r="J200">
        <v>1</v>
      </c>
      <c r="K200">
        <f t="shared" si="38"/>
        <v>6.0799999999999272</v>
      </c>
      <c r="L200" t="s">
        <v>72</v>
      </c>
      <c r="M200">
        <f>SUMIF(Executions!B:B,A200,Executions!H:H)</f>
        <v>3.6000000000001364</v>
      </c>
      <c r="N200">
        <f t="shared" si="39"/>
        <v>0.59210526315792422</v>
      </c>
      <c r="O200">
        <f>Tabla1[[#This Row],[Initial Risk $]]/Tabla1[[#This Row],[Position Size (shares)]]+Tabla1[[#This Row],[Entry Price]]</f>
        <v>135.76999999999998</v>
      </c>
      <c r="P200">
        <f>Tabla1[[#This Row],[Initial Risk $]]/Tabla1[[#This Row],[Position Size (shares)]]*2+Tabla1[[#This Row],[Entry Price]]</f>
        <v>136.52999999999997</v>
      </c>
      <c r="Q200">
        <f>Tabla1[[#This Row],[Initial Risk $]]/Tabla1[[#This Row],[Position Size (shares)]]*3+Tabla1[[#This Row],[Entry Price]]</f>
        <v>137.28999999999996</v>
      </c>
    </row>
    <row r="201" spans="1:17" hidden="1" x14ac:dyDescent="0.25">
      <c r="A201" t="str">
        <f t="shared" ref="A201:A206" si="40">"T-"&amp; TEXT(ROW()-1,"000")</f>
        <v>T-200</v>
      </c>
      <c r="B201" s="1">
        <v>46162</v>
      </c>
      <c r="C201" t="s">
        <v>279</v>
      </c>
      <c r="D201" t="s">
        <v>28</v>
      </c>
      <c r="E201" t="s">
        <v>58</v>
      </c>
      <c r="F201">
        <v>722.64</v>
      </c>
      <c r="G201">
        <v>714.1</v>
      </c>
      <c r="H201">
        <v>4</v>
      </c>
      <c r="I201">
        <f t="shared" ref="I201:I206" si="41">IF(D201="Long",(F201-G201)*H201,(G201-F201)*0)</f>
        <v>34.159999999999854</v>
      </c>
      <c r="J201">
        <v>1</v>
      </c>
      <c r="K201">
        <f t="shared" si="38"/>
        <v>34.159999999999854</v>
      </c>
      <c r="L201" t="s">
        <v>72</v>
      </c>
      <c r="M201">
        <f>SUMIF(Executions!B:B,A201,Executions!H:H)</f>
        <v>12.480000000000018</v>
      </c>
      <c r="N201">
        <f t="shared" si="39"/>
        <v>0.36533957845433462</v>
      </c>
      <c r="O201">
        <f>Tabla1[[#This Row],[Initial Risk $]]/Tabla1[[#This Row],[Position Size (shares)]]+Tabla1[[#This Row],[Entry Price]]</f>
        <v>731.18</v>
      </c>
      <c r="P201">
        <f>Tabla1[[#This Row],[Initial Risk $]]/Tabla1[[#This Row],[Position Size (shares)]]*2+Tabla1[[#This Row],[Entry Price]]</f>
        <v>739.71999999999991</v>
      </c>
      <c r="Q201">
        <f>Tabla1[[#This Row],[Initial Risk $]]/Tabla1[[#This Row],[Position Size (shares)]]*3+Tabla1[[#This Row],[Entry Price]]</f>
        <v>748.25999999999988</v>
      </c>
    </row>
    <row r="202" spans="1:17" hidden="1" x14ac:dyDescent="0.25">
      <c r="A202" t="str">
        <f t="shared" si="40"/>
        <v>T-201</v>
      </c>
      <c r="B202" s="1">
        <v>46162</v>
      </c>
      <c r="C202" t="s">
        <v>161</v>
      </c>
      <c r="D202" t="s">
        <v>28</v>
      </c>
      <c r="E202" t="s">
        <v>58</v>
      </c>
      <c r="F202">
        <v>116.89</v>
      </c>
      <c r="G202">
        <v>115.89</v>
      </c>
      <c r="H202">
        <v>6</v>
      </c>
      <c r="I202">
        <f t="shared" si="41"/>
        <v>6</v>
      </c>
      <c r="J202">
        <v>1</v>
      </c>
      <c r="K202">
        <f t="shared" si="38"/>
        <v>6</v>
      </c>
      <c r="L202" t="s">
        <v>72</v>
      </c>
      <c r="M202">
        <f>SUMIF(Executions!B:B,A202,Executions!H:H)</f>
        <v>17.980000000000018</v>
      </c>
      <c r="N202">
        <f t="shared" si="39"/>
        <v>2.9966666666666697</v>
      </c>
      <c r="O202">
        <f>Tabla1[[#This Row],[Initial Risk $]]/Tabla1[[#This Row],[Position Size (shares)]]+Tabla1[[#This Row],[Entry Price]]</f>
        <v>117.89</v>
      </c>
      <c r="P202">
        <f>Tabla1[[#This Row],[Initial Risk $]]/Tabla1[[#This Row],[Position Size (shares)]]*2+Tabla1[[#This Row],[Entry Price]]</f>
        <v>118.89</v>
      </c>
      <c r="Q202">
        <f>Tabla1[[#This Row],[Initial Risk $]]/Tabla1[[#This Row],[Position Size (shares)]]*3+Tabla1[[#This Row],[Entry Price]]</f>
        <v>119.89</v>
      </c>
    </row>
    <row r="203" spans="1:17" hidden="1" x14ac:dyDescent="0.25">
      <c r="A203" t="str">
        <f t="shared" si="40"/>
        <v>T-202</v>
      </c>
      <c r="B203" s="1">
        <v>46162</v>
      </c>
      <c r="C203" t="s">
        <v>161</v>
      </c>
      <c r="D203" t="s">
        <v>28</v>
      </c>
      <c r="E203" t="s">
        <v>58</v>
      </c>
      <c r="F203">
        <v>117.58</v>
      </c>
      <c r="G203">
        <v>116.3</v>
      </c>
      <c r="H203">
        <v>6</v>
      </c>
      <c r="I203">
        <f t="shared" si="41"/>
        <v>7.6800000000000068</v>
      </c>
      <c r="J203">
        <v>1</v>
      </c>
      <c r="K203">
        <f t="shared" si="38"/>
        <v>7.6800000000000068</v>
      </c>
      <c r="L203" t="s">
        <v>72</v>
      </c>
      <c r="M203">
        <f>SUMIF(Executions!B:B,A203,Executions!H:H)</f>
        <v>-8.2200000000000273</v>
      </c>
      <c r="N203">
        <f t="shared" si="39"/>
        <v>-1.0703125000000027</v>
      </c>
      <c r="O203">
        <f>Tabla1[[#This Row],[Initial Risk $]]/Tabla1[[#This Row],[Position Size (shares)]]+Tabla1[[#This Row],[Entry Price]]</f>
        <v>118.86</v>
      </c>
      <c r="P203">
        <f>Tabla1[[#This Row],[Initial Risk $]]/Tabla1[[#This Row],[Position Size (shares)]]*2+Tabla1[[#This Row],[Entry Price]]</f>
        <v>120.14</v>
      </c>
      <c r="Q203">
        <f>Tabla1[[#This Row],[Initial Risk $]]/Tabla1[[#This Row],[Position Size (shares)]]*3+Tabla1[[#This Row],[Entry Price]]</f>
        <v>121.42</v>
      </c>
    </row>
    <row r="204" spans="1:17" hidden="1" x14ac:dyDescent="0.25">
      <c r="A204" t="str">
        <f t="shared" si="40"/>
        <v>T-203</v>
      </c>
      <c r="B204" s="1">
        <v>46162</v>
      </c>
      <c r="C204" t="s">
        <v>186</v>
      </c>
      <c r="D204" t="s">
        <v>28</v>
      </c>
      <c r="E204" t="s">
        <v>58</v>
      </c>
      <c r="F204">
        <v>262.7</v>
      </c>
      <c r="G204">
        <v>261.7</v>
      </c>
      <c r="H204">
        <v>4</v>
      </c>
      <c r="I204">
        <f t="shared" si="41"/>
        <v>4</v>
      </c>
      <c r="J204">
        <v>1</v>
      </c>
      <c r="K204">
        <f t="shared" si="38"/>
        <v>4</v>
      </c>
      <c r="L204" t="s">
        <v>72</v>
      </c>
      <c r="M204">
        <f>SUMIF(Executions!B:B,A204,Executions!H:H)</f>
        <v>6.0399999999999636</v>
      </c>
      <c r="N204">
        <f t="shared" si="39"/>
        <v>1.5099999999999909</v>
      </c>
      <c r="O204">
        <f>Tabla1[[#This Row],[Initial Risk $]]/Tabla1[[#This Row],[Position Size (shares)]]+Tabla1[[#This Row],[Entry Price]]</f>
        <v>263.7</v>
      </c>
      <c r="P204">
        <f>Tabla1[[#This Row],[Initial Risk $]]/Tabla1[[#This Row],[Position Size (shares)]]*2+Tabla1[[#This Row],[Entry Price]]</f>
        <v>264.7</v>
      </c>
      <c r="Q204">
        <f>Tabla1[[#This Row],[Initial Risk $]]/Tabla1[[#This Row],[Position Size (shares)]]*3+Tabla1[[#This Row],[Entry Price]]</f>
        <v>265.7</v>
      </c>
    </row>
    <row r="205" spans="1:17" hidden="1" x14ac:dyDescent="0.25">
      <c r="A205" t="str">
        <f t="shared" si="40"/>
        <v>T-204</v>
      </c>
      <c r="B205" s="1">
        <v>46162</v>
      </c>
      <c r="C205" t="s">
        <v>135</v>
      </c>
      <c r="D205" t="s">
        <v>28</v>
      </c>
      <c r="E205" t="s">
        <v>58</v>
      </c>
      <c r="F205">
        <v>252.74</v>
      </c>
      <c r="G205">
        <v>251.15</v>
      </c>
      <c r="H205">
        <v>3</v>
      </c>
      <c r="I205">
        <f t="shared" si="41"/>
        <v>4.7700000000000102</v>
      </c>
      <c r="J205">
        <v>1</v>
      </c>
      <c r="K205">
        <f t="shared" si="38"/>
        <v>4.7700000000000102</v>
      </c>
      <c r="L205" t="s">
        <v>72</v>
      </c>
      <c r="M205">
        <f>SUMIF(Executions!B:B,A205,Executions!H:H)</f>
        <v>8.8199999999999932</v>
      </c>
      <c r="N205">
        <f t="shared" si="39"/>
        <v>1.8490566037735796</v>
      </c>
      <c r="O205">
        <f>Tabla1[[#This Row],[Initial Risk $]]/Tabla1[[#This Row],[Position Size (shares)]]+Tabla1[[#This Row],[Entry Price]]</f>
        <v>254.33</v>
      </c>
      <c r="P205">
        <f>Tabla1[[#This Row],[Initial Risk $]]/Tabla1[[#This Row],[Position Size (shares)]]*2+Tabla1[[#This Row],[Entry Price]]</f>
        <v>255.92000000000002</v>
      </c>
      <c r="Q205">
        <f>Tabla1[[#This Row],[Initial Risk $]]/Tabla1[[#This Row],[Position Size (shares)]]*3+Tabla1[[#This Row],[Entry Price]]</f>
        <v>257.51</v>
      </c>
    </row>
    <row r="206" spans="1:17" hidden="1" x14ac:dyDescent="0.25">
      <c r="A206" t="str">
        <f t="shared" si="40"/>
        <v>T-205</v>
      </c>
      <c r="B206" s="1">
        <v>46162</v>
      </c>
      <c r="C206" t="s">
        <v>135</v>
      </c>
      <c r="D206" t="s">
        <v>28</v>
      </c>
      <c r="E206" t="s">
        <v>58</v>
      </c>
      <c r="F206">
        <v>252.74</v>
      </c>
      <c r="G206">
        <v>247.04</v>
      </c>
      <c r="H206">
        <v>1</v>
      </c>
      <c r="I206">
        <f t="shared" si="41"/>
        <v>5.7000000000000171</v>
      </c>
      <c r="J206">
        <v>1</v>
      </c>
      <c r="K206">
        <f t="shared" si="38"/>
        <v>5.7000000000000171</v>
      </c>
      <c r="L206" t="s">
        <v>72</v>
      </c>
      <c r="M206">
        <f>SUMIF(Executions!B:B,A206,Executions!H:H)</f>
        <v>165.71999999999997</v>
      </c>
      <c r="N206">
        <f t="shared" si="39"/>
        <v>29.073684210526224</v>
      </c>
      <c r="O206">
        <f>Tabla1[[#This Row],[Initial Risk $]]/Tabla1[[#This Row],[Position Size (shares)]]+Tabla1[[#This Row],[Entry Price]]</f>
        <v>258.44000000000005</v>
      </c>
      <c r="P206">
        <f>Tabla1[[#This Row],[Initial Risk $]]/Tabla1[[#This Row],[Position Size (shares)]]*2+Tabla1[[#This Row],[Entry Price]]</f>
        <v>264.14000000000004</v>
      </c>
      <c r="Q206">
        <f>Tabla1[[#This Row],[Initial Risk $]]/Tabla1[[#This Row],[Position Size (shares)]]*3+Tabla1[[#This Row],[Entry Price]]</f>
        <v>269.84000000000003</v>
      </c>
    </row>
    <row r="207" spans="1:17" hidden="1" x14ac:dyDescent="0.25">
      <c r="A207" t="str">
        <f t="shared" ref="A207:A213" si="42">"T-"&amp; TEXT(ROW()-1,"000")</f>
        <v>T-206</v>
      </c>
      <c r="B207" s="1">
        <v>46163</v>
      </c>
      <c r="C207" t="s">
        <v>233</v>
      </c>
      <c r="D207" t="s">
        <v>28</v>
      </c>
      <c r="E207" t="s">
        <v>49</v>
      </c>
      <c r="F207">
        <v>422.59</v>
      </c>
      <c r="G207">
        <v>420.6</v>
      </c>
      <c r="H207">
        <v>3</v>
      </c>
      <c r="I207">
        <f t="shared" ref="I207:I213" si="43">IF(D207="Long",(F207-G207)*H207,(G207-F207)*0)</f>
        <v>5.9699999999998568</v>
      </c>
      <c r="J207">
        <v>1</v>
      </c>
      <c r="K207">
        <f t="shared" si="38"/>
        <v>5.9699999999998568</v>
      </c>
      <c r="L207" t="s">
        <v>72</v>
      </c>
      <c r="M207">
        <f>SUMIF(Executions!B:B,A207,Executions!H:H)</f>
        <v>-5.8799999999999386</v>
      </c>
      <c r="N207">
        <f t="shared" si="39"/>
        <v>-0.98492462311559126</v>
      </c>
      <c r="O207">
        <f>Tabla1[[#This Row],[Initial Risk $]]/Tabla1[[#This Row],[Position Size (shares)]]+Tabla1[[#This Row],[Entry Price]]</f>
        <v>424.57999999999993</v>
      </c>
      <c r="P207">
        <f>Tabla1[[#This Row],[Initial Risk $]]/Tabla1[[#This Row],[Position Size (shares)]]*2+Tabla1[[#This Row],[Entry Price]]</f>
        <v>426.56999999999988</v>
      </c>
      <c r="Q207">
        <f>Tabla1[[#This Row],[Initial Risk $]]/Tabla1[[#This Row],[Position Size (shares)]]*3+Tabla1[[#This Row],[Entry Price]]</f>
        <v>428.55999999999983</v>
      </c>
    </row>
    <row r="208" spans="1:17" hidden="1" x14ac:dyDescent="0.25">
      <c r="A208" t="str">
        <f t="shared" si="42"/>
        <v>T-207</v>
      </c>
      <c r="B208" s="1">
        <v>46163</v>
      </c>
      <c r="C208" t="s">
        <v>383</v>
      </c>
      <c r="D208" t="s">
        <v>28</v>
      </c>
      <c r="E208" t="s">
        <v>58</v>
      </c>
      <c r="F208">
        <v>653.72</v>
      </c>
      <c r="G208">
        <v>649.72</v>
      </c>
      <c r="H208">
        <v>2</v>
      </c>
      <c r="I208">
        <f t="shared" si="43"/>
        <v>8</v>
      </c>
      <c r="J208">
        <v>1</v>
      </c>
      <c r="K208">
        <f t="shared" si="38"/>
        <v>8</v>
      </c>
      <c r="L208" t="s">
        <v>72</v>
      </c>
      <c r="M208">
        <f>SUMIF(Executions!B:B,A208,Executions!H:H)</f>
        <v>-8.5800000000001546</v>
      </c>
      <c r="N208">
        <f t="shared" si="39"/>
        <v>-1.0725000000000193</v>
      </c>
      <c r="O208">
        <f>Tabla1[[#This Row],[Initial Risk $]]/Tabla1[[#This Row],[Position Size (shares)]]+Tabla1[[#This Row],[Entry Price]]</f>
        <v>657.72</v>
      </c>
      <c r="P208">
        <f>Tabla1[[#This Row],[Initial Risk $]]/Tabla1[[#This Row],[Position Size (shares)]]*2+Tabla1[[#This Row],[Entry Price]]</f>
        <v>661.72</v>
      </c>
      <c r="Q208">
        <f>Tabla1[[#This Row],[Initial Risk $]]/Tabla1[[#This Row],[Position Size (shares)]]*3+Tabla1[[#This Row],[Entry Price]]</f>
        <v>665.72</v>
      </c>
    </row>
    <row r="209" spans="1:17" hidden="1" x14ac:dyDescent="0.25">
      <c r="A209" t="str">
        <f t="shared" si="42"/>
        <v>T-208</v>
      </c>
      <c r="B209" s="1">
        <v>46163</v>
      </c>
      <c r="C209" t="s">
        <v>164</v>
      </c>
      <c r="D209" t="s">
        <v>28</v>
      </c>
      <c r="E209" t="s">
        <v>51</v>
      </c>
      <c r="F209">
        <v>222.51</v>
      </c>
      <c r="G209">
        <v>220.51</v>
      </c>
      <c r="H209">
        <v>4</v>
      </c>
      <c r="I209">
        <f t="shared" si="43"/>
        <v>8</v>
      </c>
      <c r="J209">
        <v>1</v>
      </c>
      <c r="K209">
        <f t="shared" si="38"/>
        <v>8</v>
      </c>
      <c r="L209" t="s">
        <v>72</v>
      </c>
      <c r="M209">
        <f>SUMIF(Executions!B:B,A209,Executions!H:H)</f>
        <v>-8.0799999999999272</v>
      </c>
      <c r="N209">
        <f t="shared" si="39"/>
        <v>-1.0099999999999909</v>
      </c>
      <c r="O209">
        <f>Tabla1[[#This Row],[Initial Risk $]]/Tabla1[[#This Row],[Position Size (shares)]]+Tabla1[[#This Row],[Entry Price]]</f>
        <v>224.51</v>
      </c>
      <c r="P209">
        <f>Tabla1[[#This Row],[Initial Risk $]]/Tabla1[[#This Row],[Position Size (shares)]]*2+Tabla1[[#This Row],[Entry Price]]</f>
        <v>226.51</v>
      </c>
      <c r="Q209">
        <f>Tabla1[[#This Row],[Initial Risk $]]/Tabla1[[#This Row],[Position Size (shares)]]*3+Tabla1[[#This Row],[Entry Price]]</f>
        <v>228.51</v>
      </c>
    </row>
    <row r="210" spans="1:17" hidden="1" x14ac:dyDescent="0.25">
      <c r="A210" t="str">
        <f t="shared" si="42"/>
        <v>T-209</v>
      </c>
      <c r="B210" s="1">
        <v>46163</v>
      </c>
      <c r="C210" t="s">
        <v>279</v>
      </c>
      <c r="D210" t="s">
        <v>28</v>
      </c>
      <c r="E210" t="s">
        <v>58</v>
      </c>
      <c r="F210">
        <v>745.23</v>
      </c>
      <c r="G210">
        <v>741.23</v>
      </c>
      <c r="H210">
        <v>2</v>
      </c>
      <c r="I210">
        <f t="shared" si="43"/>
        <v>8</v>
      </c>
      <c r="J210">
        <v>1</v>
      </c>
      <c r="K210">
        <f t="shared" si="38"/>
        <v>8</v>
      </c>
      <c r="L210" t="s">
        <v>72</v>
      </c>
      <c r="M210">
        <f>SUMIF(Executions!B:B,A210,Executions!H:H)</f>
        <v>17.779999999999973</v>
      </c>
      <c r="N210">
        <f t="shared" si="39"/>
        <v>2.2224999999999966</v>
      </c>
      <c r="O210">
        <f>Tabla1[[#This Row],[Initial Risk $]]/Tabla1[[#This Row],[Position Size (shares)]]+Tabla1[[#This Row],[Entry Price]]</f>
        <v>749.23</v>
      </c>
      <c r="P210">
        <f>Tabla1[[#This Row],[Initial Risk $]]/Tabla1[[#This Row],[Position Size (shares)]]*2+Tabla1[[#This Row],[Entry Price]]</f>
        <v>753.23</v>
      </c>
      <c r="Q210">
        <f>Tabla1[[#This Row],[Initial Risk $]]/Tabla1[[#This Row],[Position Size (shares)]]*3+Tabla1[[#This Row],[Entry Price]]</f>
        <v>757.23</v>
      </c>
    </row>
    <row r="211" spans="1:17" hidden="1" x14ac:dyDescent="0.25">
      <c r="A211" t="str">
        <f t="shared" si="42"/>
        <v>T-210</v>
      </c>
      <c r="B211" s="1">
        <v>46163</v>
      </c>
      <c r="C211" t="s">
        <v>383</v>
      </c>
      <c r="D211" t="s">
        <v>28</v>
      </c>
      <c r="E211" t="s">
        <v>58</v>
      </c>
      <c r="F211">
        <v>648.72</v>
      </c>
      <c r="G211">
        <v>645.72</v>
      </c>
      <c r="H211">
        <v>2</v>
      </c>
      <c r="I211">
        <f t="shared" si="43"/>
        <v>6</v>
      </c>
      <c r="J211">
        <v>1</v>
      </c>
      <c r="K211">
        <f t="shared" si="38"/>
        <v>6</v>
      </c>
      <c r="L211" t="s">
        <v>72</v>
      </c>
      <c r="M211">
        <f>SUMIF(Executions!B:B,A211,Executions!H:H)</f>
        <v>-6.7599999999999909</v>
      </c>
      <c r="N211">
        <f t="shared" si="39"/>
        <v>-1.1266666666666652</v>
      </c>
      <c r="O211">
        <f>Tabla1[[#This Row],[Initial Risk $]]/Tabla1[[#This Row],[Position Size (shares)]]+Tabla1[[#This Row],[Entry Price]]</f>
        <v>651.72</v>
      </c>
      <c r="P211">
        <f>Tabla1[[#This Row],[Initial Risk $]]/Tabla1[[#This Row],[Position Size (shares)]]*2+Tabla1[[#This Row],[Entry Price]]</f>
        <v>654.72</v>
      </c>
      <c r="Q211">
        <f>Tabla1[[#This Row],[Initial Risk $]]/Tabla1[[#This Row],[Position Size (shares)]]*3+Tabla1[[#This Row],[Entry Price]]</f>
        <v>657.72</v>
      </c>
    </row>
    <row r="212" spans="1:17" hidden="1" x14ac:dyDescent="0.25">
      <c r="A212" t="str">
        <f t="shared" si="42"/>
        <v>T-211</v>
      </c>
      <c r="B212" s="1">
        <v>46163</v>
      </c>
      <c r="C212" t="s">
        <v>385</v>
      </c>
      <c r="D212" t="s">
        <v>28</v>
      </c>
      <c r="E212" t="s">
        <v>51</v>
      </c>
      <c r="F212">
        <v>5.42</v>
      </c>
      <c r="G212">
        <v>5.0199999999999996</v>
      </c>
      <c r="H212">
        <v>10</v>
      </c>
      <c r="I212">
        <f t="shared" si="43"/>
        <v>4.0000000000000036</v>
      </c>
      <c r="J212">
        <v>1</v>
      </c>
      <c r="K212">
        <f t="shared" si="38"/>
        <v>4.0000000000000036</v>
      </c>
      <c r="L212" t="s">
        <v>72</v>
      </c>
      <c r="M212">
        <f>SUMIF(Executions!B:B,A212,Executions!H:H)</f>
        <v>-4.1999999999999993</v>
      </c>
      <c r="N212">
        <f t="shared" si="39"/>
        <v>-1.0499999999999989</v>
      </c>
      <c r="O212">
        <f>Tabla1[[#This Row],[Initial Risk $]]/Tabla1[[#This Row],[Position Size (shares)]]+Tabla1[[#This Row],[Entry Price]]</f>
        <v>5.82</v>
      </c>
      <c r="P212">
        <f>Tabla1[[#This Row],[Initial Risk $]]/Tabla1[[#This Row],[Position Size (shares)]]*2+Tabla1[[#This Row],[Entry Price]]</f>
        <v>6.2200000000000006</v>
      </c>
      <c r="Q212">
        <f>Tabla1[[#This Row],[Initial Risk $]]/Tabla1[[#This Row],[Position Size (shares)]]*3+Tabla1[[#This Row],[Entry Price]]</f>
        <v>6.620000000000001</v>
      </c>
    </row>
    <row r="213" spans="1:17" hidden="1" x14ac:dyDescent="0.25">
      <c r="A213" t="str">
        <f t="shared" si="42"/>
        <v>T-212</v>
      </c>
      <c r="B213" s="1">
        <v>46163</v>
      </c>
      <c r="C213" t="s">
        <v>387</v>
      </c>
      <c r="D213" t="s">
        <v>28</v>
      </c>
      <c r="E213" t="s">
        <v>119</v>
      </c>
      <c r="F213">
        <v>412.72</v>
      </c>
      <c r="G213">
        <v>411.28</v>
      </c>
      <c r="H213">
        <v>3</v>
      </c>
      <c r="I213">
        <f t="shared" si="43"/>
        <v>4.3200000000001637</v>
      </c>
      <c r="J213">
        <v>1</v>
      </c>
      <c r="K213">
        <f t="shared" si="38"/>
        <v>4.3200000000001637</v>
      </c>
      <c r="L213" t="s">
        <v>72</v>
      </c>
      <c r="M213">
        <f>SUMIF(Executions!B:B,A213,Executions!H:H)</f>
        <v>3.5099999999998772</v>
      </c>
      <c r="N213">
        <f t="shared" si="39"/>
        <v>0.81249999999994083</v>
      </c>
      <c r="O213">
        <f>Tabla1[[#This Row],[Initial Risk $]]/Tabla1[[#This Row],[Position Size (shares)]]+Tabla1[[#This Row],[Entry Price]]</f>
        <v>414.16000000000008</v>
      </c>
      <c r="P213">
        <f>Tabla1[[#This Row],[Initial Risk $]]/Tabla1[[#This Row],[Position Size (shares)]]*2+Tabla1[[#This Row],[Entry Price]]</f>
        <v>415.60000000000014</v>
      </c>
      <c r="Q213">
        <f>Tabla1[[#This Row],[Initial Risk $]]/Tabla1[[#This Row],[Position Size (shares)]]*3+Tabla1[[#This Row],[Entry Price]]</f>
        <v>417.04000000000019</v>
      </c>
    </row>
    <row r="214" spans="1:17" hidden="1" x14ac:dyDescent="0.25">
      <c r="A214" t="str">
        <f t="shared" ref="A214:A222" si="44">"T-"&amp; TEXT(ROW()-1,"000")</f>
        <v>T-213</v>
      </c>
      <c r="B214" s="1">
        <v>46164</v>
      </c>
      <c r="C214" t="s">
        <v>161</v>
      </c>
      <c r="D214" t="s">
        <v>28</v>
      </c>
      <c r="E214" t="s">
        <v>58</v>
      </c>
      <c r="F214">
        <v>119.81</v>
      </c>
      <c r="G214">
        <v>118.81</v>
      </c>
      <c r="H214">
        <v>6</v>
      </c>
      <c r="I214">
        <f t="shared" ref="I214:I222" si="45">IF(D214="Long",(F214-G214)*H214,(G214-F214)*0)</f>
        <v>6</v>
      </c>
      <c r="J214">
        <v>1</v>
      </c>
      <c r="K214">
        <f t="shared" si="38"/>
        <v>6</v>
      </c>
      <c r="L214" t="s">
        <v>72</v>
      </c>
      <c r="M214">
        <f>SUMIF(Executions!B:B,A214,Executions!H:H)</f>
        <v>6.6599999999999966</v>
      </c>
      <c r="N214">
        <f t="shared" si="39"/>
        <v>1.1099999999999994</v>
      </c>
      <c r="O214">
        <f>Tabla1[[#This Row],[Initial Risk $]]/Tabla1[[#This Row],[Position Size (shares)]]+Tabla1[[#This Row],[Entry Price]]</f>
        <v>120.81</v>
      </c>
      <c r="P214">
        <f>Tabla1[[#This Row],[Initial Risk $]]/Tabla1[[#This Row],[Position Size (shares)]]*2+Tabla1[[#This Row],[Entry Price]]</f>
        <v>121.81</v>
      </c>
      <c r="Q214">
        <f>Tabla1[[#This Row],[Initial Risk $]]/Tabla1[[#This Row],[Position Size (shares)]]*3+Tabla1[[#This Row],[Entry Price]]</f>
        <v>122.81</v>
      </c>
    </row>
    <row r="215" spans="1:17" hidden="1" x14ac:dyDescent="0.25">
      <c r="A215" t="str">
        <f t="shared" si="44"/>
        <v>T-214</v>
      </c>
      <c r="B215" s="1">
        <v>46164</v>
      </c>
      <c r="C215" t="s">
        <v>161</v>
      </c>
      <c r="D215" t="s">
        <v>28</v>
      </c>
      <c r="E215" t="s">
        <v>58</v>
      </c>
      <c r="F215">
        <v>119.63</v>
      </c>
      <c r="G215">
        <v>118.25</v>
      </c>
      <c r="H215">
        <v>6</v>
      </c>
      <c r="I215">
        <f t="shared" si="45"/>
        <v>8.2799999999999727</v>
      </c>
      <c r="J215">
        <v>1</v>
      </c>
      <c r="K215">
        <f t="shared" si="38"/>
        <v>8.2799999999999727</v>
      </c>
      <c r="L215" t="s">
        <v>72</v>
      </c>
      <c r="M215">
        <f>SUMIF(Executions!B:B,A215,Executions!H:H)</f>
        <v>-8.2799999999999727</v>
      </c>
      <c r="N215">
        <f t="shared" si="39"/>
        <v>-1</v>
      </c>
      <c r="O215">
        <f>Tabla1[[#This Row],[Initial Risk $]]/Tabla1[[#This Row],[Position Size (shares)]]+Tabla1[[#This Row],[Entry Price]]</f>
        <v>121.00999999999999</v>
      </c>
      <c r="P215">
        <f>Tabla1[[#This Row],[Initial Risk $]]/Tabla1[[#This Row],[Position Size (shares)]]*2+Tabla1[[#This Row],[Entry Price]]</f>
        <v>122.38999999999999</v>
      </c>
      <c r="Q215">
        <f>Tabla1[[#This Row],[Initial Risk $]]/Tabla1[[#This Row],[Position Size (shares)]]*3+Tabla1[[#This Row],[Entry Price]]</f>
        <v>123.76999999999998</v>
      </c>
    </row>
    <row r="216" spans="1:17" hidden="1" x14ac:dyDescent="0.25">
      <c r="A216" t="str">
        <f t="shared" si="44"/>
        <v>T-215</v>
      </c>
      <c r="B216" s="1">
        <v>46164</v>
      </c>
      <c r="C216" t="s">
        <v>130</v>
      </c>
      <c r="D216" t="s">
        <v>28</v>
      </c>
      <c r="E216" t="s">
        <v>58</v>
      </c>
      <c r="F216">
        <v>471.95</v>
      </c>
      <c r="G216">
        <v>469.71</v>
      </c>
      <c r="H216">
        <v>3</v>
      </c>
      <c r="I216">
        <f t="shared" si="45"/>
        <v>6.7200000000000273</v>
      </c>
      <c r="J216">
        <v>1</v>
      </c>
      <c r="K216">
        <f t="shared" si="38"/>
        <v>6.7200000000000273</v>
      </c>
      <c r="L216" t="s">
        <v>72</v>
      </c>
      <c r="M216">
        <f>SUMIF(Executions!B:B,A216,Executions!H:H)</f>
        <v>-7.8600000000000136</v>
      </c>
      <c r="N216">
        <f t="shared" si="39"/>
        <v>-1.1696428571428543</v>
      </c>
      <c r="O216">
        <f>Tabla1[[#This Row],[Initial Risk $]]/Tabla1[[#This Row],[Position Size (shares)]]+Tabla1[[#This Row],[Entry Price]]</f>
        <v>474.19</v>
      </c>
      <c r="P216">
        <f>Tabla1[[#This Row],[Initial Risk $]]/Tabla1[[#This Row],[Position Size (shares)]]*2+Tabla1[[#This Row],[Entry Price]]</f>
        <v>476.43</v>
      </c>
      <c r="Q216">
        <f>Tabla1[[#This Row],[Initial Risk $]]/Tabla1[[#This Row],[Position Size (shares)]]*3+Tabla1[[#This Row],[Entry Price]]</f>
        <v>478.67</v>
      </c>
    </row>
    <row r="217" spans="1:17" hidden="1" x14ac:dyDescent="0.25">
      <c r="A217" t="str">
        <f t="shared" si="44"/>
        <v>T-216</v>
      </c>
      <c r="B217" s="1">
        <v>46164</v>
      </c>
      <c r="C217" t="s">
        <v>161</v>
      </c>
      <c r="D217" t="s">
        <v>28</v>
      </c>
      <c r="E217" t="s">
        <v>58</v>
      </c>
      <c r="F217">
        <v>119.63</v>
      </c>
      <c r="G217">
        <v>117.95</v>
      </c>
      <c r="H217">
        <v>6</v>
      </c>
      <c r="I217">
        <f t="shared" si="45"/>
        <v>10.079999999999956</v>
      </c>
      <c r="J217">
        <v>1</v>
      </c>
      <c r="K217">
        <f t="shared" si="38"/>
        <v>10.079999999999956</v>
      </c>
      <c r="L217" t="s">
        <v>72</v>
      </c>
      <c r="M217">
        <f>SUMIF(Executions!B:B,A217,Executions!H:H)</f>
        <v>9.780000000000058</v>
      </c>
      <c r="N217">
        <f t="shared" si="39"/>
        <v>0.97023809523810522</v>
      </c>
      <c r="O217">
        <f>Tabla1[[#This Row],[Initial Risk $]]/Tabla1[[#This Row],[Position Size (shares)]]+Tabla1[[#This Row],[Entry Price]]</f>
        <v>121.30999999999999</v>
      </c>
      <c r="P217">
        <f>Tabla1[[#This Row],[Initial Risk $]]/Tabla1[[#This Row],[Position Size (shares)]]*2+Tabla1[[#This Row],[Entry Price]]</f>
        <v>122.98999999999998</v>
      </c>
      <c r="Q217">
        <f>Tabla1[[#This Row],[Initial Risk $]]/Tabla1[[#This Row],[Position Size (shares)]]*3+Tabla1[[#This Row],[Entry Price]]</f>
        <v>124.66999999999997</v>
      </c>
    </row>
    <row r="218" spans="1:17" hidden="1" x14ac:dyDescent="0.25">
      <c r="A218" t="str">
        <f t="shared" si="44"/>
        <v>T-217</v>
      </c>
      <c r="B218" s="1">
        <v>46164</v>
      </c>
      <c r="C218" t="s">
        <v>279</v>
      </c>
      <c r="D218" t="s">
        <v>28</v>
      </c>
      <c r="E218" t="s">
        <v>119</v>
      </c>
      <c r="F218">
        <v>754.62</v>
      </c>
      <c r="G218">
        <v>751.62</v>
      </c>
      <c r="H218">
        <v>2</v>
      </c>
      <c r="I218">
        <f t="shared" si="45"/>
        <v>6</v>
      </c>
      <c r="J218">
        <v>1</v>
      </c>
      <c r="K218">
        <f t="shared" si="38"/>
        <v>6</v>
      </c>
      <c r="L218" t="s">
        <v>72</v>
      </c>
      <c r="M218">
        <f>SUMIF(Executions!B:B,A218,Executions!H:H)</f>
        <v>22.779999999999973</v>
      </c>
      <c r="N218">
        <f t="shared" si="39"/>
        <v>3.796666666666662</v>
      </c>
      <c r="O218">
        <f>Tabla1[[#This Row],[Initial Risk $]]/Tabla1[[#This Row],[Position Size (shares)]]+Tabla1[[#This Row],[Entry Price]]</f>
        <v>757.62</v>
      </c>
      <c r="P218">
        <f>Tabla1[[#This Row],[Initial Risk $]]/Tabla1[[#This Row],[Position Size (shares)]]*2+Tabla1[[#This Row],[Entry Price]]</f>
        <v>760.62</v>
      </c>
      <c r="Q218">
        <f>Tabla1[[#This Row],[Initial Risk $]]/Tabla1[[#This Row],[Position Size (shares)]]*3+Tabla1[[#This Row],[Entry Price]]</f>
        <v>763.62</v>
      </c>
    </row>
    <row r="219" spans="1:17" hidden="1" x14ac:dyDescent="0.25">
      <c r="A219" t="str">
        <f t="shared" si="44"/>
        <v>T-218</v>
      </c>
      <c r="B219" s="1">
        <v>46164</v>
      </c>
      <c r="C219" t="s">
        <v>233</v>
      </c>
      <c r="D219" t="s">
        <v>28</v>
      </c>
      <c r="E219" t="s">
        <v>119</v>
      </c>
      <c r="F219">
        <v>420.11</v>
      </c>
      <c r="G219">
        <v>418.69</v>
      </c>
      <c r="H219">
        <v>3</v>
      </c>
      <c r="I219">
        <f t="shared" si="45"/>
        <v>4.2600000000000477</v>
      </c>
      <c r="J219">
        <v>1</v>
      </c>
      <c r="K219">
        <f t="shared" si="38"/>
        <v>4.2600000000000477</v>
      </c>
      <c r="L219" t="s">
        <v>72</v>
      </c>
      <c r="M219">
        <f>SUMIF(Executions!B:B,A219,Executions!H:H)</f>
        <v>-4.4400000000000546</v>
      </c>
      <c r="N219">
        <f t="shared" si="39"/>
        <v>-1.0422535211267616</v>
      </c>
      <c r="O219">
        <f>Tabla1[[#This Row],[Initial Risk $]]/Tabla1[[#This Row],[Position Size (shares)]]+Tabla1[[#This Row],[Entry Price]]</f>
        <v>421.53000000000003</v>
      </c>
      <c r="P219">
        <f>Tabla1[[#This Row],[Initial Risk $]]/Tabla1[[#This Row],[Position Size (shares)]]*2+Tabla1[[#This Row],[Entry Price]]</f>
        <v>422.95000000000005</v>
      </c>
      <c r="Q219">
        <f>Tabla1[[#This Row],[Initial Risk $]]/Tabla1[[#This Row],[Position Size (shares)]]*3+Tabla1[[#This Row],[Entry Price]]</f>
        <v>424.37000000000006</v>
      </c>
    </row>
    <row r="220" spans="1:17" hidden="1" x14ac:dyDescent="0.25">
      <c r="A220" t="str">
        <f t="shared" si="44"/>
        <v>T-219</v>
      </c>
      <c r="B220" s="1">
        <v>46164</v>
      </c>
      <c r="C220" t="s">
        <v>130</v>
      </c>
      <c r="D220" t="s">
        <v>28</v>
      </c>
      <c r="E220" t="s">
        <v>58</v>
      </c>
      <c r="F220">
        <v>470.81</v>
      </c>
      <c r="G220">
        <v>468.81</v>
      </c>
      <c r="H220">
        <v>2</v>
      </c>
      <c r="I220">
        <f t="shared" si="45"/>
        <v>4</v>
      </c>
      <c r="J220">
        <v>1</v>
      </c>
      <c r="K220">
        <f t="shared" si="38"/>
        <v>4</v>
      </c>
      <c r="L220" t="s">
        <v>72</v>
      </c>
      <c r="M220">
        <f>SUMIF(Executions!B:B,A220,Executions!H:H)</f>
        <v>-3.8999999999999773</v>
      </c>
      <c r="N220">
        <f t="shared" si="39"/>
        <v>-0.97499999999999432</v>
      </c>
      <c r="O220">
        <f>Tabla1[[#This Row],[Initial Risk $]]/Tabla1[[#This Row],[Position Size (shares)]]+Tabla1[[#This Row],[Entry Price]]</f>
        <v>472.81</v>
      </c>
      <c r="P220">
        <f>Tabla1[[#This Row],[Initial Risk $]]/Tabla1[[#This Row],[Position Size (shares)]]*2+Tabla1[[#This Row],[Entry Price]]</f>
        <v>474.81</v>
      </c>
      <c r="Q220">
        <f>Tabla1[[#This Row],[Initial Risk $]]/Tabla1[[#This Row],[Position Size (shares)]]*3+Tabla1[[#This Row],[Entry Price]]</f>
        <v>476.81</v>
      </c>
    </row>
    <row r="221" spans="1:17" hidden="1" x14ac:dyDescent="0.25">
      <c r="A221" t="str">
        <f t="shared" si="44"/>
        <v>T-220</v>
      </c>
      <c r="B221" s="1">
        <v>46164</v>
      </c>
      <c r="C221" t="s">
        <v>399</v>
      </c>
      <c r="D221" t="s">
        <v>28</v>
      </c>
      <c r="E221" t="s">
        <v>58</v>
      </c>
      <c r="F221">
        <v>25.26</v>
      </c>
      <c r="G221">
        <v>24.26</v>
      </c>
      <c r="H221">
        <v>8</v>
      </c>
      <c r="I221">
        <f t="shared" si="45"/>
        <v>8</v>
      </c>
      <c r="J221">
        <v>1</v>
      </c>
      <c r="K221">
        <f t="shared" si="38"/>
        <v>8</v>
      </c>
      <c r="L221" t="s">
        <v>72</v>
      </c>
      <c r="M221">
        <f>SUMIF(Executions!B:B,A221,Executions!H:H)</f>
        <v>-8</v>
      </c>
      <c r="N221">
        <f t="shared" si="39"/>
        <v>-1</v>
      </c>
      <c r="O221">
        <f>Tabla1[[#This Row],[Initial Risk $]]/Tabla1[[#This Row],[Position Size (shares)]]+Tabla1[[#This Row],[Entry Price]]</f>
        <v>26.26</v>
      </c>
      <c r="P221">
        <f>Tabla1[[#This Row],[Initial Risk $]]/Tabla1[[#This Row],[Position Size (shares)]]*2+Tabla1[[#This Row],[Entry Price]]</f>
        <v>27.26</v>
      </c>
      <c r="Q221">
        <f>Tabla1[[#This Row],[Initial Risk $]]/Tabla1[[#This Row],[Position Size (shares)]]*3+Tabla1[[#This Row],[Entry Price]]</f>
        <v>28.26</v>
      </c>
    </row>
    <row r="222" spans="1:17" hidden="1" x14ac:dyDescent="0.25">
      <c r="A222" t="str">
        <f t="shared" si="44"/>
        <v>T-221</v>
      </c>
      <c r="B222" s="1">
        <v>46163</v>
      </c>
      <c r="C222" t="s">
        <v>202</v>
      </c>
      <c r="D222" t="s">
        <v>28</v>
      </c>
      <c r="E222" t="s">
        <v>119</v>
      </c>
      <c r="F222">
        <v>8.42</v>
      </c>
      <c r="G222">
        <v>7.84</v>
      </c>
      <c r="H222">
        <v>10</v>
      </c>
      <c r="I222">
        <f t="shared" si="45"/>
        <v>5.8000000000000007</v>
      </c>
      <c r="J222">
        <v>1</v>
      </c>
      <c r="K222">
        <f t="shared" si="38"/>
        <v>5.8000000000000007</v>
      </c>
      <c r="L222" t="s">
        <v>72</v>
      </c>
      <c r="M222">
        <f>SUMIF(Executions!B:B,A222,Executions!H:H)</f>
        <v>-5.8999999999999986</v>
      </c>
      <c r="N222">
        <f t="shared" si="39"/>
        <v>-1.0172413793103445</v>
      </c>
      <c r="O222">
        <f>Tabla1[[#This Row],[Initial Risk $]]/Tabla1[[#This Row],[Position Size (shares)]]+Tabla1[[#This Row],[Entry Price]]</f>
        <v>9</v>
      </c>
      <c r="P222">
        <f>Tabla1[[#This Row],[Initial Risk $]]/Tabla1[[#This Row],[Position Size (shares)]]*2+Tabla1[[#This Row],[Entry Price]]</f>
        <v>9.58</v>
      </c>
      <c r="Q222">
        <f>Tabla1[[#This Row],[Initial Risk $]]/Tabla1[[#This Row],[Position Size (shares)]]*3+Tabla1[[#This Row],[Entry Price]]</f>
        <v>10.16</v>
      </c>
    </row>
    <row r="223" spans="1:17" hidden="1" x14ac:dyDescent="0.25">
      <c r="A223" t="str">
        <f t="shared" ref="A223:A230" si="46">"T-"&amp; TEXT(ROW()-1,"000")</f>
        <v>T-222</v>
      </c>
      <c r="B223" s="1">
        <v>46168</v>
      </c>
      <c r="C223" t="s">
        <v>401</v>
      </c>
      <c r="D223" t="s">
        <v>28</v>
      </c>
      <c r="E223" t="s">
        <v>58</v>
      </c>
      <c r="F223">
        <v>5.19</v>
      </c>
      <c r="G223">
        <v>4.75</v>
      </c>
      <c r="H223">
        <v>10</v>
      </c>
      <c r="I223">
        <f t="shared" ref="I223:I230" si="47">IF(D223="Long",(F223-G223)*H223,(G223-F223)*0)</f>
        <v>4.4000000000000039</v>
      </c>
      <c r="J223">
        <v>1</v>
      </c>
      <c r="K223">
        <f t="shared" si="38"/>
        <v>4.4000000000000039</v>
      </c>
      <c r="L223" t="s">
        <v>72</v>
      </c>
      <c r="M223">
        <f>SUMIF(Executions!B:B,A223,Executions!H:H)</f>
        <v>-4.7000000000000064</v>
      </c>
      <c r="N223">
        <f t="shared" si="39"/>
        <v>-1.0681818181818188</v>
      </c>
      <c r="O223">
        <f>Tabla1[[#This Row],[Initial Risk $]]/Tabla1[[#This Row],[Position Size (shares)]]+Tabla1[[#This Row],[Entry Price]]</f>
        <v>5.6300000000000008</v>
      </c>
      <c r="P223">
        <f>Tabla1[[#This Row],[Initial Risk $]]/Tabla1[[#This Row],[Position Size (shares)]]*2+Tabla1[[#This Row],[Entry Price]]</f>
        <v>6.0700000000000012</v>
      </c>
      <c r="Q223">
        <f>Tabla1[[#This Row],[Initial Risk $]]/Tabla1[[#This Row],[Position Size (shares)]]*3+Tabla1[[#This Row],[Entry Price]]</f>
        <v>6.5100000000000016</v>
      </c>
    </row>
    <row r="224" spans="1:17" hidden="1" x14ac:dyDescent="0.25">
      <c r="A224" t="str">
        <f t="shared" si="46"/>
        <v>T-223</v>
      </c>
      <c r="B224" s="1">
        <v>46168</v>
      </c>
      <c r="C224" t="s">
        <v>161</v>
      </c>
      <c r="D224" t="s">
        <v>28</v>
      </c>
      <c r="E224" t="s">
        <v>58</v>
      </c>
      <c r="F224">
        <v>119.02</v>
      </c>
      <c r="G224">
        <v>118.02</v>
      </c>
      <c r="H224">
        <v>8</v>
      </c>
      <c r="I224">
        <f t="shared" si="47"/>
        <v>8</v>
      </c>
      <c r="J224">
        <v>1</v>
      </c>
      <c r="K224">
        <f t="shared" si="38"/>
        <v>8</v>
      </c>
      <c r="L224" t="s">
        <v>72</v>
      </c>
      <c r="M224">
        <f>SUMIF(Executions!B:B,A224,Executions!H:H)</f>
        <v>24.200000000000045</v>
      </c>
      <c r="N224">
        <f t="shared" si="39"/>
        <v>3.0250000000000057</v>
      </c>
      <c r="O224">
        <f>Tabla1[[#This Row],[Initial Risk $]]/Tabla1[[#This Row],[Position Size (shares)]]+Tabla1[[#This Row],[Entry Price]]</f>
        <v>120.02</v>
      </c>
      <c r="P224">
        <f>Tabla1[[#This Row],[Initial Risk $]]/Tabla1[[#This Row],[Position Size (shares)]]*2+Tabla1[[#This Row],[Entry Price]]</f>
        <v>121.02</v>
      </c>
      <c r="Q224">
        <f>Tabla1[[#This Row],[Initial Risk $]]/Tabla1[[#This Row],[Position Size (shares)]]*3+Tabla1[[#This Row],[Entry Price]]</f>
        <v>122.02</v>
      </c>
    </row>
    <row r="225" spans="1:17" hidden="1" x14ac:dyDescent="0.25">
      <c r="A225" t="str">
        <f t="shared" si="46"/>
        <v>T-224</v>
      </c>
      <c r="B225" s="1">
        <v>46168</v>
      </c>
      <c r="C225" t="s">
        <v>402</v>
      </c>
      <c r="D225" t="s">
        <v>28</v>
      </c>
      <c r="E225" t="s">
        <v>58</v>
      </c>
      <c r="F225">
        <v>8.2200000000000006</v>
      </c>
      <c r="G225">
        <v>7.22</v>
      </c>
      <c r="H225">
        <v>4</v>
      </c>
      <c r="I225">
        <f t="shared" si="47"/>
        <v>4.0000000000000036</v>
      </c>
      <c r="J225">
        <v>1</v>
      </c>
      <c r="K225">
        <f t="shared" si="38"/>
        <v>4.0000000000000036</v>
      </c>
      <c r="L225" t="s">
        <v>72</v>
      </c>
      <c r="M225">
        <f>SUMIF(Executions!B:B,A225,Executions!H:H)</f>
        <v>8.519999999999996</v>
      </c>
      <c r="N225">
        <f t="shared" si="39"/>
        <v>2.1299999999999972</v>
      </c>
      <c r="O225">
        <f>Tabla1[[#This Row],[Initial Risk $]]/Tabla1[[#This Row],[Position Size (shares)]]+Tabla1[[#This Row],[Entry Price]]</f>
        <v>9.2200000000000024</v>
      </c>
      <c r="P225">
        <f>Tabla1[[#This Row],[Initial Risk $]]/Tabla1[[#This Row],[Position Size (shares)]]*2+Tabla1[[#This Row],[Entry Price]]</f>
        <v>10.220000000000002</v>
      </c>
      <c r="Q225">
        <f>Tabla1[[#This Row],[Initial Risk $]]/Tabla1[[#This Row],[Position Size (shares)]]*3+Tabla1[[#This Row],[Entry Price]]</f>
        <v>11.220000000000002</v>
      </c>
    </row>
    <row r="226" spans="1:17" hidden="1" x14ac:dyDescent="0.25">
      <c r="A226" t="str">
        <f t="shared" si="46"/>
        <v>T-225</v>
      </c>
      <c r="B226" s="1">
        <v>46168</v>
      </c>
      <c r="C226" t="s">
        <v>279</v>
      </c>
      <c r="D226" t="s">
        <v>28</v>
      </c>
      <c r="E226" t="s">
        <v>58</v>
      </c>
      <c r="F226">
        <v>844.26</v>
      </c>
      <c r="G226">
        <v>824.26</v>
      </c>
      <c r="H226">
        <v>2</v>
      </c>
      <c r="I226">
        <f t="shared" si="47"/>
        <v>40</v>
      </c>
      <c r="J226">
        <v>1</v>
      </c>
      <c r="K226">
        <f t="shared" si="38"/>
        <v>40</v>
      </c>
      <c r="L226" t="s">
        <v>72</v>
      </c>
      <c r="M226">
        <f>SUMIF(Executions!B:B,A226,Executions!H:H)</f>
        <v>45.980000000000018</v>
      </c>
      <c r="N226">
        <f t="shared" si="39"/>
        <v>1.1495000000000004</v>
      </c>
      <c r="O226">
        <f>Tabla1[[#This Row],[Initial Risk $]]/Tabla1[[#This Row],[Position Size (shares)]]+Tabla1[[#This Row],[Entry Price]]</f>
        <v>864.26</v>
      </c>
      <c r="P226">
        <f>Tabla1[[#This Row],[Initial Risk $]]/Tabla1[[#This Row],[Position Size (shares)]]*2+Tabla1[[#This Row],[Entry Price]]</f>
        <v>884.26</v>
      </c>
      <c r="Q226">
        <f>Tabla1[[#This Row],[Initial Risk $]]/Tabla1[[#This Row],[Position Size (shares)]]*3+Tabla1[[#This Row],[Entry Price]]</f>
        <v>904.26</v>
      </c>
    </row>
    <row r="227" spans="1:17" hidden="1" x14ac:dyDescent="0.25">
      <c r="A227" t="str">
        <f t="shared" si="46"/>
        <v>T-226</v>
      </c>
      <c r="B227" s="1">
        <v>46168</v>
      </c>
      <c r="C227" t="s">
        <v>164</v>
      </c>
      <c r="D227" t="s">
        <v>28</v>
      </c>
      <c r="E227" t="s">
        <v>49</v>
      </c>
      <c r="F227">
        <v>215.03</v>
      </c>
      <c r="G227">
        <v>214.01</v>
      </c>
      <c r="H227">
        <v>4</v>
      </c>
      <c r="I227">
        <f t="shared" si="47"/>
        <v>4.0800000000000409</v>
      </c>
      <c r="J227">
        <v>1</v>
      </c>
      <c r="K227">
        <f t="shared" si="38"/>
        <v>4.0800000000000409</v>
      </c>
      <c r="L227" t="s">
        <v>72</v>
      </c>
      <c r="M227">
        <f>SUMIF(Executions!B:B,A227,Executions!H:H)</f>
        <v>-4.0800000000000409</v>
      </c>
      <c r="N227">
        <f t="shared" si="39"/>
        <v>-1</v>
      </c>
      <c r="O227">
        <f>Tabla1[[#This Row],[Initial Risk $]]/Tabla1[[#This Row],[Position Size (shares)]]+Tabla1[[#This Row],[Entry Price]]</f>
        <v>216.05</v>
      </c>
      <c r="P227">
        <f>Tabla1[[#This Row],[Initial Risk $]]/Tabla1[[#This Row],[Position Size (shares)]]*2+Tabla1[[#This Row],[Entry Price]]</f>
        <v>217.07000000000002</v>
      </c>
      <c r="Q227">
        <f>Tabla1[[#This Row],[Initial Risk $]]/Tabla1[[#This Row],[Position Size (shares)]]*3+Tabla1[[#This Row],[Entry Price]]</f>
        <v>218.09000000000003</v>
      </c>
    </row>
    <row r="228" spans="1:17" hidden="1" x14ac:dyDescent="0.25">
      <c r="A228" t="str">
        <f t="shared" si="46"/>
        <v>T-227</v>
      </c>
      <c r="B228" s="1">
        <v>46168</v>
      </c>
      <c r="C228" t="s">
        <v>161</v>
      </c>
      <c r="D228" t="s">
        <v>28</v>
      </c>
      <c r="E228" t="s">
        <v>119</v>
      </c>
      <c r="F228">
        <v>122.53</v>
      </c>
      <c r="G228">
        <v>121.74</v>
      </c>
      <c r="H228">
        <v>8</v>
      </c>
      <c r="I228">
        <f t="shared" si="47"/>
        <v>6.32000000000005</v>
      </c>
      <c r="J228">
        <v>1</v>
      </c>
      <c r="K228">
        <f t="shared" si="38"/>
        <v>6.32000000000005</v>
      </c>
      <c r="L228" t="s">
        <v>72</v>
      </c>
      <c r="M228">
        <f>SUMIF(Executions!B:B,A228,Executions!H:H)</f>
        <v>-6.32000000000005</v>
      </c>
      <c r="N228">
        <f t="shared" si="39"/>
        <v>-1</v>
      </c>
      <c r="O228">
        <f>Tabla1[[#This Row],[Initial Risk $]]/Tabla1[[#This Row],[Position Size (shares)]]+Tabla1[[#This Row],[Entry Price]]</f>
        <v>123.32000000000001</v>
      </c>
      <c r="P228">
        <f>Tabla1[[#This Row],[Initial Risk $]]/Tabla1[[#This Row],[Position Size (shares)]]*2+Tabla1[[#This Row],[Entry Price]]</f>
        <v>124.11000000000001</v>
      </c>
      <c r="Q228">
        <f>Tabla1[[#This Row],[Initial Risk $]]/Tabla1[[#This Row],[Position Size (shares)]]*3+Tabla1[[#This Row],[Entry Price]]</f>
        <v>124.90000000000002</v>
      </c>
    </row>
    <row r="229" spans="1:17" hidden="1" x14ac:dyDescent="0.25">
      <c r="A229" t="str">
        <f t="shared" si="46"/>
        <v>T-228</v>
      </c>
      <c r="B229" s="1">
        <v>46168</v>
      </c>
      <c r="C229" t="s">
        <v>279</v>
      </c>
      <c r="D229" t="s">
        <v>28</v>
      </c>
      <c r="E229" t="s">
        <v>119</v>
      </c>
      <c r="F229">
        <v>874.09</v>
      </c>
      <c r="G229">
        <v>869.79</v>
      </c>
      <c r="H229">
        <v>3</v>
      </c>
      <c r="I229">
        <f t="shared" si="47"/>
        <v>12.900000000000205</v>
      </c>
      <c r="J229">
        <v>1</v>
      </c>
      <c r="K229">
        <f t="shared" si="38"/>
        <v>12.900000000000205</v>
      </c>
      <c r="L229" t="s">
        <v>72</v>
      </c>
      <c r="M229">
        <f>SUMIF(Executions!B:B,A229,Executions!H:H)</f>
        <v>16.050000000000068</v>
      </c>
      <c r="N229">
        <f t="shared" si="39"/>
        <v>1.2441860465116135</v>
      </c>
      <c r="O229">
        <f>Tabla1[[#This Row],[Initial Risk $]]/Tabla1[[#This Row],[Position Size (shares)]]+Tabla1[[#This Row],[Entry Price]]</f>
        <v>878.3900000000001</v>
      </c>
      <c r="P229">
        <f>Tabla1[[#This Row],[Initial Risk $]]/Tabla1[[#This Row],[Position Size (shares)]]*2+Tabla1[[#This Row],[Entry Price]]</f>
        <v>882.69000000000017</v>
      </c>
      <c r="Q229">
        <f>Tabla1[[#This Row],[Initial Risk $]]/Tabla1[[#This Row],[Position Size (shares)]]*3+Tabla1[[#This Row],[Entry Price]]</f>
        <v>886.99000000000024</v>
      </c>
    </row>
    <row r="230" spans="1:17" hidden="1" x14ac:dyDescent="0.25">
      <c r="A230" t="str">
        <f t="shared" si="46"/>
        <v>T-229</v>
      </c>
      <c r="B230" s="1">
        <v>46168</v>
      </c>
      <c r="C230" t="s">
        <v>73</v>
      </c>
      <c r="D230" t="s">
        <v>28</v>
      </c>
      <c r="E230" t="s">
        <v>60</v>
      </c>
      <c r="F230">
        <v>69.25</v>
      </c>
      <c r="G230">
        <v>65.989999999999995</v>
      </c>
      <c r="H230">
        <v>2</v>
      </c>
      <c r="I230">
        <f t="shared" si="47"/>
        <v>6.5200000000000102</v>
      </c>
      <c r="J230">
        <v>1</v>
      </c>
      <c r="K230">
        <f t="shared" si="38"/>
        <v>6.5200000000000102</v>
      </c>
      <c r="L230" t="s">
        <v>72</v>
      </c>
      <c r="M230">
        <f>SUMIF(Executions!B:B,A230,Executions!H:H)</f>
        <v>-7.0999999999999943</v>
      </c>
      <c r="N230">
        <f t="shared" si="39"/>
        <v>-1.0889570552147214</v>
      </c>
      <c r="O230">
        <f>Tabla1[[#This Row],[Initial Risk $]]/Tabla1[[#This Row],[Position Size (shares)]]+Tabla1[[#This Row],[Entry Price]]</f>
        <v>72.510000000000005</v>
      </c>
      <c r="P230">
        <f>Tabla1[[#This Row],[Initial Risk $]]/Tabla1[[#This Row],[Position Size (shares)]]*2+Tabla1[[#This Row],[Entry Price]]</f>
        <v>75.77000000000001</v>
      </c>
      <c r="Q230">
        <f>Tabla1[[#This Row],[Initial Risk $]]/Tabla1[[#This Row],[Position Size (shares)]]*3+Tabla1[[#This Row],[Entry Price]]</f>
        <v>79.030000000000015</v>
      </c>
    </row>
    <row r="231" spans="1:17" hidden="1" x14ac:dyDescent="0.25">
      <c r="A231" t="str">
        <f t="shared" ref="A231:A242" si="48">"T-"&amp; TEXT(ROW()-1,"000")</f>
        <v>T-230</v>
      </c>
      <c r="B231" s="1">
        <v>46169</v>
      </c>
      <c r="C231" t="s">
        <v>279</v>
      </c>
      <c r="D231" t="s">
        <v>28</v>
      </c>
      <c r="E231" t="s">
        <v>58</v>
      </c>
      <c r="F231">
        <v>918.51</v>
      </c>
      <c r="G231">
        <v>916.51</v>
      </c>
      <c r="H231">
        <v>4</v>
      </c>
      <c r="I231">
        <f t="shared" ref="I231:I242" si="49">IF(D231="Long",(F231-G231)*H231,(G231-F231)*0)</f>
        <v>8</v>
      </c>
      <c r="J231">
        <v>1</v>
      </c>
      <c r="K231">
        <f t="shared" si="38"/>
        <v>8</v>
      </c>
      <c r="L231" t="s">
        <v>72</v>
      </c>
      <c r="M231">
        <f>SUMIF(Executions!B:B,A231,Executions!H:H)</f>
        <v>-7.2399999999997817</v>
      </c>
      <c r="N231">
        <f t="shared" si="39"/>
        <v>-0.90499999999997272</v>
      </c>
      <c r="O231">
        <f>Tabla1[[#This Row],[Initial Risk $]]/Tabla1[[#This Row],[Position Size (shares)]]+Tabla1[[#This Row],[Entry Price]]</f>
        <v>920.51</v>
      </c>
      <c r="P231">
        <f>Tabla1[[#This Row],[Initial Risk $]]/Tabla1[[#This Row],[Position Size (shares)]]*2+Tabla1[[#This Row],[Entry Price]]</f>
        <v>922.51</v>
      </c>
      <c r="Q231">
        <f>Tabla1[[#This Row],[Initial Risk $]]/Tabla1[[#This Row],[Position Size (shares)]]*3+Tabla1[[#This Row],[Entry Price]]</f>
        <v>924.51</v>
      </c>
    </row>
    <row r="232" spans="1:17" hidden="1" x14ac:dyDescent="0.25">
      <c r="A232" t="str">
        <f t="shared" si="48"/>
        <v>T-231</v>
      </c>
      <c r="B232" s="1">
        <v>46169</v>
      </c>
      <c r="C232" t="s">
        <v>130</v>
      </c>
      <c r="D232" t="s">
        <v>28</v>
      </c>
      <c r="E232" t="s">
        <v>58</v>
      </c>
      <c r="F232">
        <v>504.06</v>
      </c>
      <c r="G232">
        <v>498.06</v>
      </c>
      <c r="H232">
        <v>2</v>
      </c>
      <c r="I232">
        <f t="shared" si="49"/>
        <v>12</v>
      </c>
      <c r="J232">
        <v>1</v>
      </c>
      <c r="K232">
        <f t="shared" si="38"/>
        <v>12</v>
      </c>
      <c r="L232" t="s">
        <v>72</v>
      </c>
      <c r="M232">
        <f>SUMIF(Executions!B:B,A232,Executions!H:H)</f>
        <v>-11.919999999999959</v>
      </c>
      <c r="N232">
        <f t="shared" si="39"/>
        <v>-0.99333333333332996</v>
      </c>
      <c r="O232">
        <f>Tabla1[[#This Row],[Initial Risk $]]/Tabla1[[#This Row],[Position Size (shares)]]+Tabla1[[#This Row],[Entry Price]]</f>
        <v>510.06</v>
      </c>
      <c r="P232">
        <f>Tabla1[[#This Row],[Initial Risk $]]/Tabla1[[#This Row],[Position Size (shares)]]*2+Tabla1[[#This Row],[Entry Price]]</f>
        <v>516.05999999999995</v>
      </c>
      <c r="Q232">
        <f>Tabla1[[#This Row],[Initial Risk $]]/Tabla1[[#This Row],[Position Size (shares)]]*3+Tabla1[[#This Row],[Entry Price]]</f>
        <v>522.05999999999995</v>
      </c>
    </row>
    <row r="233" spans="1:17" hidden="1" x14ac:dyDescent="0.25">
      <c r="A233" t="str">
        <f t="shared" si="48"/>
        <v>T-232</v>
      </c>
      <c r="B233" s="1">
        <v>46169</v>
      </c>
      <c r="C233" t="s">
        <v>410</v>
      </c>
      <c r="D233" t="s">
        <v>28</v>
      </c>
      <c r="E233" t="s">
        <v>58</v>
      </c>
      <c r="F233">
        <v>162.19999999999999</v>
      </c>
      <c r="G233">
        <v>155.19999999999999</v>
      </c>
      <c r="H233">
        <v>4</v>
      </c>
      <c r="I233">
        <f t="shared" si="49"/>
        <v>28</v>
      </c>
      <c r="J233">
        <v>1</v>
      </c>
      <c r="K233">
        <f t="shared" si="38"/>
        <v>28</v>
      </c>
      <c r="L233" t="s">
        <v>72</v>
      </c>
      <c r="M233">
        <f>SUMIF(Executions!B:B,A233,Executions!H:H)</f>
        <v>-25.879999999999995</v>
      </c>
      <c r="N233">
        <f t="shared" si="39"/>
        <v>-0.92428571428571416</v>
      </c>
      <c r="O233">
        <f>Tabla1[[#This Row],[Initial Risk $]]/Tabla1[[#This Row],[Position Size (shares)]]+Tabla1[[#This Row],[Entry Price]]</f>
        <v>169.2</v>
      </c>
      <c r="P233">
        <f>Tabla1[[#This Row],[Initial Risk $]]/Tabla1[[#This Row],[Position Size (shares)]]*2+Tabla1[[#This Row],[Entry Price]]</f>
        <v>176.2</v>
      </c>
      <c r="Q233">
        <f>Tabla1[[#This Row],[Initial Risk $]]/Tabla1[[#This Row],[Position Size (shares)]]*3+Tabla1[[#This Row],[Entry Price]]</f>
        <v>183.2</v>
      </c>
    </row>
    <row r="234" spans="1:17" hidden="1" x14ac:dyDescent="0.25">
      <c r="A234" t="str">
        <f t="shared" si="48"/>
        <v>T-233</v>
      </c>
      <c r="B234" s="1">
        <v>46163</v>
      </c>
      <c r="C234" t="s">
        <v>411</v>
      </c>
      <c r="D234" t="s">
        <v>28</v>
      </c>
      <c r="E234" t="s">
        <v>58</v>
      </c>
      <c r="F234">
        <v>0.81</v>
      </c>
      <c r="G234">
        <v>0.61</v>
      </c>
      <c r="H234">
        <v>10</v>
      </c>
      <c r="I234">
        <f t="shared" si="49"/>
        <v>2.0000000000000009</v>
      </c>
      <c r="J234">
        <v>1</v>
      </c>
      <c r="K234">
        <f t="shared" si="38"/>
        <v>2.0000000000000009</v>
      </c>
      <c r="L234" t="s">
        <v>72</v>
      </c>
      <c r="M234">
        <f>SUMIF(Executions!B:B,A234,Executions!H:H)</f>
        <v>-2.0990000000000011</v>
      </c>
      <c r="N234">
        <f t="shared" si="39"/>
        <v>-1.0495000000000001</v>
      </c>
      <c r="O234">
        <f>Tabla1[[#This Row],[Initial Risk $]]/Tabla1[[#This Row],[Position Size (shares)]]+Tabla1[[#This Row],[Entry Price]]</f>
        <v>1.0100000000000002</v>
      </c>
      <c r="P234">
        <f>Tabla1[[#This Row],[Initial Risk $]]/Tabla1[[#This Row],[Position Size (shares)]]*2+Tabla1[[#This Row],[Entry Price]]</f>
        <v>1.2100000000000002</v>
      </c>
      <c r="Q234">
        <f>Tabla1[[#This Row],[Initial Risk $]]/Tabla1[[#This Row],[Position Size (shares)]]*3+Tabla1[[#This Row],[Entry Price]]</f>
        <v>1.4100000000000004</v>
      </c>
    </row>
    <row r="235" spans="1:17" hidden="1" x14ac:dyDescent="0.25">
      <c r="A235" t="str">
        <f t="shared" si="48"/>
        <v>T-234</v>
      </c>
      <c r="B235" s="1">
        <v>46169</v>
      </c>
      <c r="C235" t="s">
        <v>186</v>
      </c>
      <c r="D235" t="s">
        <v>28</v>
      </c>
      <c r="E235" t="s">
        <v>119</v>
      </c>
      <c r="F235">
        <v>269.82</v>
      </c>
      <c r="G235">
        <v>268.74</v>
      </c>
      <c r="H235">
        <v>4</v>
      </c>
      <c r="I235">
        <f t="shared" si="49"/>
        <v>4.3199999999999363</v>
      </c>
      <c r="J235">
        <v>1</v>
      </c>
      <c r="K235">
        <f t="shared" si="38"/>
        <v>4.3199999999999363</v>
      </c>
      <c r="L235" t="s">
        <v>72</v>
      </c>
      <c r="M235">
        <f>SUMIF(Executions!B:B,A235,Executions!H:H)</f>
        <v>6.4400000000000546</v>
      </c>
      <c r="N235">
        <f t="shared" si="39"/>
        <v>1.4907407407407753</v>
      </c>
      <c r="O235">
        <f>Tabla1[[#This Row],[Initial Risk $]]/Tabla1[[#This Row],[Position Size (shares)]]+Tabla1[[#This Row],[Entry Price]]</f>
        <v>270.89999999999998</v>
      </c>
      <c r="P235">
        <f>Tabla1[[#This Row],[Initial Risk $]]/Tabla1[[#This Row],[Position Size (shares)]]*2+Tabla1[[#This Row],[Entry Price]]</f>
        <v>271.97999999999996</v>
      </c>
      <c r="Q235">
        <f>Tabla1[[#This Row],[Initial Risk $]]/Tabla1[[#This Row],[Position Size (shares)]]*3+Tabla1[[#This Row],[Entry Price]]</f>
        <v>273.05999999999995</v>
      </c>
    </row>
    <row r="236" spans="1:17" hidden="1" x14ac:dyDescent="0.25">
      <c r="A236" t="str">
        <f t="shared" si="48"/>
        <v>T-235</v>
      </c>
      <c r="B236" s="1">
        <v>46170</v>
      </c>
      <c r="C236" t="s">
        <v>102</v>
      </c>
      <c r="D236" t="s">
        <v>28</v>
      </c>
      <c r="E236" t="s">
        <v>119</v>
      </c>
      <c r="F236">
        <v>62.93</v>
      </c>
      <c r="G236">
        <v>62.43</v>
      </c>
      <c r="H236">
        <v>10</v>
      </c>
      <c r="I236">
        <f t="shared" si="49"/>
        <v>5</v>
      </c>
      <c r="J236">
        <v>1</v>
      </c>
      <c r="K236">
        <f t="shared" ref="K236:K242" si="50">I236*J236</f>
        <v>5</v>
      </c>
      <c r="L236" t="s">
        <v>72</v>
      </c>
      <c r="M236">
        <f>SUMIF(Executions!B:B,A236,Executions!H:H)</f>
        <v>26.599999999999966</v>
      </c>
      <c r="N236">
        <f t="shared" si="39"/>
        <v>5.3199999999999932</v>
      </c>
      <c r="O236">
        <f>Tabla1[[#This Row],[Initial Risk $]]/Tabla1[[#This Row],[Position Size (shares)]]+Tabla1[[#This Row],[Entry Price]]</f>
        <v>63.43</v>
      </c>
      <c r="P236">
        <f>Tabla1[[#This Row],[Initial Risk $]]/Tabla1[[#This Row],[Position Size (shares)]]*2+Tabla1[[#This Row],[Entry Price]]</f>
        <v>63.93</v>
      </c>
      <c r="Q236">
        <f>Tabla1[[#This Row],[Initial Risk $]]/Tabla1[[#This Row],[Position Size (shares)]]*3+Tabla1[[#This Row],[Entry Price]]</f>
        <v>64.430000000000007</v>
      </c>
    </row>
    <row r="237" spans="1:17" hidden="1" x14ac:dyDescent="0.25">
      <c r="A237" t="str">
        <f t="shared" si="48"/>
        <v>T-236</v>
      </c>
      <c r="B237" s="1">
        <v>46170</v>
      </c>
      <c r="C237" t="s">
        <v>164</v>
      </c>
      <c r="D237" t="s">
        <v>28</v>
      </c>
      <c r="E237" t="s">
        <v>119</v>
      </c>
      <c r="F237">
        <v>213.66</v>
      </c>
      <c r="G237">
        <v>212.46</v>
      </c>
      <c r="H237">
        <v>4</v>
      </c>
      <c r="I237">
        <f t="shared" si="49"/>
        <v>4.7999999999999545</v>
      </c>
      <c r="J237">
        <v>1</v>
      </c>
      <c r="K237">
        <f t="shared" si="50"/>
        <v>4.7999999999999545</v>
      </c>
      <c r="L237" t="s">
        <v>72</v>
      </c>
      <c r="M237">
        <f>SUMIF(Executions!B:B,A237,Executions!H:H)</f>
        <v>-4.8799999999999955</v>
      </c>
      <c r="N237">
        <f t="shared" si="39"/>
        <v>-1.0166666666666753</v>
      </c>
      <c r="O237">
        <f>Tabla1[[#This Row],[Initial Risk $]]/Tabla1[[#This Row],[Position Size (shares)]]+Tabla1[[#This Row],[Entry Price]]</f>
        <v>214.85999999999999</v>
      </c>
      <c r="P237">
        <f>Tabla1[[#This Row],[Initial Risk $]]/Tabla1[[#This Row],[Position Size (shares)]]*2+Tabla1[[#This Row],[Entry Price]]</f>
        <v>216.05999999999997</v>
      </c>
      <c r="Q237">
        <f>Tabla1[[#This Row],[Initial Risk $]]/Tabla1[[#This Row],[Position Size (shares)]]*3+Tabla1[[#This Row],[Entry Price]]</f>
        <v>217.25999999999996</v>
      </c>
    </row>
    <row r="238" spans="1:17" hidden="1" x14ac:dyDescent="0.25">
      <c r="A238" t="str">
        <f t="shared" si="48"/>
        <v>T-237</v>
      </c>
      <c r="B238" s="1">
        <v>46170</v>
      </c>
      <c r="C238" t="s">
        <v>417</v>
      </c>
      <c r="D238" t="s">
        <v>28</v>
      </c>
      <c r="E238" t="s">
        <v>58</v>
      </c>
      <c r="F238">
        <v>578.26</v>
      </c>
      <c r="G238">
        <v>574.26</v>
      </c>
      <c r="H238">
        <v>2</v>
      </c>
      <c r="I238">
        <f t="shared" si="49"/>
        <v>8</v>
      </c>
      <c r="J238">
        <v>1</v>
      </c>
      <c r="K238">
        <f t="shared" si="50"/>
        <v>8</v>
      </c>
      <c r="L238" t="s">
        <v>72</v>
      </c>
      <c r="M238">
        <f>SUMIF(Executions!B:B,A238,Executions!H:H)</f>
        <v>36.240000000000009</v>
      </c>
      <c r="N238">
        <f t="shared" si="39"/>
        <v>4.5300000000000011</v>
      </c>
      <c r="O238">
        <f>Tabla1[[#This Row],[Initial Risk $]]/Tabla1[[#This Row],[Position Size (shares)]]+Tabla1[[#This Row],[Entry Price]]</f>
        <v>582.26</v>
      </c>
      <c r="P238">
        <f>Tabla1[[#This Row],[Initial Risk $]]/Tabla1[[#This Row],[Position Size (shares)]]*2+Tabla1[[#This Row],[Entry Price]]</f>
        <v>586.26</v>
      </c>
      <c r="Q238">
        <f>Tabla1[[#This Row],[Initial Risk $]]/Tabla1[[#This Row],[Position Size (shares)]]*3+Tabla1[[#This Row],[Entry Price]]</f>
        <v>590.26</v>
      </c>
    </row>
    <row r="239" spans="1:17" hidden="1" x14ac:dyDescent="0.25">
      <c r="A239" t="str">
        <f t="shared" si="48"/>
        <v>T-238</v>
      </c>
      <c r="B239" s="1">
        <v>46170</v>
      </c>
      <c r="C239" t="s">
        <v>179</v>
      </c>
      <c r="D239" t="s">
        <v>28</v>
      </c>
      <c r="E239" t="s">
        <v>51</v>
      </c>
      <c r="F239">
        <v>233.82</v>
      </c>
      <c r="G239">
        <v>232.82</v>
      </c>
      <c r="H239">
        <v>4</v>
      </c>
      <c r="I239">
        <f t="shared" si="49"/>
        <v>4</v>
      </c>
      <c r="J239">
        <v>1</v>
      </c>
      <c r="K239">
        <f t="shared" si="50"/>
        <v>4</v>
      </c>
      <c r="L239" t="s">
        <v>72</v>
      </c>
      <c r="M239">
        <f>SUMIF(Executions!B:B,A239,Executions!H:H)</f>
        <v>17.160000000000082</v>
      </c>
      <c r="N239">
        <f t="shared" si="39"/>
        <v>4.2900000000000205</v>
      </c>
      <c r="O239">
        <f>Tabla1[[#This Row],[Initial Risk $]]/Tabla1[[#This Row],[Position Size (shares)]]+Tabla1[[#This Row],[Entry Price]]</f>
        <v>234.82</v>
      </c>
      <c r="P239">
        <f>Tabla1[[#This Row],[Initial Risk $]]/Tabla1[[#This Row],[Position Size (shares)]]*2+Tabla1[[#This Row],[Entry Price]]</f>
        <v>235.82</v>
      </c>
      <c r="Q239">
        <f>Tabla1[[#This Row],[Initial Risk $]]/Tabla1[[#This Row],[Position Size (shares)]]*3+Tabla1[[#This Row],[Entry Price]]</f>
        <v>236.82</v>
      </c>
    </row>
    <row r="240" spans="1:17" hidden="1" x14ac:dyDescent="0.25">
      <c r="A240" t="str">
        <f t="shared" si="48"/>
        <v>T-239</v>
      </c>
      <c r="B240" s="1">
        <v>46170</v>
      </c>
      <c r="C240" t="s">
        <v>164</v>
      </c>
      <c r="D240" t="s">
        <v>28</v>
      </c>
      <c r="E240" t="s">
        <v>119</v>
      </c>
      <c r="F240">
        <v>212.55</v>
      </c>
      <c r="G240">
        <v>211.55</v>
      </c>
      <c r="H240">
        <v>4</v>
      </c>
      <c r="I240">
        <f t="shared" si="49"/>
        <v>4</v>
      </c>
      <c r="J240">
        <v>1</v>
      </c>
      <c r="K240">
        <f t="shared" si="50"/>
        <v>4</v>
      </c>
      <c r="L240" t="s">
        <v>72</v>
      </c>
      <c r="M240">
        <f>SUMIF(Executions!B:B,A240,Executions!H:H)</f>
        <v>-4</v>
      </c>
      <c r="N240">
        <f t="shared" si="39"/>
        <v>-1</v>
      </c>
      <c r="O240">
        <f>Tabla1[[#This Row],[Initial Risk $]]/Tabla1[[#This Row],[Position Size (shares)]]+Tabla1[[#This Row],[Entry Price]]</f>
        <v>213.55</v>
      </c>
      <c r="P240">
        <f>Tabla1[[#This Row],[Initial Risk $]]/Tabla1[[#This Row],[Position Size (shares)]]*2+Tabla1[[#This Row],[Entry Price]]</f>
        <v>214.55</v>
      </c>
      <c r="Q240">
        <f>Tabla1[[#This Row],[Initial Risk $]]/Tabla1[[#This Row],[Position Size (shares)]]*3+Tabla1[[#This Row],[Entry Price]]</f>
        <v>215.55</v>
      </c>
    </row>
    <row r="241" spans="1:17" hidden="1" x14ac:dyDescent="0.25">
      <c r="A241" t="str">
        <f t="shared" si="48"/>
        <v>T-240</v>
      </c>
      <c r="B241" s="1">
        <v>46170</v>
      </c>
      <c r="C241" t="s">
        <v>279</v>
      </c>
      <c r="D241" t="s">
        <v>28</v>
      </c>
      <c r="E241" t="s">
        <v>58</v>
      </c>
      <c r="F241">
        <v>930.7</v>
      </c>
      <c r="G241">
        <v>927</v>
      </c>
      <c r="H241">
        <v>2</v>
      </c>
      <c r="I241">
        <f t="shared" si="49"/>
        <v>7.4000000000000909</v>
      </c>
      <c r="J241">
        <v>1</v>
      </c>
      <c r="K241">
        <f t="shared" si="50"/>
        <v>7.4000000000000909</v>
      </c>
      <c r="L241" t="s">
        <v>72</v>
      </c>
      <c r="M241">
        <f>SUMIF(Executions!B:B,A241,Executions!H:H)</f>
        <v>28.799999999999955</v>
      </c>
      <c r="N241">
        <f t="shared" si="39"/>
        <v>3.8918918918918379</v>
      </c>
      <c r="O241">
        <f>Tabla1[[#This Row],[Initial Risk $]]/Tabla1[[#This Row],[Position Size (shares)]]+Tabla1[[#This Row],[Entry Price]]</f>
        <v>934.40000000000009</v>
      </c>
      <c r="P241">
        <f>Tabla1[[#This Row],[Initial Risk $]]/Tabla1[[#This Row],[Position Size (shares)]]*2+Tabla1[[#This Row],[Entry Price]]</f>
        <v>938.10000000000014</v>
      </c>
      <c r="Q241">
        <f>Tabla1[[#This Row],[Initial Risk $]]/Tabla1[[#This Row],[Position Size (shares)]]*3+Tabla1[[#This Row],[Entry Price]]</f>
        <v>941.80000000000018</v>
      </c>
    </row>
    <row r="242" spans="1:17" hidden="1" x14ac:dyDescent="0.25">
      <c r="A242" t="str">
        <f t="shared" si="48"/>
        <v>T-241</v>
      </c>
      <c r="B242" s="1">
        <v>46170</v>
      </c>
      <c r="C242" t="s">
        <v>154</v>
      </c>
      <c r="D242" t="s">
        <v>28</v>
      </c>
      <c r="E242" t="s">
        <v>119</v>
      </c>
      <c r="F242">
        <v>384.93</v>
      </c>
      <c r="G242">
        <v>383.43</v>
      </c>
      <c r="H242">
        <v>3</v>
      </c>
      <c r="I242">
        <f t="shared" si="49"/>
        <v>4.5</v>
      </c>
      <c r="J242">
        <v>1</v>
      </c>
      <c r="K242">
        <f t="shared" si="50"/>
        <v>4.5</v>
      </c>
      <c r="L242" t="s">
        <v>72</v>
      </c>
      <c r="M242">
        <f>SUMIF(Executions!B:B,A242,Executions!H:H)</f>
        <v>5.9700000000000273</v>
      </c>
      <c r="N242">
        <f t="shared" si="39"/>
        <v>1.3266666666666727</v>
      </c>
      <c r="O242">
        <f>Tabla1[[#This Row],[Initial Risk $]]/Tabla1[[#This Row],[Position Size (shares)]]+Tabla1[[#This Row],[Entry Price]]</f>
        <v>386.43</v>
      </c>
      <c r="P242">
        <f>Tabla1[[#This Row],[Initial Risk $]]/Tabla1[[#This Row],[Position Size (shares)]]*2+Tabla1[[#This Row],[Entry Price]]</f>
        <v>387.93</v>
      </c>
      <c r="Q242">
        <f>Tabla1[[#This Row],[Initial Risk $]]/Tabla1[[#This Row],[Position Size (shares)]]*3+Tabla1[[#This Row],[Entry Price]]</f>
        <v>389.43</v>
      </c>
    </row>
    <row r="243" spans="1:17" hidden="1" x14ac:dyDescent="0.25">
      <c r="A243" t="str">
        <f t="shared" ref="A243:A251" si="51">"T-"&amp; TEXT(ROW()-1,"000")</f>
        <v>T-242</v>
      </c>
      <c r="B243" s="1">
        <v>46171</v>
      </c>
      <c r="C243" t="s">
        <v>173</v>
      </c>
      <c r="D243" t="s">
        <v>28</v>
      </c>
      <c r="E243" t="s">
        <v>58</v>
      </c>
      <c r="F243">
        <v>149.88999999999999</v>
      </c>
      <c r="G243">
        <v>147.88999999999999</v>
      </c>
      <c r="H243">
        <v>8</v>
      </c>
      <c r="I243">
        <f t="shared" ref="I243:I251" si="52">IF(D243="Long",(F243-G243)*H243,(G243-F243)*0)</f>
        <v>16</v>
      </c>
      <c r="J243">
        <v>1</v>
      </c>
      <c r="K243">
        <f t="shared" ref="K243:K251" si="53">I243*J243</f>
        <v>16</v>
      </c>
      <c r="L243" t="s">
        <v>72</v>
      </c>
      <c r="M243">
        <f>SUMIF(Executions!B:B,A243,Executions!H:H)</f>
        <v>41.400000000000091</v>
      </c>
      <c r="N243">
        <f t="shared" si="39"/>
        <v>2.5875000000000057</v>
      </c>
      <c r="O243">
        <f>Tabla1[[#This Row],[Initial Risk $]]/Tabla1[[#This Row],[Position Size (shares)]]+Tabla1[[#This Row],[Entry Price]]</f>
        <v>151.88999999999999</v>
      </c>
      <c r="P243">
        <f>Tabla1[[#This Row],[Initial Risk $]]/Tabla1[[#This Row],[Position Size (shares)]]*2+Tabla1[[#This Row],[Entry Price]]</f>
        <v>153.88999999999999</v>
      </c>
      <c r="Q243">
        <f>Tabla1[[#This Row],[Initial Risk $]]/Tabla1[[#This Row],[Position Size (shares)]]*3+Tabla1[[#This Row],[Entry Price]]</f>
        <v>155.88999999999999</v>
      </c>
    </row>
    <row r="244" spans="1:17" hidden="1" x14ac:dyDescent="0.25">
      <c r="A244" t="str">
        <f t="shared" si="51"/>
        <v>T-243</v>
      </c>
      <c r="B244" s="1">
        <v>46171</v>
      </c>
      <c r="C244" t="s">
        <v>417</v>
      </c>
      <c r="D244" t="s">
        <v>28</v>
      </c>
      <c r="E244" t="s">
        <v>58</v>
      </c>
      <c r="F244">
        <v>593.16999999999996</v>
      </c>
      <c r="G244">
        <v>590.16999999999996</v>
      </c>
      <c r="H244">
        <v>2</v>
      </c>
      <c r="I244">
        <f t="shared" si="52"/>
        <v>6</v>
      </c>
      <c r="J244">
        <v>1</v>
      </c>
      <c r="K244">
        <f t="shared" si="53"/>
        <v>6</v>
      </c>
      <c r="L244" t="s">
        <v>72</v>
      </c>
      <c r="M244">
        <f>SUMIF(Executions!B:B,A244,Executions!H:H)</f>
        <v>-7.3999999999998636</v>
      </c>
      <c r="N244">
        <f t="shared" si="39"/>
        <v>-1.2333333333333105</v>
      </c>
      <c r="O244">
        <f>Tabla1[[#This Row],[Initial Risk $]]/Tabla1[[#This Row],[Position Size (shares)]]+Tabla1[[#This Row],[Entry Price]]</f>
        <v>596.16999999999996</v>
      </c>
      <c r="P244">
        <f>Tabla1[[#This Row],[Initial Risk $]]/Tabla1[[#This Row],[Position Size (shares)]]*2+Tabla1[[#This Row],[Entry Price]]</f>
        <v>599.16999999999996</v>
      </c>
      <c r="Q244">
        <f>Tabla1[[#This Row],[Initial Risk $]]/Tabla1[[#This Row],[Position Size (shares)]]*3+Tabla1[[#This Row],[Entry Price]]</f>
        <v>602.16999999999996</v>
      </c>
    </row>
    <row r="245" spans="1:17" hidden="1" x14ac:dyDescent="0.25">
      <c r="A245" t="str">
        <f t="shared" si="51"/>
        <v>T-244</v>
      </c>
      <c r="B245" s="1">
        <v>46171</v>
      </c>
      <c r="C245" t="s">
        <v>164</v>
      </c>
      <c r="D245" t="s">
        <v>28</v>
      </c>
      <c r="E245" t="s">
        <v>58</v>
      </c>
      <c r="F245">
        <v>215.75</v>
      </c>
      <c r="G245">
        <v>214.75</v>
      </c>
      <c r="H245">
        <v>4</v>
      </c>
      <c r="I245">
        <f t="shared" si="52"/>
        <v>4</v>
      </c>
      <c r="J245">
        <v>1</v>
      </c>
      <c r="K245">
        <f t="shared" si="53"/>
        <v>4</v>
      </c>
      <c r="L245" t="s">
        <v>72</v>
      </c>
      <c r="M245">
        <f>SUMIF(Executions!B:B,A245,Executions!H:H)</f>
        <v>-4</v>
      </c>
      <c r="N245">
        <f t="shared" si="39"/>
        <v>-1</v>
      </c>
      <c r="O245">
        <f>Tabla1[[#This Row],[Initial Risk $]]/Tabla1[[#This Row],[Position Size (shares)]]+Tabla1[[#This Row],[Entry Price]]</f>
        <v>216.75</v>
      </c>
      <c r="P245">
        <f>Tabla1[[#This Row],[Initial Risk $]]/Tabla1[[#This Row],[Position Size (shares)]]*2+Tabla1[[#This Row],[Entry Price]]</f>
        <v>217.75</v>
      </c>
      <c r="Q245">
        <f>Tabla1[[#This Row],[Initial Risk $]]/Tabla1[[#This Row],[Position Size (shares)]]*3+Tabla1[[#This Row],[Entry Price]]</f>
        <v>218.75</v>
      </c>
    </row>
    <row r="246" spans="1:17" hidden="1" x14ac:dyDescent="0.25">
      <c r="A246" t="str">
        <f t="shared" si="51"/>
        <v>T-245</v>
      </c>
      <c r="B246" s="1">
        <v>46171</v>
      </c>
      <c r="C246" t="s">
        <v>328</v>
      </c>
      <c r="D246" t="s">
        <v>28</v>
      </c>
      <c r="E246" t="s">
        <v>49</v>
      </c>
      <c r="F246">
        <v>11.8</v>
      </c>
      <c r="G246">
        <v>11.6</v>
      </c>
      <c r="H246">
        <v>30</v>
      </c>
      <c r="I246">
        <f t="shared" si="52"/>
        <v>6.000000000000032</v>
      </c>
      <c r="J246">
        <v>1</v>
      </c>
      <c r="K246">
        <f t="shared" si="53"/>
        <v>6.000000000000032</v>
      </c>
      <c r="L246" t="s">
        <v>72</v>
      </c>
      <c r="M246">
        <f>SUMIF(Executions!B:B,A246,Executions!H:H)</f>
        <v>-5.4000000000000448</v>
      </c>
      <c r="N246">
        <f t="shared" si="39"/>
        <v>-0.90000000000000269</v>
      </c>
      <c r="O246">
        <f>Tabla1[[#This Row],[Initial Risk $]]/Tabla1[[#This Row],[Position Size (shares)]]+Tabla1[[#This Row],[Entry Price]]</f>
        <v>12.000000000000002</v>
      </c>
      <c r="P246">
        <f>Tabla1[[#This Row],[Initial Risk $]]/Tabla1[[#This Row],[Position Size (shares)]]*2+Tabla1[[#This Row],[Entry Price]]</f>
        <v>12.200000000000003</v>
      </c>
      <c r="Q246">
        <f>Tabla1[[#This Row],[Initial Risk $]]/Tabla1[[#This Row],[Position Size (shares)]]*3+Tabla1[[#This Row],[Entry Price]]</f>
        <v>12.400000000000004</v>
      </c>
    </row>
    <row r="247" spans="1:17" hidden="1" x14ac:dyDescent="0.25">
      <c r="A247" t="str">
        <f t="shared" si="51"/>
        <v>T-246</v>
      </c>
      <c r="B247" s="1">
        <v>46171</v>
      </c>
      <c r="C247" t="s">
        <v>428</v>
      </c>
      <c r="D247" t="s">
        <v>28</v>
      </c>
      <c r="E247" t="s">
        <v>51</v>
      </c>
      <c r="F247">
        <v>424.18</v>
      </c>
      <c r="G247">
        <v>422.18</v>
      </c>
      <c r="H247">
        <v>2</v>
      </c>
      <c r="I247">
        <f t="shared" si="52"/>
        <v>4</v>
      </c>
      <c r="J247">
        <v>1</v>
      </c>
      <c r="K247">
        <f t="shared" si="53"/>
        <v>4</v>
      </c>
      <c r="L247" t="s">
        <v>72</v>
      </c>
      <c r="M247">
        <f>SUMIF(Executions!B:B,A247,Executions!H:H)</f>
        <v>-4.3600000000000136</v>
      </c>
      <c r="N247">
        <f t="shared" si="39"/>
        <v>-1.0900000000000034</v>
      </c>
      <c r="O247">
        <f>Tabla1[[#This Row],[Initial Risk $]]/Tabla1[[#This Row],[Position Size (shares)]]+Tabla1[[#This Row],[Entry Price]]</f>
        <v>426.18</v>
      </c>
      <c r="P247">
        <f>Tabla1[[#This Row],[Initial Risk $]]/Tabla1[[#This Row],[Position Size (shares)]]*2+Tabla1[[#This Row],[Entry Price]]</f>
        <v>428.18</v>
      </c>
      <c r="Q247">
        <f>Tabla1[[#This Row],[Initial Risk $]]/Tabla1[[#This Row],[Position Size (shares)]]*3+Tabla1[[#This Row],[Entry Price]]</f>
        <v>430.18</v>
      </c>
    </row>
    <row r="248" spans="1:17" hidden="1" x14ac:dyDescent="0.25">
      <c r="A248" t="str">
        <f t="shared" si="51"/>
        <v>T-247</v>
      </c>
      <c r="B248" s="1">
        <v>46171</v>
      </c>
      <c r="C248" t="s">
        <v>130</v>
      </c>
      <c r="D248" t="s">
        <v>28</v>
      </c>
      <c r="E248" t="s">
        <v>58</v>
      </c>
      <c r="F248">
        <v>519.11</v>
      </c>
      <c r="G248">
        <v>515.35</v>
      </c>
      <c r="H248">
        <v>2</v>
      </c>
      <c r="I248">
        <f t="shared" si="52"/>
        <v>7.5199999999999818</v>
      </c>
      <c r="J248">
        <v>1</v>
      </c>
      <c r="K248">
        <f t="shared" si="53"/>
        <v>7.5199999999999818</v>
      </c>
      <c r="L248" t="s">
        <v>72</v>
      </c>
      <c r="M248">
        <f>SUMIF(Executions!B:B,A248,Executions!H:H)</f>
        <v>-7.3800000000001091</v>
      </c>
      <c r="N248">
        <f t="shared" si="39"/>
        <v>-0.98138297872342117</v>
      </c>
      <c r="O248">
        <f>Tabla1[[#This Row],[Initial Risk $]]/Tabla1[[#This Row],[Position Size (shares)]]+Tabla1[[#This Row],[Entry Price]]</f>
        <v>522.87</v>
      </c>
      <c r="P248">
        <f>Tabla1[[#This Row],[Initial Risk $]]/Tabla1[[#This Row],[Position Size (shares)]]*2+Tabla1[[#This Row],[Entry Price]]</f>
        <v>526.63</v>
      </c>
      <c r="Q248">
        <f>Tabla1[[#This Row],[Initial Risk $]]/Tabla1[[#This Row],[Position Size (shares)]]*3+Tabla1[[#This Row],[Entry Price]]</f>
        <v>530.39</v>
      </c>
    </row>
    <row r="249" spans="1:17" hidden="1" x14ac:dyDescent="0.25">
      <c r="A249" t="str">
        <f t="shared" si="51"/>
        <v>T-248</v>
      </c>
      <c r="B249" s="1">
        <v>46171</v>
      </c>
      <c r="C249" t="s">
        <v>279</v>
      </c>
      <c r="D249" t="s">
        <v>28</v>
      </c>
      <c r="E249" t="s">
        <v>58</v>
      </c>
      <c r="F249">
        <v>970.83</v>
      </c>
      <c r="G249">
        <v>969.83</v>
      </c>
      <c r="H249">
        <v>2</v>
      </c>
      <c r="I249">
        <f t="shared" si="52"/>
        <v>2</v>
      </c>
      <c r="J249">
        <v>1</v>
      </c>
      <c r="K249">
        <f t="shared" si="53"/>
        <v>2</v>
      </c>
      <c r="L249" t="s">
        <v>72</v>
      </c>
      <c r="M249">
        <f>SUMIF(Executions!B:B,A249,Executions!H:H)</f>
        <v>-3.2599999999999909</v>
      </c>
      <c r="N249">
        <f t="shared" si="39"/>
        <v>-1.6299999999999955</v>
      </c>
      <c r="O249">
        <f>Tabla1[[#This Row],[Initial Risk $]]/Tabla1[[#This Row],[Position Size (shares)]]+Tabla1[[#This Row],[Entry Price]]</f>
        <v>971.83</v>
      </c>
      <c r="P249">
        <f>Tabla1[[#This Row],[Initial Risk $]]/Tabla1[[#This Row],[Position Size (shares)]]*2+Tabla1[[#This Row],[Entry Price]]</f>
        <v>972.83</v>
      </c>
      <c r="Q249">
        <f>Tabla1[[#This Row],[Initial Risk $]]/Tabla1[[#This Row],[Position Size (shares)]]*3+Tabla1[[#This Row],[Entry Price]]</f>
        <v>973.83</v>
      </c>
    </row>
    <row r="250" spans="1:17" hidden="1" x14ac:dyDescent="0.25">
      <c r="A250" t="str">
        <f t="shared" si="51"/>
        <v>T-249</v>
      </c>
      <c r="B250" s="1">
        <v>46171</v>
      </c>
      <c r="C250" t="s">
        <v>101</v>
      </c>
      <c r="D250" t="s">
        <v>28</v>
      </c>
      <c r="E250" t="s">
        <v>58</v>
      </c>
      <c r="F250">
        <v>8.57</v>
      </c>
      <c r="G250">
        <v>8.27</v>
      </c>
      <c r="H250">
        <v>20</v>
      </c>
      <c r="I250">
        <f t="shared" si="52"/>
        <v>6.0000000000000142</v>
      </c>
      <c r="J250">
        <v>1</v>
      </c>
      <c r="K250">
        <f t="shared" si="53"/>
        <v>6.0000000000000142</v>
      </c>
      <c r="L250" t="s">
        <v>72</v>
      </c>
      <c r="M250">
        <f>SUMIF(Executions!B:B,A250,Executions!H:H)</f>
        <v>16.20000000000001</v>
      </c>
      <c r="N250">
        <f t="shared" si="39"/>
        <v>2.6999999999999953</v>
      </c>
      <c r="O250">
        <f>Tabla1[[#This Row],[Initial Risk $]]/Tabla1[[#This Row],[Position Size (shares)]]+Tabla1[[#This Row],[Entry Price]]</f>
        <v>8.870000000000001</v>
      </c>
      <c r="P250">
        <f>Tabla1[[#This Row],[Initial Risk $]]/Tabla1[[#This Row],[Position Size (shares)]]*2+Tabla1[[#This Row],[Entry Price]]</f>
        <v>9.1700000000000017</v>
      </c>
      <c r="Q250">
        <f>Tabla1[[#This Row],[Initial Risk $]]/Tabla1[[#This Row],[Position Size (shares)]]*3+Tabla1[[#This Row],[Entry Price]]</f>
        <v>9.4700000000000024</v>
      </c>
    </row>
    <row r="251" spans="1:17" hidden="1" x14ac:dyDescent="0.25">
      <c r="A251" t="str">
        <f t="shared" si="51"/>
        <v>T-250</v>
      </c>
      <c r="B251" s="1">
        <v>46171</v>
      </c>
      <c r="C251" t="s">
        <v>399</v>
      </c>
      <c r="D251" t="s">
        <v>28</v>
      </c>
      <c r="E251" t="s">
        <v>58</v>
      </c>
      <c r="F251">
        <v>27.28</v>
      </c>
      <c r="G251">
        <v>26.75</v>
      </c>
      <c r="H251">
        <v>10</v>
      </c>
      <c r="I251">
        <f t="shared" si="52"/>
        <v>5.3000000000000114</v>
      </c>
      <c r="J251">
        <v>1</v>
      </c>
      <c r="K251">
        <f t="shared" si="53"/>
        <v>5.3000000000000114</v>
      </c>
      <c r="L251" t="s">
        <v>72</v>
      </c>
      <c r="M251">
        <f>SUMIF(Executions!B:B,A251,Executions!H:H)</f>
        <v>10.799999999999983</v>
      </c>
      <c r="N251">
        <f t="shared" si="39"/>
        <v>2.0377358490565962</v>
      </c>
      <c r="O251">
        <f>Tabla1[[#This Row],[Initial Risk $]]/Tabla1[[#This Row],[Position Size (shares)]]+Tabla1[[#This Row],[Entry Price]]</f>
        <v>27.810000000000002</v>
      </c>
      <c r="P251">
        <f>Tabla1[[#This Row],[Initial Risk $]]/Tabla1[[#This Row],[Position Size (shares)]]*2+Tabla1[[#This Row],[Entry Price]]</f>
        <v>28.340000000000003</v>
      </c>
      <c r="Q251">
        <f>Tabla1[[#This Row],[Initial Risk $]]/Tabla1[[#This Row],[Position Size (shares)]]*3+Tabla1[[#This Row],[Entry Price]]</f>
        <v>28.870000000000005</v>
      </c>
    </row>
    <row r="252" spans="1:17" hidden="1" x14ac:dyDescent="0.25">
      <c r="A252" t="str">
        <f t="shared" ref="A252:A261" si="54">"T-"&amp; TEXT(ROW()-1,"000")</f>
        <v>T-251</v>
      </c>
      <c r="B252" s="1">
        <v>46174</v>
      </c>
      <c r="C252" t="s">
        <v>173</v>
      </c>
      <c r="D252" t="s">
        <v>28</v>
      </c>
      <c r="E252" t="s">
        <v>58</v>
      </c>
      <c r="F252">
        <v>157.58000000000001</v>
      </c>
      <c r="G252">
        <v>155</v>
      </c>
      <c r="H252">
        <v>5</v>
      </c>
      <c r="I252">
        <f t="shared" ref="I252:I261" si="55">IF(D252="Long",(F252-G252)*H252,(G252-F252)*0)</f>
        <v>12.900000000000063</v>
      </c>
      <c r="J252">
        <v>1</v>
      </c>
      <c r="K252">
        <f t="shared" ref="K252:K261" si="56">I252*J252</f>
        <v>12.900000000000063</v>
      </c>
      <c r="L252" t="s">
        <v>72</v>
      </c>
      <c r="M252">
        <f>SUMIF(Executions!B:B,A252,Executions!H:H)</f>
        <v>18.599999999999994</v>
      </c>
      <c r="N252">
        <f t="shared" si="39"/>
        <v>1.4418604651162716</v>
      </c>
      <c r="O252">
        <f>Tabla1[[#This Row],[Initial Risk $]]/Tabla1[[#This Row],[Position Size (shares)]]+Tabla1[[#This Row],[Entry Price]]</f>
        <v>160.16000000000003</v>
      </c>
      <c r="P252">
        <f>Tabla1[[#This Row],[Initial Risk $]]/Tabla1[[#This Row],[Position Size (shares)]]*2+Tabla1[[#This Row],[Entry Price]]</f>
        <v>162.74000000000004</v>
      </c>
      <c r="Q252">
        <f>Tabla1[[#This Row],[Initial Risk $]]/Tabla1[[#This Row],[Position Size (shares)]]*3+Tabla1[[#This Row],[Entry Price]]</f>
        <v>165.32000000000005</v>
      </c>
    </row>
    <row r="253" spans="1:17" hidden="1" x14ac:dyDescent="0.25">
      <c r="A253" t="str">
        <f t="shared" si="54"/>
        <v>T-252</v>
      </c>
      <c r="B253" s="1">
        <v>46174</v>
      </c>
      <c r="C253" t="s">
        <v>294</v>
      </c>
      <c r="D253" t="s">
        <v>28</v>
      </c>
      <c r="E253" t="s">
        <v>58</v>
      </c>
      <c r="F253">
        <v>227.69</v>
      </c>
      <c r="G253">
        <v>225.56</v>
      </c>
      <c r="H253">
        <v>4</v>
      </c>
      <c r="I253">
        <f t="shared" si="55"/>
        <v>8.5199999999999818</v>
      </c>
      <c r="J253">
        <v>1</v>
      </c>
      <c r="K253">
        <f t="shared" si="56"/>
        <v>8.5199999999999818</v>
      </c>
      <c r="L253" t="s">
        <v>72</v>
      </c>
      <c r="M253">
        <f>SUMIF(Executions!B:B,A253,Executions!H:H)</f>
        <v>27.660000000000025</v>
      </c>
      <c r="N253">
        <f t="shared" si="39"/>
        <v>3.2464788732394463</v>
      </c>
      <c r="O253">
        <f>Tabla1[[#This Row],[Initial Risk $]]/Tabla1[[#This Row],[Position Size (shares)]]+Tabla1[[#This Row],[Entry Price]]</f>
        <v>229.82</v>
      </c>
      <c r="P253">
        <f>Tabla1[[#This Row],[Initial Risk $]]/Tabla1[[#This Row],[Position Size (shares)]]*2+Tabla1[[#This Row],[Entry Price]]</f>
        <v>231.95</v>
      </c>
      <c r="Q253">
        <f>Tabla1[[#This Row],[Initial Risk $]]/Tabla1[[#This Row],[Position Size (shares)]]*3+Tabla1[[#This Row],[Entry Price]]</f>
        <v>234.07999999999998</v>
      </c>
    </row>
    <row r="254" spans="1:17" hidden="1" x14ac:dyDescent="0.25">
      <c r="A254" t="str">
        <f t="shared" si="54"/>
        <v>T-253</v>
      </c>
      <c r="B254" s="1">
        <v>46174</v>
      </c>
      <c r="C254" t="s">
        <v>102</v>
      </c>
      <c r="D254" t="s">
        <v>28</v>
      </c>
      <c r="E254" t="s">
        <v>58</v>
      </c>
      <c r="F254">
        <v>64.05</v>
      </c>
      <c r="G254">
        <v>63.39</v>
      </c>
      <c r="H254">
        <v>4</v>
      </c>
      <c r="I254">
        <f t="shared" si="55"/>
        <v>2.6399999999999864</v>
      </c>
      <c r="J254">
        <v>1</v>
      </c>
      <c r="K254">
        <f t="shared" si="56"/>
        <v>2.6399999999999864</v>
      </c>
      <c r="L254" t="s">
        <v>72</v>
      </c>
      <c r="M254">
        <f>SUMIF(Executions!B:B,A254,Executions!H:H)</f>
        <v>-6</v>
      </c>
      <c r="N254">
        <f t="shared" si="39"/>
        <v>-2.2727272727272845</v>
      </c>
      <c r="O254">
        <f>Tabla1[[#This Row],[Initial Risk $]]/Tabla1[[#This Row],[Position Size (shares)]]+Tabla1[[#This Row],[Entry Price]]</f>
        <v>64.709999999999994</v>
      </c>
      <c r="P254">
        <f>Tabla1[[#This Row],[Initial Risk $]]/Tabla1[[#This Row],[Position Size (shares)]]*2+Tabla1[[#This Row],[Entry Price]]</f>
        <v>65.36999999999999</v>
      </c>
      <c r="Q254">
        <f>Tabla1[[#This Row],[Initial Risk $]]/Tabla1[[#This Row],[Position Size (shares)]]*3+Tabla1[[#This Row],[Entry Price]]</f>
        <v>66.029999999999987</v>
      </c>
    </row>
    <row r="255" spans="1:17" hidden="1" x14ac:dyDescent="0.25">
      <c r="A255" t="str">
        <f t="shared" si="54"/>
        <v>T-254</v>
      </c>
      <c r="B255" s="1">
        <v>46174</v>
      </c>
      <c r="C255" t="s">
        <v>233</v>
      </c>
      <c r="D255" t="s">
        <v>28</v>
      </c>
      <c r="E255" t="s">
        <v>58</v>
      </c>
      <c r="F255">
        <v>462.52</v>
      </c>
      <c r="G255">
        <v>459.52</v>
      </c>
      <c r="H255">
        <v>2</v>
      </c>
      <c r="I255">
        <f t="shared" si="55"/>
        <v>6</v>
      </c>
      <c r="J255">
        <v>1</v>
      </c>
      <c r="K255">
        <f t="shared" si="56"/>
        <v>6</v>
      </c>
      <c r="L255" t="s">
        <v>72</v>
      </c>
      <c r="M255">
        <f>SUMIF(Executions!B:B,A255,Executions!H:H)</f>
        <v>-6</v>
      </c>
      <c r="N255">
        <f t="shared" si="39"/>
        <v>-1</v>
      </c>
      <c r="O255">
        <f>Tabla1[[#This Row],[Initial Risk $]]/Tabla1[[#This Row],[Position Size (shares)]]+Tabla1[[#This Row],[Entry Price]]</f>
        <v>465.52</v>
      </c>
      <c r="P255">
        <f>Tabla1[[#This Row],[Initial Risk $]]/Tabla1[[#This Row],[Position Size (shares)]]*2+Tabla1[[#This Row],[Entry Price]]</f>
        <v>468.52</v>
      </c>
      <c r="Q255">
        <f>Tabla1[[#This Row],[Initial Risk $]]/Tabla1[[#This Row],[Position Size (shares)]]*3+Tabla1[[#This Row],[Entry Price]]</f>
        <v>471.52</v>
      </c>
    </row>
    <row r="256" spans="1:17" hidden="1" x14ac:dyDescent="0.25">
      <c r="A256" t="str">
        <f t="shared" si="54"/>
        <v>T-255</v>
      </c>
      <c r="B256" s="1">
        <v>46174</v>
      </c>
      <c r="C256" t="s">
        <v>417</v>
      </c>
      <c r="D256" t="s">
        <v>28</v>
      </c>
      <c r="E256" t="s">
        <v>119</v>
      </c>
      <c r="F256">
        <v>593.54999999999995</v>
      </c>
      <c r="G256">
        <v>590.32000000000005</v>
      </c>
      <c r="H256">
        <v>2</v>
      </c>
      <c r="I256">
        <f t="shared" si="55"/>
        <v>6.459999999999809</v>
      </c>
      <c r="J256">
        <v>1</v>
      </c>
      <c r="K256">
        <f t="shared" si="56"/>
        <v>6.459999999999809</v>
      </c>
      <c r="L256" t="s">
        <v>72</v>
      </c>
      <c r="M256">
        <f>SUMIF(Executions!B:B,A256,Executions!H:H)</f>
        <v>29.7800000000002</v>
      </c>
      <c r="N256">
        <f t="shared" si="39"/>
        <v>4.609907120743201</v>
      </c>
      <c r="O256">
        <f>Tabla1[[#This Row],[Initial Risk $]]/Tabla1[[#This Row],[Position Size (shares)]]+Tabla1[[#This Row],[Entry Price]]</f>
        <v>596.77999999999986</v>
      </c>
      <c r="P256">
        <f>Tabla1[[#This Row],[Initial Risk $]]/Tabla1[[#This Row],[Position Size (shares)]]*2+Tabla1[[#This Row],[Entry Price]]</f>
        <v>600.00999999999976</v>
      </c>
      <c r="Q256">
        <f>Tabla1[[#This Row],[Initial Risk $]]/Tabla1[[#This Row],[Position Size (shares)]]*3+Tabla1[[#This Row],[Entry Price]]</f>
        <v>603.23999999999967</v>
      </c>
    </row>
    <row r="257" spans="1:17" hidden="1" x14ac:dyDescent="0.25">
      <c r="A257" t="str">
        <f t="shared" si="54"/>
        <v>T-256</v>
      </c>
      <c r="B257" s="1">
        <v>46174</v>
      </c>
      <c r="C257" t="s">
        <v>186</v>
      </c>
      <c r="D257" t="s">
        <v>28</v>
      </c>
      <c r="E257" t="s">
        <v>119</v>
      </c>
      <c r="F257">
        <v>264</v>
      </c>
      <c r="G257">
        <v>263</v>
      </c>
      <c r="H257">
        <v>4</v>
      </c>
      <c r="I257">
        <f t="shared" si="55"/>
        <v>4</v>
      </c>
      <c r="J257">
        <v>1</v>
      </c>
      <c r="K257">
        <f t="shared" si="56"/>
        <v>4</v>
      </c>
      <c r="L257" t="s">
        <v>72</v>
      </c>
      <c r="M257">
        <f>SUMIF(Executions!B:B,A257,Executions!H:H)</f>
        <v>-4</v>
      </c>
      <c r="N257">
        <f t="shared" si="39"/>
        <v>-1</v>
      </c>
      <c r="O257">
        <f>Tabla1[[#This Row],[Initial Risk $]]/Tabla1[[#This Row],[Position Size (shares)]]+Tabla1[[#This Row],[Entry Price]]</f>
        <v>265</v>
      </c>
      <c r="P257">
        <f>Tabla1[[#This Row],[Initial Risk $]]/Tabla1[[#This Row],[Position Size (shares)]]*2+Tabla1[[#This Row],[Entry Price]]</f>
        <v>266</v>
      </c>
      <c r="Q257">
        <f>Tabla1[[#This Row],[Initial Risk $]]/Tabla1[[#This Row],[Position Size (shares)]]*3+Tabla1[[#This Row],[Entry Price]]</f>
        <v>267</v>
      </c>
    </row>
    <row r="258" spans="1:17" hidden="1" x14ac:dyDescent="0.25">
      <c r="A258" t="str">
        <f t="shared" si="54"/>
        <v>T-257</v>
      </c>
      <c r="B258" s="1">
        <v>46174</v>
      </c>
      <c r="C258" t="s">
        <v>428</v>
      </c>
      <c r="D258" t="s">
        <v>28</v>
      </c>
      <c r="E258" t="s">
        <v>58</v>
      </c>
      <c r="F258">
        <v>455.66</v>
      </c>
      <c r="G258">
        <v>452.66</v>
      </c>
      <c r="H258">
        <v>2</v>
      </c>
      <c r="I258">
        <f t="shared" si="55"/>
        <v>6</v>
      </c>
      <c r="J258">
        <v>1</v>
      </c>
      <c r="K258">
        <f t="shared" si="56"/>
        <v>6</v>
      </c>
      <c r="L258" t="s">
        <v>72</v>
      </c>
      <c r="M258">
        <f>SUMIF(Executions!B:B,A258,Executions!H:H)</f>
        <v>-5.8799999999999955</v>
      </c>
      <c r="N258">
        <f t="shared" ref="N258:N321" si="57">M258/I258</f>
        <v>-0.97999999999999921</v>
      </c>
      <c r="O258">
        <f>Tabla1[[#This Row],[Initial Risk $]]/Tabla1[[#This Row],[Position Size (shares)]]+Tabla1[[#This Row],[Entry Price]]</f>
        <v>458.66</v>
      </c>
      <c r="P258">
        <f>Tabla1[[#This Row],[Initial Risk $]]/Tabla1[[#This Row],[Position Size (shares)]]*2+Tabla1[[#This Row],[Entry Price]]</f>
        <v>461.66</v>
      </c>
      <c r="Q258">
        <f>Tabla1[[#This Row],[Initial Risk $]]/Tabla1[[#This Row],[Position Size (shares)]]*3+Tabla1[[#This Row],[Entry Price]]</f>
        <v>464.66</v>
      </c>
    </row>
    <row r="259" spans="1:17" hidden="1" x14ac:dyDescent="0.25">
      <c r="A259" t="str">
        <f t="shared" si="54"/>
        <v>T-258</v>
      </c>
      <c r="B259" s="1">
        <v>46174</v>
      </c>
      <c r="C259" t="s">
        <v>102</v>
      </c>
      <c r="D259" t="s">
        <v>28</v>
      </c>
      <c r="E259" t="s">
        <v>58</v>
      </c>
      <c r="F259">
        <v>63.56</v>
      </c>
      <c r="G259">
        <v>61.56</v>
      </c>
      <c r="H259">
        <v>4</v>
      </c>
      <c r="I259">
        <f t="shared" si="55"/>
        <v>8</v>
      </c>
      <c r="J259">
        <v>1</v>
      </c>
      <c r="K259">
        <f t="shared" si="56"/>
        <v>8</v>
      </c>
      <c r="L259" t="s">
        <v>72</v>
      </c>
      <c r="M259">
        <f>SUMIF(Executions!B:B,A259,Executions!H:H)</f>
        <v>-9.0400000000000205</v>
      </c>
      <c r="N259">
        <f t="shared" si="57"/>
        <v>-1.1300000000000026</v>
      </c>
      <c r="O259">
        <f>Tabla1[[#This Row],[Initial Risk $]]/Tabla1[[#This Row],[Position Size (shares)]]+Tabla1[[#This Row],[Entry Price]]</f>
        <v>65.56</v>
      </c>
      <c r="P259">
        <f>Tabla1[[#This Row],[Initial Risk $]]/Tabla1[[#This Row],[Position Size (shares)]]*2+Tabla1[[#This Row],[Entry Price]]</f>
        <v>67.56</v>
      </c>
      <c r="Q259">
        <f>Tabla1[[#This Row],[Initial Risk $]]/Tabla1[[#This Row],[Position Size (shares)]]*3+Tabla1[[#This Row],[Entry Price]]</f>
        <v>69.56</v>
      </c>
    </row>
    <row r="260" spans="1:17" hidden="1" x14ac:dyDescent="0.25">
      <c r="A260" t="str">
        <f t="shared" si="54"/>
        <v>T-259</v>
      </c>
      <c r="B260" s="1">
        <v>46174</v>
      </c>
      <c r="C260" t="s">
        <v>225</v>
      </c>
      <c r="D260" t="s">
        <v>28</v>
      </c>
      <c r="E260" t="s">
        <v>119</v>
      </c>
      <c r="F260">
        <v>233.39</v>
      </c>
      <c r="G260">
        <v>231.74</v>
      </c>
      <c r="H260">
        <v>3</v>
      </c>
      <c r="I260">
        <f t="shared" si="55"/>
        <v>4.9499999999999318</v>
      </c>
      <c r="J260">
        <v>1</v>
      </c>
      <c r="K260">
        <f t="shared" si="56"/>
        <v>4.9499999999999318</v>
      </c>
      <c r="L260" t="s">
        <v>72</v>
      </c>
      <c r="M260">
        <f>SUMIF(Executions!B:B,A260,Executions!H:H)</f>
        <v>-4.7399999999999523</v>
      </c>
      <c r="N260">
        <f t="shared" si="57"/>
        <v>-0.95757575757576108</v>
      </c>
      <c r="O260">
        <f>Tabla1[[#This Row],[Initial Risk $]]/Tabla1[[#This Row],[Position Size (shares)]]+Tabla1[[#This Row],[Entry Price]]</f>
        <v>235.03999999999996</v>
      </c>
      <c r="P260">
        <f>Tabla1[[#This Row],[Initial Risk $]]/Tabla1[[#This Row],[Position Size (shares)]]*2+Tabla1[[#This Row],[Entry Price]]</f>
        <v>236.68999999999994</v>
      </c>
      <c r="Q260">
        <f>Tabla1[[#This Row],[Initial Risk $]]/Tabla1[[#This Row],[Position Size (shares)]]*3+Tabla1[[#This Row],[Entry Price]]</f>
        <v>238.33999999999992</v>
      </c>
    </row>
    <row r="261" spans="1:17" hidden="1" x14ac:dyDescent="0.25">
      <c r="A261" t="str">
        <f t="shared" si="54"/>
        <v>T-260</v>
      </c>
      <c r="B261" s="1">
        <v>46174</v>
      </c>
      <c r="C261" t="s">
        <v>323</v>
      </c>
      <c r="D261" t="s">
        <v>28</v>
      </c>
      <c r="E261" t="s">
        <v>60</v>
      </c>
      <c r="F261">
        <v>14.52</v>
      </c>
      <c r="G261">
        <v>13.52</v>
      </c>
      <c r="H261">
        <v>6</v>
      </c>
      <c r="I261">
        <f t="shared" si="55"/>
        <v>6</v>
      </c>
      <c r="J261">
        <v>1</v>
      </c>
      <c r="K261">
        <f t="shared" si="56"/>
        <v>6</v>
      </c>
      <c r="L261" t="s">
        <v>72</v>
      </c>
      <c r="M261">
        <f>SUMIF(Executions!B:B,A261,Executions!H:H)</f>
        <v>-7.8175999999999828</v>
      </c>
      <c r="N261">
        <f t="shared" si="57"/>
        <v>-1.3029333333333304</v>
      </c>
      <c r="O261">
        <f>Tabla1[[#This Row],[Initial Risk $]]/Tabla1[[#This Row],[Position Size (shares)]]+Tabla1[[#This Row],[Entry Price]]</f>
        <v>15.52</v>
      </c>
      <c r="P261">
        <f>Tabla1[[#This Row],[Initial Risk $]]/Tabla1[[#This Row],[Position Size (shares)]]*2+Tabla1[[#This Row],[Entry Price]]</f>
        <v>16.52</v>
      </c>
      <c r="Q261">
        <f>Tabla1[[#This Row],[Initial Risk $]]/Tabla1[[#This Row],[Position Size (shares)]]*3+Tabla1[[#This Row],[Entry Price]]</f>
        <v>17.52</v>
      </c>
    </row>
    <row r="262" spans="1:17" hidden="1" x14ac:dyDescent="0.25">
      <c r="A262" t="str">
        <f t="shared" ref="A262:A269" si="58">"T-"&amp; TEXT(ROW()-1,"000")</f>
        <v>T-261</v>
      </c>
      <c r="B262" s="1">
        <v>46175</v>
      </c>
      <c r="C262" t="s">
        <v>445</v>
      </c>
      <c r="D262" t="s">
        <v>28</v>
      </c>
      <c r="E262" t="s">
        <v>51</v>
      </c>
      <c r="F262">
        <v>63.3</v>
      </c>
      <c r="G262">
        <v>62.01</v>
      </c>
      <c r="H262">
        <v>6</v>
      </c>
      <c r="I262">
        <f t="shared" ref="I262:I269" si="59">IF(D262="Long",(F262-G262)*H262,(G262-F262)*0)</f>
        <v>7.7399999999999949</v>
      </c>
      <c r="J262">
        <v>1</v>
      </c>
      <c r="K262">
        <f t="shared" ref="K262:K269" si="60">I262*J262</f>
        <v>7.7399999999999949</v>
      </c>
      <c r="L262" t="s">
        <v>72</v>
      </c>
      <c r="M262">
        <f>SUMIF(Executions!B:B,A262,Executions!H:H)</f>
        <v>-7.7399999999999949</v>
      </c>
      <c r="N262">
        <f t="shared" si="57"/>
        <v>-1</v>
      </c>
      <c r="O262">
        <f>Tabla1[[#This Row],[Initial Risk $]]/Tabla1[[#This Row],[Position Size (shares)]]+Tabla1[[#This Row],[Entry Price]]</f>
        <v>64.59</v>
      </c>
      <c r="P262">
        <f>Tabla1[[#This Row],[Initial Risk $]]/Tabla1[[#This Row],[Position Size (shares)]]*2+Tabla1[[#This Row],[Entry Price]]</f>
        <v>65.88</v>
      </c>
      <c r="Q262">
        <f>Tabla1[[#This Row],[Initial Risk $]]/Tabla1[[#This Row],[Position Size (shares)]]*3+Tabla1[[#This Row],[Entry Price]]</f>
        <v>67.169999999999987</v>
      </c>
    </row>
    <row r="263" spans="1:17" hidden="1" x14ac:dyDescent="0.25">
      <c r="A263" t="str">
        <f t="shared" si="58"/>
        <v>T-262</v>
      </c>
      <c r="B263" s="1">
        <v>46175</v>
      </c>
      <c r="C263" t="s">
        <v>193</v>
      </c>
      <c r="D263" t="s">
        <v>28</v>
      </c>
      <c r="E263" t="s">
        <v>58</v>
      </c>
      <c r="F263">
        <v>264.67</v>
      </c>
      <c r="G263">
        <v>262.17</v>
      </c>
      <c r="H263">
        <v>4</v>
      </c>
      <c r="I263">
        <f t="shared" si="59"/>
        <v>10</v>
      </c>
      <c r="J263">
        <v>1</v>
      </c>
      <c r="K263">
        <f t="shared" si="60"/>
        <v>10</v>
      </c>
      <c r="L263" t="s">
        <v>72</v>
      </c>
      <c r="M263">
        <f>SUMIF(Executions!B:B,A263,Executions!H:H)</f>
        <v>11.480000000000018</v>
      </c>
      <c r="N263">
        <f t="shared" si="57"/>
        <v>1.1480000000000019</v>
      </c>
      <c r="O263">
        <f>Tabla1[[#This Row],[Initial Risk $]]/Tabla1[[#This Row],[Position Size (shares)]]+Tabla1[[#This Row],[Entry Price]]</f>
        <v>267.17</v>
      </c>
      <c r="P263">
        <f>Tabla1[[#This Row],[Initial Risk $]]/Tabla1[[#This Row],[Position Size (shares)]]*2+Tabla1[[#This Row],[Entry Price]]</f>
        <v>269.67</v>
      </c>
      <c r="Q263">
        <f>Tabla1[[#This Row],[Initial Risk $]]/Tabla1[[#This Row],[Position Size (shares)]]*3+Tabla1[[#This Row],[Entry Price]]</f>
        <v>272.17</v>
      </c>
    </row>
    <row r="264" spans="1:17" hidden="1" x14ac:dyDescent="0.25">
      <c r="A264" t="str">
        <f t="shared" si="58"/>
        <v>T-263</v>
      </c>
      <c r="B264" s="1">
        <v>46175</v>
      </c>
      <c r="C264" t="s">
        <v>341</v>
      </c>
      <c r="D264" t="s">
        <v>28</v>
      </c>
      <c r="E264" t="s">
        <v>49</v>
      </c>
      <c r="F264">
        <v>302.3</v>
      </c>
      <c r="G264">
        <v>300.3</v>
      </c>
      <c r="H264">
        <v>3</v>
      </c>
      <c r="I264">
        <f t="shared" si="59"/>
        <v>6</v>
      </c>
      <c r="J264">
        <v>1</v>
      </c>
      <c r="K264">
        <f t="shared" si="60"/>
        <v>6</v>
      </c>
      <c r="L264" t="s">
        <v>72</v>
      </c>
      <c r="M264">
        <f>SUMIF(Executions!B:B,A264,Executions!H:H)</f>
        <v>-6</v>
      </c>
      <c r="N264">
        <f t="shared" si="57"/>
        <v>-1</v>
      </c>
      <c r="O264">
        <f>Tabla1[[#This Row],[Initial Risk $]]/Tabla1[[#This Row],[Position Size (shares)]]+Tabla1[[#This Row],[Entry Price]]</f>
        <v>304.3</v>
      </c>
      <c r="P264">
        <f>Tabla1[[#This Row],[Initial Risk $]]/Tabla1[[#This Row],[Position Size (shares)]]*2+Tabla1[[#This Row],[Entry Price]]</f>
        <v>306.3</v>
      </c>
      <c r="Q264">
        <f>Tabla1[[#This Row],[Initial Risk $]]/Tabla1[[#This Row],[Position Size (shares)]]*3+Tabla1[[#This Row],[Entry Price]]</f>
        <v>308.3</v>
      </c>
    </row>
    <row r="265" spans="1:17" hidden="1" x14ac:dyDescent="0.25">
      <c r="A265" t="str">
        <f t="shared" si="58"/>
        <v>T-264</v>
      </c>
      <c r="B265" s="1">
        <v>46175</v>
      </c>
      <c r="C265" t="s">
        <v>445</v>
      </c>
      <c r="D265" t="s">
        <v>28</v>
      </c>
      <c r="E265" t="s">
        <v>51</v>
      </c>
      <c r="F265">
        <v>58.44</v>
      </c>
      <c r="G265">
        <v>55.56</v>
      </c>
      <c r="H265">
        <v>20</v>
      </c>
      <c r="I265">
        <f t="shared" si="59"/>
        <v>57.599999999999909</v>
      </c>
      <c r="J265">
        <v>1</v>
      </c>
      <c r="K265">
        <f t="shared" si="60"/>
        <v>57.599999999999909</v>
      </c>
      <c r="L265" t="s">
        <v>72</v>
      </c>
      <c r="M265">
        <f>SUMIF(Executions!B:B,A265,Executions!H:H)</f>
        <v>-57.599999999999909</v>
      </c>
      <c r="N265">
        <f t="shared" si="57"/>
        <v>-1</v>
      </c>
      <c r="O265">
        <f>Tabla1[[#This Row],[Initial Risk $]]/Tabla1[[#This Row],[Position Size (shares)]]+Tabla1[[#This Row],[Entry Price]]</f>
        <v>61.319999999999993</v>
      </c>
      <c r="P265">
        <f>Tabla1[[#This Row],[Initial Risk $]]/Tabla1[[#This Row],[Position Size (shares)]]*2+Tabla1[[#This Row],[Entry Price]]</f>
        <v>64.199999999999989</v>
      </c>
      <c r="Q265">
        <f>Tabla1[[#This Row],[Initial Risk $]]/Tabla1[[#This Row],[Position Size (shares)]]*3+Tabla1[[#This Row],[Entry Price]]</f>
        <v>67.079999999999984</v>
      </c>
    </row>
    <row r="266" spans="1:17" hidden="1" x14ac:dyDescent="0.25">
      <c r="A266" t="str">
        <f t="shared" si="58"/>
        <v>T-265</v>
      </c>
      <c r="B266" s="1">
        <v>46175</v>
      </c>
      <c r="C266" t="s">
        <v>417</v>
      </c>
      <c r="D266" t="s">
        <v>28</v>
      </c>
      <c r="E266" t="s">
        <v>58</v>
      </c>
      <c r="F266">
        <v>596.15</v>
      </c>
      <c r="G266">
        <v>593.15</v>
      </c>
      <c r="H266">
        <v>2</v>
      </c>
      <c r="I266">
        <f t="shared" si="59"/>
        <v>6</v>
      </c>
      <c r="J266">
        <v>1</v>
      </c>
      <c r="K266">
        <f t="shared" si="60"/>
        <v>6</v>
      </c>
      <c r="L266" t="s">
        <v>72</v>
      </c>
      <c r="M266">
        <f>SUMIF(Executions!B:B,A266,Executions!H:H)</f>
        <v>-6</v>
      </c>
      <c r="N266">
        <f t="shared" si="57"/>
        <v>-1</v>
      </c>
      <c r="O266">
        <f>Tabla1[[#This Row],[Initial Risk $]]/Tabla1[[#This Row],[Position Size (shares)]]+Tabla1[[#This Row],[Entry Price]]</f>
        <v>599.15</v>
      </c>
      <c r="P266">
        <f>Tabla1[[#This Row],[Initial Risk $]]/Tabla1[[#This Row],[Position Size (shares)]]*2+Tabla1[[#This Row],[Entry Price]]</f>
        <v>602.15</v>
      </c>
      <c r="Q266">
        <f>Tabla1[[#This Row],[Initial Risk $]]/Tabla1[[#This Row],[Position Size (shares)]]*3+Tabla1[[#This Row],[Entry Price]]</f>
        <v>605.15</v>
      </c>
    </row>
    <row r="267" spans="1:17" hidden="1" x14ac:dyDescent="0.25">
      <c r="A267" t="str">
        <f t="shared" si="58"/>
        <v>T-266</v>
      </c>
      <c r="B267" s="1">
        <v>46175</v>
      </c>
      <c r="C267" t="s">
        <v>428</v>
      </c>
      <c r="D267" t="s">
        <v>28</v>
      </c>
      <c r="E267" t="s">
        <v>58</v>
      </c>
      <c r="F267">
        <v>456.79</v>
      </c>
      <c r="G267">
        <v>451.1</v>
      </c>
      <c r="H267">
        <v>2</v>
      </c>
      <c r="I267">
        <f t="shared" si="59"/>
        <v>11.379999999999995</v>
      </c>
      <c r="J267">
        <v>1</v>
      </c>
      <c r="K267">
        <f t="shared" si="60"/>
        <v>11.379999999999995</v>
      </c>
      <c r="L267" t="s">
        <v>72</v>
      </c>
      <c r="M267">
        <f>SUMIF(Executions!B:B,A267,Executions!H:H)</f>
        <v>-11.32000000000005</v>
      </c>
      <c r="N267">
        <f t="shared" si="57"/>
        <v>-0.99472759226714014</v>
      </c>
      <c r="O267">
        <f>Tabla1[[#This Row],[Initial Risk $]]/Tabla1[[#This Row],[Position Size (shares)]]+Tabla1[[#This Row],[Entry Price]]</f>
        <v>462.48</v>
      </c>
      <c r="P267">
        <f>Tabla1[[#This Row],[Initial Risk $]]/Tabla1[[#This Row],[Position Size (shares)]]*2+Tabla1[[#This Row],[Entry Price]]</f>
        <v>468.17</v>
      </c>
      <c r="Q267">
        <f>Tabla1[[#This Row],[Initial Risk $]]/Tabla1[[#This Row],[Position Size (shares)]]*3+Tabla1[[#This Row],[Entry Price]]</f>
        <v>473.86</v>
      </c>
    </row>
    <row r="268" spans="1:17" hidden="1" x14ac:dyDescent="0.25">
      <c r="A268" t="str">
        <f t="shared" si="58"/>
        <v>T-267</v>
      </c>
      <c r="B268" s="1">
        <v>46175</v>
      </c>
      <c r="C268" t="s">
        <v>193</v>
      </c>
      <c r="D268" t="s">
        <v>28</v>
      </c>
      <c r="E268" t="s">
        <v>58</v>
      </c>
      <c r="F268">
        <v>268.57</v>
      </c>
      <c r="G268">
        <v>267.57</v>
      </c>
      <c r="H268">
        <v>4</v>
      </c>
      <c r="I268">
        <f t="shared" si="59"/>
        <v>4</v>
      </c>
      <c r="J268">
        <v>1</v>
      </c>
      <c r="K268">
        <f t="shared" si="60"/>
        <v>4</v>
      </c>
      <c r="L268" t="s">
        <v>72</v>
      </c>
      <c r="M268">
        <f>SUMIF(Executions!B:B,A268,Executions!H:H)</f>
        <v>49.860000000000127</v>
      </c>
      <c r="N268">
        <f t="shared" si="57"/>
        <v>12.465000000000032</v>
      </c>
      <c r="O268">
        <f>Tabla1[[#This Row],[Initial Risk $]]/Tabla1[[#This Row],[Position Size (shares)]]+Tabla1[[#This Row],[Entry Price]]</f>
        <v>269.57</v>
      </c>
      <c r="P268">
        <f>Tabla1[[#This Row],[Initial Risk $]]/Tabla1[[#This Row],[Position Size (shares)]]*2+Tabla1[[#This Row],[Entry Price]]</f>
        <v>270.57</v>
      </c>
      <c r="Q268">
        <f>Tabla1[[#This Row],[Initial Risk $]]/Tabla1[[#This Row],[Position Size (shares)]]*3+Tabla1[[#This Row],[Entry Price]]</f>
        <v>271.57</v>
      </c>
    </row>
    <row r="269" spans="1:17" hidden="1" x14ac:dyDescent="0.25">
      <c r="A269" t="str">
        <f t="shared" si="58"/>
        <v>T-268</v>
      </c>
      <c r="B269" s="1">
        <v>46175</v>
      </c>
      <c r="C269" t="s">
        <v>417</v>
      </c>
      <c r="D269" t="s">
        <v>28</v>
      </c>
      <c r="E269" t="s">
        <v>119</v>
      </c>
      <c r="F269">
        <v>597.75</v>
      </c>
      <c r="G269">
        <v>593.75</v>
      </c>
      <c r="H269">
        <v>2</v>
      </c>
      <c r="I269">
        <f t="shared" si="59"/>
        <v>8</v>
      </c>
      <c r="J269">
        <v>1</v>
      </c>
      <c r="K269">
        <f t="shared" si="60"/>
        <v>8</v>
      </c>
      <c r="L269" t="s">
        <v>72</v>
      </c>
      <c r="M269">
        <f>SUMIF(Executions!B:B,A269,Executions!H:H)</f>
        <v>2.4200000000000728</v>
      </c>
      <c r="N269">
        <f t="shared" si="57"/>
        <v>0.30250000000000909</v>
      </c>
      <c r="O269">
        <f>Tabla1[[#This Row],[Initial Risk $]]/Tabla1[[#This Row],[Position Size (shares)]]+Tabla1[[#This Row],[Entry Price]]</f>
        <v>601.75</v>
      </c>
      <c r="P269">
        <f>Tabla1[[#This Row],[Initial Risk $]]/Tabla1[[#This Row],[Position Size (shares)]]*2+Tabla1[[#This Row],[Entry Price]]</f>
        <v>605.75</v>
      </c>
      <c r="Q269">
        <f>Tabla1[[#This Row],[Initial Risk $]]/Tabla1[[#This Row],[Position Size (shares)]]*3+Tabla1[[#This Row],[Entry Price]]</f>
        <v>609.75</v>
      </c>
    </row>
    <row r="270" spans="1:17" hidden="1" x14ac:dyDescent="0.25">
      <c r="A270" t="str">
        <f t="shared" ref="A270:A277" si="61">"T-"&amp; TEXT(ROW()-1,"000")</f>
        <v>T-269</v>
      </c>
      <c r="B270" s="1">
        <v>46176</v>
      </c>
      <c r="C270" t="s">
        <v>161</v>
      </c>
      <c r="D270" t="s">
        <v>28</v>
      </c>
      <c r="E270" t="s">
        <v>49</v>
      </c>
      <c r="F270">
        <v>115.61</v>
      </c>
      <c r="G270">
        <v>114.73</v>
      </c>
      <c r="H270">
        <v>8</v>
      </c>
      <c r="I270">
        <f t="shared" ref="I270:I277" si="62">IF(D270="Long",(F270-G270)*H270,(G270-F270)*0)</f>
        <v>7.0399999999999636</v>
      </c>
      <c r="J270">
        <v>1</v>
      </c>
      <c r="K270">
        <f t="shared" ref="K270:K277" si="63">I270*J270</f>
        <v>7.0399999999999636</v>
      </c>
      <c r="L270" t="s">
        <v>72</v>
      </c>
      <c r="M270">
        <f>SUMIF(Executions!B:B,A270,Executions!H:H)</f>
        <v>-7.0399999999999636</v>
      </c>
      <c r="N270">
        <f t="shared" si="57"/>
        <v>-1</v>
      </c>
      <c r="O270">
        <f>Tabla1[[#This Row],[Initial Risk $]]/Tabla1[[#This Row],[Position Size (shares)]]+Tabla1[[#This Row],[Entry Price]]</f>
        <v>116.49</v>
      </c>
      <c r="P270">
        <f>Tabla1[[#This Row],[Initial Risk $]]/Tabla1[[#This Row],[Position Size (shares)]]*2+Tabla1[[#This Row],[Entry Price]]</f>
        <v>117.36999999999999</v>
      </c>
      <c r="Q270">
        <f>Tabla1[[#This Row],[Initial Risk $]]/Tabla1[[#This Row],[Position Size (shares)]]*3+Tabla1[[#This Row],[Entry Price]]</f>
        <v>118.24999999999999</v>
      </c>
    </row>
    <row r="271" spans="1:17" hidden="1" x14ac:dyDescent="0.25">
      <c r="A271" t="str">
        <f t="shared" si="61"/>
        <v>T-270</v>
      </c>
      <c r="B271" s="1">
        <v>46176</v>
      </c>
      <c r="C271" t="s">
        <v>255</v>
      </c>
      <c r="D271" t="s">
        <v>28</v>
      </c>
      <c r="E271" t="s">
        <v>58</v>
      </c>
      <c r="F271">
        <v>316.67</v>
      </c>
      <c r="G271">
        <v>313.67</v>
      </c>
      <c r="H271">
        <v>3</v>
      </c>
      <c r="I271">
        <f t="shared" si="62"/>
        <v>9</v>
      </c>
      <c r="J271">
        <v>1</v>
      </c>
      <c r="K271">
        <f t="shared" si="63"/>
        <v>9</v>
      </c>
      <c r="L271" t="s">
        <v>72</v>
      </c>
      <c r="M271">
        <f>SUMIF(Executions!B:B,A271,Executions!H:H)</f>
        <v>-9</v>
      </c>
      <c r="N271">
        <f t="shared" si="57"/>
        <v>-1</v>
      </c>
      <c r="O271">
        <f>Tabla1[[#This Row],[Initial Risk $]]/Tabla1[[#This Row],[Position Size (shares)]]+Tabla1[[#This Row],[Entry Price]]</f>
        <v>319.67</v>
      </c>
      <c r="P271">
        <f>Tabla1[[#This Row],[Initial Risk $]]/Tabla1[[#This Row],[Position Size (shares)]]*2+Tabla1[[#This Row],[Entry Price]]</f>
        <v>322.67</v>
      </c>
      <c r="Q271">
        <f>Tabla1[[#This Row],[Initial Risk $]]/Tabla1[[#This Row],[Position Size (shares)]]*3+Tabla1[[#This Row],[Entry Price]]</f>
        <v>325.67</v>
      </c>
    </row>
    <row r="272" spans="1:17" hidden="1" x14ac:dyDescent="0.25">
      <c r="A272" t="str">
        <f t="shared" si="61"/>
        <v>T-271</v>
      </c>
      <c r="B272" s="1">
        <v>46176</v>
      </c>
      <c r="C272" t="s">
        <v>161</v>
      </c>
      <c r="D272" t="s">
        <v>28</v>
      </c>
      <c r="E272" t="s">
        <v>49</v>
      </c>
      <c r="F272">
        <v>114.8</v>
      </c>
      <c r="G272">
        <v>112.17</v>
      </c>
      <c r="H272">
        <v>16</v>
      </c>
      <c r="I272">
        <f t="shared" si="62"/>
        <v>42.079999999999927</v>
      </c>
      <c r="J272">
        <v>1</v>
      </c>
      <c r="K272">
        <f t="shared" si="63"/>
        <v>42.079999999999927</v>
      </c>
      <c r="L272" t="s">
        <v>72</v>
      </c>
      <c r="M272">
        <f>SUMIF(Executions!B:B,A272,Executions!H:H)</f>
        <v>-42.079999999999927</v>
      </c>
      <c r="N272">
        <f t="shared" si="57"/>
        <v>-1</v>
      </c>
      <c r="O272">
        <f>Tabla1[[#This Row],[Initial Risk $]]/Tabla1[[#This Row],[Position Size (shares)]]+Tabla1[[#This Row],[Entry Price]]</f>
        <v>117.42999999999999</v>
      </c>
      <c r="P272">
        <f>Tabla1[[#This Row],[Initial Risk $]]/Tabla1[[#This Row],[Position Size (shares)]]*2+Tabla1[[#This Row],[Entry Price]]</f>
        <v>120.05999999999999</v>
      </c>
      <c r="Q272">
        <f>Tabla1[[#This Row],[Initial Risk $]]/Tabla1[[#This Row],[Position Size (shares)]]*3+Tabla1[[#This Row],[Entry Price]]</f>
        <v>122.68999999999998</v>
      </c>
    </row>
    <row r="273" spans="1:17" hidden="1" x14ac:dyDescent="0.25">
      <c r="A273" t="str">
        <f t="shared" si="61"/>
        <v>T-272</v>
      </c>
      <c r="B273" s="1">
        <v>46176</v>
      </c>
      <c r="C273" t="s">
        <v>130</v>
      </c>
      <c r="D273" t="s">
        <v>28</v>
      </c>
      <c r="E273" t="s">
        <v>58</v>
      </c>
      <c r="F273">
        <v>532.37</v>
      </c>
      <c r="G273">
        <v>528.37</v>
      </c>
      <c r="H273">
        <v>2</v>
      </c>
      <c r="I273">
        <f t="shared" si="62"/>
        <v>8</v>
      </c>
      <c r="J273">
        <v>1</v>
      </c>
      <c r="K273">
        <f t="shared" si="63"/>
        <v>8</v>
      </c>
      <c r="L273" t="s">
        <v>72</v>
      </c>
      <c r="M273">
        <f>SUMIF(Executions!B:B,A273,Executions!H:H)</f>
        <v>12.099999999999909</v>
      </c>
      <c r="N273">
        <f t="shared" si="57"/>
        <v>1.5124999999999886</v>
      </c>
      <c r="O273">
        <f>Tabla1[[#This Row],[Initial Risk $]]/Tabla1[[#This Row],[Position Size (shares)]]+Tabla1[[#This Row],[Entry Price]]</f>
        <v>536.37</v>
      </c>
      <c r="P273">
        <f>Tabla1[[#This Row],[Initial Risk $]]/Tabla1[[#This Row],[Position Size (shares)]]*2+Tabla1[[#This Row],[Entry Price]]</f>
        <v>540.37</v>
      </c>
      <c r="Q273">
        <f>Tabla1[[#This Row],[Initial Risk $]]/Tabla1[[#This Row],[Position Size (shares)]]*3+Tabla1[[#This Row],[Entry Price]]</f>
        <v>544.37</v>
      </c>
    </row>
    <row r="274" spans="1:17" hidden="1" x14ac:dyDescent="0.25">
      <c r="A274" t="str">
        <f t="shared" si="61"/>
        <v>T-273</v>
      </c>
      <c r="B274" s="1">
        <v>46176</v>
      </c>
      <c r="C274" t="s">
        <v>193</v>
      </c>
      <c r="D274" t="s">
        <v>28</v>
      </c>
      <c r="E274" t="s">
        <v>58</v>
      </c>
      <c r="F274">
        <v>309.55</v>
      </c>
      <c r="G274">
        <v>305.55</v>
      </c>
      <c r="H274">
        <v>3</v>
      </c>
      <c r="I274">
        <f t="shared" si="62"/>
        <v>12</v>
      </c>
      <c r="J274">
        <v>1</v>
      </c>
      <c r="K274">
        <f t="shared" si="63"/>
        <v>12</v>
      </c>
      <c r="L274" t="s">
        <v>72</v>
      </c>
      <c r="M274">
        <f>SUMIF(Executions!B:B,A274,Executions!H:H)</f>
        <v>-11.970000000000027</v>
      </c>
      <c r="N274">
        <f t="shared" si="57"/>
        <v>-0.99750000000000227</v>
      </c>
      <c r="O274">
        <f>Tabla1[[#This Row],[Initial Risk $]]/Tabla1[[#This Row],[Position Size (shares)]]+Tabla1[[#This Row],[Entry Price]]</f>
        <v>313.55</v>
      </c>
      <c r="P274">
        <f>Tabla1[[#This Row],[Initial Risk $]]/Tabla1[[#This Row],[Position Size (shares)]]*2+Tabla1[[#This Row],[Entry Price]]</f>
        <v>317.55</v>
      </c>
      <c r="Q274">
        <f>Tabla1[[#This Row],[Initial Risk $]]/Tabla1[[#This Row],[Position Size (shares)]]*3+Tabla1[[#This Row],[Entry Price]]</f>
        <v>321.55</v>
      </c>
    </row>
    <row r="275" spans="1:17" hidden="1" x14ac:dyDescent="0.25">
      <c r="A275" t="str">
        <f t="shared" si="61"/>
        <v>T-274</v>
      </c>
      <c r="B275" s="1">
        <v>46176</v>
      </c>
      <c r="C275" t="s">
        <v>417</v>
      </c>
      <c r="D275" t="s">
        <v>28</v>
      </c>
      <c r="E275" t="s">
        <v>119</v>
      </c>
      <c r="F275">
        <v>571.83000000000004</v>
      </c>
      <c r="G275">
        <v>568.83000000000004</v>
      </c>
      <c r="H275">
        <v>2</v>
      </c>
      <c r="I275">
        <f t="shared" si="62"/>
        <v>6</v>
      </c>
      <c r="J275">
        <v>1</v>
      </c>
      <c r="K275">
        <f t="shared" si="63"/>
        <v>6</v>
      </c>
      <c r="L275" t="s">
        <v>72</v>
      </c>
      <c r="M275">
        <f>SUMIF(Executions!B:B,A275,Executions!H:H)</f>
        <v>-6.3600000000001273</v>
      </c>
      <c r="N275">
        <f t="shared" si="57"/>
        <v>-1.0600000000000211</v>
      </c>
      <c r="O275">
        <f>Tabla1[[#This Row],[Initial Risk $]]/Tabla1[[#This Row],[Position Size (shares)]]+Tabla1[[#This Row],[Entry Price]]</f>
        <v>574.83000000000004</v>
      </c>
      <c r="P275">
        <f>Tabla1[[#This Row],[Initial Risk $]]/Tabla1[[#This Row],[Position Size (shares)]]*2+Tabla1[[#This Row],[Entry Price]]</f>
        <v>577.83000000000004</v>
      </c>
      <c r="Q275">
        <f>Tabla1[[#This Row],[Initial Risk $]]/Tabla1[[#This Row],[Position Size (shares)]]*3+Tabla1[[#This Row],[Entry Price]]</f>
        <v>580.83000000000004</v>
      </c>
    </row>
    <row r="276" spans="1:17" hidden="1" x14ac:dyDescent="0.25">
      <c r="A276" t="str">
        <f t="shared" si="61"/>
        <v>T-275</v>
      </c>
      <c r="B276" s="1">
        <v>46176</v>
      </c>
      <c r="C276" t="s">
        <v>161</v>
      </c>
      <c r="D276" t="s">
        <v>28</v>
      </c>
      <c r="E276" t="s">
        <v>119</v>
      </c>
      <c r="F276">
        <v>112.88</v>
      </c>
      <c r="G276">
        <v>111.49</v>
      </c>
      <c r="H276">
        <v>10</v>
      </c>
      <c r="I276">
        <f t="shared" si="62"/>
        <v>13.900000000000006</v>
      </c>
      <c r="J276">
        <v>1</v>
      </c>
      <c r="K276">
        <f t="shared" si="63"/>
        <v>13.900000000000006</v>
      </c>
      <c r="L276" t="s">
        <v>72</v>
      </c>
      <c r="M276">
        <f>SUMIF(Executions!B:B,A276,Executions!H:H)</f>
        <v>-14.200000000000017</v>
      </c>
      <c r="N276">
        <f t="shared" si="57"/>
        <v>-1.0215827338129504</v>
      </c>
      <c r="O276">
        <f>Tabla1[[#This Row],[Initial Risk $]]/Tabla1[[#This Row],[Position Size (shares)]]+Tabla1[[#This Row],[Entry Price]]</f>
        <v>114.27</v>
      </c>
      <c r="P276">
        <f>Tabla1[[#This Row],[Initial Risk $]]/Tabla1[[#This Row],[Position Size (shares)]]*2+Tabla1[[#This Row],[Entry Price]]</f>
        <v>115.66</v>
      </c>
      <c r="Q276">
        <f>Tabla1[[#This Row],[Initial Risk $]]/Tabla1[[#This Row],[Position Size (shares)]]*3+Tabla1[[#This Row],[Entry Price]]</f>
        <v>117.05</v>
      </c>
    </row>
    <row r="277" spans="1:17" hidden="1" x14ac:dyDescent="0.25">
      <c r="A277" t="str">
        <f t="shared" si="61"/>
        <v>T-276</v>
      </c>
      <c r="B277" s="1">
        <v>46176</v>
      </c>
      <c r="C277" t="s">
        <v>462</v>
      </c>
      <c r="D277" t="s">
        <v>28</v>
      </c>
      <c r="E277" t="s">
        <v>58</v>
      </c>
      <c r="F277">
        <v>27.97</v>
      </c>
      <c r="G277">
        <v>25.97</v>
      </c>
      <c r="H277">
        <v>8</v>
      </c>
      <c r="I277">
        <f t="shared" si="62"/>
        <v>16</v>
      </c>
      <c r="J277">
        <v>1</v>
      </c>
      <c r="K277">
        <f t="shared" si="63"/>
        <v>16</v>
      </c>
      <c r="L277" t="s">
        <v>72</v>
      </c>
      <c r="M277">
        <f>SUMIF(Executions!B:B,A277,Executions!H:H)</f>
        <v>-15.519999999999982</v>
      </c>
      <c r="N277">
        <f t="shared" si="57"/>
        <v>-0.96999999999999886</v>
      </c>
      <c r="O277">
        <f>Tabla1[[#This Row],[Initial Risk $]]/Tabla1[[#This Row],[Position Size (shares)]]+Tabla1[[#This Row],[Entry Price]]</f>
        <v>29.97</v>
      </c>
      <c r="P277">
        <f>Tabla1[[#This Row],[Initial Risk $]]/Tabla1[[#This Row],[Position Size (shares)]]*2+Tabla1[[#This Row],[Entry Price]]</f>
        <v>31.97</v>
      </c>
      <c r="Q277">
        <f>Tabla1[[#This Row],[Initial Risk $]]/Tabla1[[#This Row],[Position Size (shares)]]*3+Tabla1[[#This Row],[Entry Price]]</f>
        <v>33.97</v>
      </c>
    </row>
    <row r="278" spans="1:17" hidden="1" x14ac:dyDescent="0.25">
      <c r="A278" t="str">
        <f t="shared" ref="A278:A285" si="64">"T-"&amp; TEXT(ROW()-1,"000")</f>
        <v>T-277</v>
      </c>
      <c r="B278" s="1">
        <v>46177</v>
      </c>
      <c r="C278" t="s">
        <v>255</v>
      </c>
      <c r="D278" t="s">
        <v>28</v>
      </c>
      <c r="E278" t="s">
        <v>49</v>
      </c>
      <c r="F278">
        <v>312.2</v>
      </c>
      <c r="G278">
        <v>310.81</v>
      </c>
      <c r="H278">
        <v>3</v>
      </c>
      <c r="I278">
        <f t="shared" ref="I278:I285" si="65">IF(D278="Long",(F278-G278)*H278,(G278-F278)*0)</f>
        <v>4.1699999999999591</v>
      </c>
      <c r="J278">
        <v>1</v>
      </c>
      <c r="K278">
        <f t="shared" ref="K278:K285" si="66">I278*J278</f>
        <v>4.1699999999999591</v>
      </c>
      <c r="L278" t="s">
        <v>72</v>
      </c>
      <c r="M278">
        <f>SUMIF(Executions!B:B,A278,Executions!H:H)</f>
        <v>-4.1999999999999318</v>
      </c>
      <c r="N278">
        <f t="shared" si="57"/>
        <v>-1.0071942446043101</v>
      </c>
      <c r="O278">
        <f>Tabla1[[#This Row],[Initial Risk $]]/Tabla1[[#This Row],[Position Size (shares)]]+Tabla1[[#This Row],[Entry Price]]</f>
        <v>313.58999999999997</v>
      </c>
      <c r="P278">
        <f>Tabla1[[#This Row],[Initial Risk $]]/Tabla1[[#This Row],[Position Size (shares)]]*2+Tabla1[[#This Row],[Entry Price]]</f>
        <v>314.97999999999996</v>
      </c>
      <c r="Q278">
        <f>Tabla1[[#This Row],[Initial Risk $]]/Tabla1[[#This Row],[Position Size (shares)]]*3+Tabla1[[#This Row],[Entry Price]]</f>
        <v>316.36999999999995</v>
      </c>
    </row>
    <row r="279" spans="1:17" hidden="1" x14ac:dyDescent="0.25">
      <c r="A279" t="str">
        <f t="shared" si="64"/>
        <v>T-278</v>
      </c>
      <c r="B279" s="1">
        <v>46177</v>
      </c>
      <c r="C279" t="s">
        <v>197</v>
      </c>
      <c r="D279" t="s">
        <v>28</v>
      </c>
      <c r="E279" t="s">
        <v>58</v>
      </c>
      <c r="F279">
        <v>81.84</v>
      </c>
      <c r="G279">
        <v>81.290000000000006</v>
      </c>
      <c r="H279">
        <v>10</v>
      </c>
      <c r="I279">
        <f t="shared" si="65"/>
        <v>5.4999999999999716</v>
      </c>
      <c r="J279">
        <v>1</v>
      </c>
      <c r="K279">
        <f t="shared" si="66"/>
        <v>5.4999999999999716</v>
      </c>
      <c r="L279" t="s">
        <v>72</v>
      </c>
      <c r="M279">
        <f>SUMIF(Executions!B:B,A279,Executions!H:H)</f>
        <v>-5.3000000000000114</v>
      </c>
      <c r="N279">
        <f t="shared" si="57"/>
        <v>-0.96363636363637073</v>
      </c>
      <c r="O279">
        <f>Tabla1[[#This Row],[Initial Risk $]]/Tabla1[[#This Row],[Position Size (shares)]]+Tabla1[[#This Row],[Entry Price]]</f>
        <v>82.39</v>
      </c>
      <c r="P279">
        <f>Tabla1[[#This Row],[Initial Risk $]]/Tabla1[[#This Row],[Position Size (shares)]]*2+Tabla1[[#This Row],[Entry Price]]</f>
        <v>82.94</v>
      </c>
      <c r="Q279">
        <f>Tabla1[[#This Row],[Initial Risk $]]/Tabla1[[#This Row],[Position Size (shares)]]*3+Tabla1[[#This Row],[Entry Price]]</f>
        <v>83.49</v>
      </c>
    </row>
    <row r="280" spans="1:17" hidden="1" x14ac:dyDescent="0.25">
      <c r="A280" t="str">
        <f t="shared" si="64"/>
        <v>T-279</v>
      </c>
      <c r="B280" s="1">
        <v>46177</v>
      </c>
      <c r="C280" t="s">
        <v>327</v>
      </c>
      <c r="D280" t="s">
        <v>28</v>
      </c>
      <c r="E280" t="s">
        <v>58</v>
      </c>
      <c r="F280">
        <v>179.16</v>
      </c>
      <c r="G280">
        <v>178.16</v>
      </c>
      <c r="H280">
        <v>8</v>
      </c>
      <c r="I280">
        <f t="shared" si="65"/>
        <v>8</v>
      </c>
      <c r="J280">
        <v>1</v>
      </c>
      <c r="K280">
        <f t="shared" si="66"/>
        <v>8</v>
      </c>
      <c r="L280" t="s">
        <v>72</v>
      </c>
      <c r="M280">
        <f>SUMIF(Executions!B:B,A280,Executions!H:H)</f>
        <v>-11.099999999999852</v>
      </c>
      <c r="N280">
        <f t="shared" si="57"/>
        <v>-1.3874999999999815</v>
      </c>
      <c r="O280">
        <f>Tabla1[[#This Row],[Initial Risk $]]/Tabla1[[#This Row],[Position Size (shares)]]+Tabla1[[#This Row],[Entry Price]]</f>
        <v>180.16</v>
      </c>
      <c r="P280">
        <f>Tabla1[[#This Row],[Initial Risk $]]/Tabla1[[#This Row],[Position Size (shares)]]*2+Tabla1[[#This Row],[Entry Price]]</f>
        <v>181.16</v>
      </c>
      <c r="Q280">
        <f>Tabla1[[#This Row],[Initial Risk $]]/Tabla1[[#This Row],[Position Size (shares)]]*3+Tabla1[[#This Row],[Entry Price]]</f>
        <v>182.16</v>
      </c>
    </row>
    <row r="281" spans="1:17" hidden="1" x14ac:dyDescent="0.25">
      <c r="A281" t="str">
        <f t="shared" si="64"/>
        <v>T-280</v>
      </c>
      <c r="B281" s="1">
        <v>46177</v>
      </c>
      <c r="C281" t="s">
        <v>417</v>
      </c>
      <c r="D281" t="s">
        <v>28</v>
      </c>
      <c r="E281" t="s">
        <v>49</v>
      </c>
      <c r="F281">
        <v>578.48</v>
      </c>
      <c r="G281">
        <v>575.48</v>
      </c>
      <c r="H281">
        <v>2</v>
      </c>
      <c r="I281">
        <f t="shared" si="65"/>
        <v>6</v>
      </c>
      <c r="J281">
        <v>1</v>
      </c>
      <c r="K281">
        <f t="shared" si="66"/>
        <v>6</v>
      </c>
      <c r="L281" t="s">
        <v>72</v>
      </c>
      <c r="M281">
        <f>SUMIF(Executions!B:B,A281,Executions!H:H)</f>
        <v>-9.2400000000000091</v>
      </c>
      <c r="N281">
        <f t="shared" si="57"/>
        <v>-1.5400000000000016</v>
      </c>
      <c r="O281">
        <f>Tabla1[[#This Row],[Initial Risk $]]/Tabla1[[#This Row],[Position Size (shares)]]+Tabla1[[#This Row],[Entry Price]]</f>
        <v>581.48</v>
      </c>
      <c r="P281">
        <f>Tabla1[[#This Row],[Initial Risk $]]/Tabla1[[#This Row],[Position Size (shares)]]*2+Tabla1[[#This Row],[Entry Price]]</f>
        <v>584.48</v>
      </c>
      <c r="Q281">
        <f>Tabla1[[#This Row],[Initial Risk $]]/Tabla1[[#This Row],[Position Size (shares)]]*3+Tabla1[[#This Row],[Entry Price]]</f>
        <v>587.48</v>
      </c>
    </row>
    <row r="282" spans="1:17" hidden="1" x14ac:dyDescent="0.25">
      <c r="A282" t="str">
        <f t="shared" si="64"/>
        <v>T-281</v>
      </c>
      <c r="B282" s="1">
        <v>46177</v>
      </c>
      <c r="C282" t="s">
        <v>186</v>
      </c>
      <c r="D282" t="s">
        <v>28</v>
      </c>
      <c r="E282" t="s">
        <v>119</v>
      </c>
      <c r="F282">
        <v>253.75</v>
      </c>
      <c r="G282">
        <v>251.75</v>
      </c>
      <c r="H282">
        <v>4</v>
      </c>
      <c r="I282">
        <f t="shared" si="65"/>
        <v>8</v>
      </c>
      <c r="J282">
        <v>1</v>
      </c>
      <c r="K282">
        <f t="shared" si="66"/>
        <v>8</v>
      </c>
      <c r="L282" t="s">
        <v>72</v>
      </c>
      <c r="M282">
        <f>SUMIF(Executions!B:B,A282,Executions!H:H)</f>
        <v>-8.8799999999999955</v>
      </c>
      <c r="N282">
        <f t="shared" si="57"/>
        <v>-1.1099999999999994</v>
      </c>
      <c r="O282">
        <f>Tabla1[[#This Row],[Initial Risk $]]/Tabla1[[#This Row],[Position Size (shares)]]+Tabla1[[#This Row],[Entry Price]]</f>
        <v>255.75</v>
      </c>
      <c r="P282">
        <f>Tabla1[[#This Row],[Initial Risk $]]/Tabla1[[#This Row],[Position Size (shares)]]*2+Tabla1[[#This Row],[Entry Price]]</f>
        <v>257.75</v>
      </c>
      <c r="Q282">
        <f>Tabla1[[#This Row],[Initial Risk $]]/Tabla1[[#This Row],[Position Size (shares)]]*3+Tabla1[[#This Row],[Entry Price]]</f>
        <v>259.75</v>
      </c>
    </row>
    <row r="283" spans="1:17" hidden="1" x14ac:dyDescent="0.25">
      <c r="A283" t="str">
        <f t="shared" si="64"/>
        <v>T-282</v>
      </c>
      <c r="B283" s="1">
        <v>46177</v>
      </c>
      <c r="C283" t="s">
        <v>417</v>
      </c>
      <c r="D283" t="s">
        <v>28</v>
      </c>
      <c r="E283" t="s">
        <v>119</v>
      </c>
      <c r="F283">
        <v>575.54999999999995</v>
      </c>
      <c r="G283">
        <v>572.54999999999995</v>
      </c>
      <c r="H283">
        <v>2</v>
      </c>
      <c r="I283">
        <f t="shared" si="65"/>
        <v>6</v>
      </c>
      <c r="J283">
        <v>1</v>
      </c>
      <c r="K283">
        <f t="shared" si="66"/>
        <v>6</v>
      </c>
      <c r="L283" t="s">
        <v>72</v>
      </c>
      <c r="M283">
        <f>SUMIF(Executions!B:B,A283,Executions!H:H)</f>
        <v>-6.9800000000000182</v>
      </c>
      <c r="N283">
        <f t="shared" si="57"/>
        <v>-1.1633333333333364</v>
      </c>
      <c r="O283">
        <f>Tabla1[[#This Row],[Initial Risk $]]/Tabla1[[#This Row],[Position Size (shares)]]+Tabla1[[#This Row],[Entry Price]]</f>
        <v>578.54999999999995</v>
      </c>
      <c r="P283">
        <f>Tabla1[[#This Row],[Initial Risk $]]/Tabla1[[#This Row],[Position Size (shares)]]*2+Tabla1[[#This Row],[Entry Price]]</f>
        <v>581.54999999999995</v>
      </c>
      <c r="Q283">
        <f>Tabla1[[#This Row],[Initial Risk $]]/Tabla1[[#This Row],[Position Size (shares)]]*3+Tabla1[[#This Row],[Entry Price]]</f>
        <v>584.54999999999995</v>
      </c>
    </row>
    <row r="284" spans="1:17" hidden="1" x14ac:dyDescent="0.25">
      <c r="A284" t="str">
        <f t="shared" si="64"/>
        <v>T-283</v>
      </c>
      <c r="B284" s="1">
        <v>46177</v>
      </c>
      <c r="C284" t="s">
        <v>387</v>
      </c>
      <c r="D284" t="s">
        <v>28</v>
      </c>
      <c r="E284" t="s">
        <v>49</v>
      </c>
      <c r="F284">
        <v>412.59</v>
      </c>
      <c r="G284">
        <v>410.22</v>
      </c>
      <c r="H284">
        <v>3</v>
      </c>
      <c r="I284">
        <f t="shared" si="65"/>
        <v>7.1099999999998431</v>
      </c>
      <c r="J284">
        <v>1</v>
      </c>
      <c r="K284">
        <f t="shared" si="66"/>
        <v>7.1099999999998431</v>
      </c>
      <c r="L284" t="s">
        <v>72</v>
      </c>
      <c r="M284">
        <f>SUMIF(Executions!B:B,A284,Executions!H:H)</f>
        <v>-7.1699999999999591</v>
      </c>
      <c r="N284">
        <f t="shared" si="57"/>
        <v>-1.0084388185654174</v>
      </c>
      <c r="O284">
        <f>Tabla1[[#This Row],[Initial Risk $]]/Tabla1[[#This Row],[Position Size (shares)]]+Tabla1[[#This Row],[Entry Price]]</f>
        <v>414.95999999999992</v>
      </c>
      <c r="P284">
        <f>Tabla1[[#This Row],[Initial Risk $]]/Tabla1[[#This Row],[Position Size (shares)]]*2+Tabla1[[#This Row],[Entry Price]]</f>
        <v>417.32999999999987</v>
      </c>
      <c r="Q284">
        <f>Tabla1[[#This Row],[Initial Risk $]]/Tabla1[[#This Row],[Position Size (shares)]]*3+Tabla1[[#This Row],[Entry Price]]</f>
        <v>419.69999999999982</v>
      </c>
    </row>
    <row r="285" spans="1:17" hidden="1" x14ac:dyDescent="0.25">
      <c r="A285" t="str">
        <f t="shared" si="64"/>
        <v>T-284</v>
      </c>
      <c r="B285" s="1">
        <v>46177</v>
      </c>
      <c r="C285" t="s">
        <v>197</v>
      </c>
      <c r="D285" t="s">
        <v>28</v>
      </c>
      <c r="E285" t="s">
        <v>60</v>
      </c>
      <c r="F285">
        <v>81.150000000000006</v>
      </c>
      <c r="G285">
        <v>79.760000000000005</v>
      </c>
      <c r="H285">
        <v>5</v>
      </c>
      <c r="I285">
        <f t="shared" si="65"/>
        <v>6.9500000000000028</v>
      </c>
      <c r="J285">
        <v>1</v>
      </c>
      <c r="K285">
        <f t="shared" si="66"/>
        <v>6.9500000000000028</v>
      </c>
      <c r="L285" t="s">
        <v>72</v>
      </c>
      <c r="M285">
        <f>SUMIF(Executions!B:B,A285,Executions!H:H)</f>
        <v>-7.1500000000000341</v>
      </c>
      <c r="N285">
        <f t="shared" si="57"/>
        <v>-1.0287769784172707</v>
      </c>
      <c r="O285">
        <f>Tabla1[[#This Row],[Initial Risk $]]/Tabla1[[#This Row],[Position Size (shares)]]+Tabla1[[#This Row],[Entry Price]]</f>
        <v>82.54</v>
      </c>
      <c r="P285">
        <f>Tabla1[[#This Row],[Initial Risk $]]/Tabla1[[#This Row],[Position Size (shares)]]*2+Tabla1[[#This Row],[Entry Price]]</f>
        <v>83.93</v>
      </c>
      <c r="Q285">
        <f>Tabla1[[#This Row],[Initial Risk $]]/Tabla1[[#This Row],[Position Size (shares)]]*3+Tabla1[[#This Row],[Entry Price]]</f>
        <v>85.320000000000007</v>
      </c>
    </row>
    <row r="286" spans="1:17" hidden="1" x14ac:dyDescent="0.25">
      <c r="A286" t="str">
        <f t="shared" ref="A286:A294" si="67">"T-"&amp; TEXT(ROW()-1,"000")</f>
        <v>T-285</v>
      </c>
      <c r="B286" s="1">
        <v>46178</v>
      </c>
      <c r="C286" t="s">
        <v>472</v>
      </c>
      <c r="D286" t="s">
        <v>28</v>
      </c>
      <c r="E286" t="s">
        <v>58</v>
      </c>
      <c r="F286">
        <v>401.84</v>
      </c>
      <c r="G286">
        <v>398.66</v>
      </c>
      <c r="H286">
        <v>2</v>
      </c>
      <c r="I286">
        <f t="shared" ref="I286:I294" si="68">IF(D286="Long",(F286-G286)*H286,(G286-F286)*0)</f>
        <v>6.3599999999999</v>
      </c>
      <c r="J286">
        <v>1</v>
      </c>
      <c r="K286">
        <f t="shared" ref="K286:K294" si="69">I286*J286</f>
        <v>6.3599999999999</v>
      </c>
      <c r="L286" t="s">
        <v>72</v>
      </c>
      <c r="M286">
        <f>SUMIF(Executions!B:B,A286,Executions!H:H)</f>
        <v>-6.4799999999999045</v>
      </c>
      <c r="N286">
        <f t="shared" si="57"/>
        <v>-1.018867924528303</v>
      </c>
      <c r="O286">
        <f>Tabla1[[#This Row],[Initial Risk $]]/Tabla1[[#This Row],[Position Size (shares)]]+Tabla1[[#This Row],[Entry Price]]</f>
        <v>405.01999999999992</v>
      </c>
      <c r="P286">
        <f>Tabla1[[#This Row],[Initial Risk $]]/Tabla1[[#This Row],[Position Size (shares)]]*2+Tabla1[[#This Row],[Entry Price]]</f>
        <v>408.19999999999987</v>
      </c>
      <c r="Q286">
        <f>Tabla1[[#This Row],[Initial Risk $]]/Tabla1[[#This Row],[Position Size (shares)]]*3+Tabla1[[#This Row],[Entry Price]]</f>
        <v>411.37999999999982</v>
      </c>
    </row>
    <row r="287" spans="1:17" hidden="1" x14ac:dyDescent="0.25">
      <c r="A287" t="str">
        <f t="shared" si="67"/>
        <v>T-286</v>
      </c>
      <c r="B287" s="1">
        <v>46178</v>
      </c>
      <c r="C287" t="s">
        <v>417</v>
      </c>
      <c r="D287" t="s">
        <v>28</v>
      </c>
      <c r="E287" t="s">
        <v>49</v>
      </c>
      <c r="F287">
        <v>592.85</v>
      </c>
      <c r="G287">
        <v>586.85</v>
      </c>
      <c r="H287">
        <v>2</v>
      </c>
      <c r="I287">
        <f t="shared" si="68"/>
        <v>12</v>
      </c>
      <c r="J287">
        <v>1</v>
      </c>
      <c r="K287">
        <f t="shared" si="69"/>
        <v>12</v>
      </c>
      <c r="L287" t="s">
        <v>72</v>
      </c>
      <c r="M287">
        <f>SUMIF(Executions!B:B,A287,Executions!H:H)</f>
        <v>-12.799999999999955</v>
      </c>
      <c r="N287">
        <f t="shared" si="57"/>
        <v>-1.0666666666666629</v>
      </c>
      <c r="O287">
        <f>Tabla1[[#This Row],[Initial Risk $]]/Tabla1[[#This Row],[Position Size (shares)]]+Tabla1[[#This Row],[Entry Price]]</f>
        <v>598.85</v>
      </c>
      <c r="P287">
        <f>Tabla1[[#This Row],[Initial Risk $]]/Tabla1[[#This Row],[Position Size (shares)]]*2+Tabla1[[#This Row],[Entry Price]]</f>
        <v>604.85</v>
      </c>
      <c r="Q287">
        <f>Tabla1[[#This Row],[Initial Risk $]]/Tabla1[[#This Row],[Position Size (shares)]]*3+Tabla1[[#This Row],[Entry Price]]</f>
        <v>610.85</v>
      </c>
    </row>
    <row r="288" spans="1:17" hidden="1" x14ac:dyDescent="0.25">
      <c r="A288" t="str">
        <f t="shared" si="67"/>
        <v>T-287</v>
      </c>
      <c r="B288" s="1">
        <v>46178</v>
      </c>
      <c r="C288" t="s">
        <v>474</v>
      </c>
      <c r="D288" t="s">
        <v>28</v>
      </c>
      <c r="E288" t="s">
        <v>58</v>
      </c>
      <c r="F288">
        <v>228.95</v>
      </c>
      <c r="G288">
        <v>227.47</v>
      </c>
      <c r="H288">
        <v>3</v>
      </c>
      <c r="I288">
        <f t="shared" si="68"/>
        <v>4.4399999999999693</v>
      </c>
      <c r="J288">
        <v>1</v>
      </c>
      <c r="K288">
        <f t="shared" si="69"/>
        <v>4.4399999999999693</v>
      </c>
      <c r="L288" t="s">
        <v>72</v>
      </c>
      <c r="M288">
        <f>SUMIF(Executions!B:B,A288,Executions!H:H)</f>
        <v>-5.8399999999999181</v>
      </c>
      <c r="N288">
        <f t="shared" si="57"/>
        <v>-1.3153153153153059</v>
      </c>
      <c r="O288">
        <f>Tabla1[[#This Row],[Initial Risk $]]/Tabla1[[#This Row],[Position Size (shares)]]+Tabla1[[#This Row],[Entry Price]]</f>
        <v>230.42999999999998</v>
      </c>
      <c r="P288">
        <f>Tabla1[[#This Row],[Initial Risk $]]/Tabla1[[#This Row],[Position Size (shares)]]*2+Tabla1[[#This Row],[Entry Price]]</f>
        <v>231.90999999999997</v>
      </c>
      <c r="Q288">
        <f>Tabla1[[#This Row],[Initial Risk $]]/Tabla1[[#This Row],[Position Size (shares)]]*3+Tabla1[[#This Row],[Entry Price]]</f>
        <v>233.38999999999996</v>
      </c>
    </row>
    <row r="289" spans="1:17" hidden="1" x14ac:dyDescent="0.25">
      <c r="A289" t="str">
        <f t="shared" si="67"/>
        <v>T-288</v>
      </c>
      <c r="B289" s="1">
        <v>46178</v>
      </c>
      <c r="C289" t="s">
        <v>95</v>
      </c>
      <c r="D289" t="s">
        <v>28</v>
      </c>
      <c r="E289" t="s">
        <v>58</v>
      </c>
      <c r="F289">
        <v>89.57</v>
      </c>
      <c r="G289">
        <v>88.57</v>
      </c>
      <c r="H289">
        <v>8</v>
      </c>
      <c r="I289">
        <f t="shared" si="68"/>
        <v>8</v>
      </c>
      <c r="J289">
        <v>1</v>
      </c>
      <c r="K289">
        <f t="shared" si="69"/>
        <v>8</v>
      </c>
      <c r="L289" t="s">
        <v>72</v>
      </c>
      <c r="M289">
        <f>SUMIF(Executions!B:B,A289,Executions!H:H)</f>
        <v>-8.1599999999999682</v>
      </c>
      <c r="N289">
        <f t="shared" si="57"/>
        <v>-1.019999999999996</v>
      </c>
      <c r="O289">
        <f>Tabla1[[#This Row],[Initial Risk $]]/Tabla1[[#This Row],[Position Size (shares)]]+Tabla1[[#This Row],[Entry Price]]</f>
        <v>90.57</v>
      </c>
      <c r="P289">
        <f>Tabla1[[#This Row],[Initial Risk $]]/Tabla1[[#This Row],[Position Size (shares)]]*2+Tabla1[[#This Row],[Entry Price]]</f>
        <v>91.57</v>
      </c>
      <c r="Q289">
        <f>Tabla1[[#This Row],[Initial Risk $]]/Tabla1[[#This Row],[Position Size (shares)]]*3+Tabla1[[#This Row],[Entry Price]]</f>
        <v>92.57</v>
      </c>
    </row>
    <row r="290" spans="1:17" hidden="1" x14ac:dyDescent="0.25">
      <c r="A290" t="str">
        <f t="shared" si="67"/>
        <v>T-289</v>
      </c>
      <c r="B290" s="1">
        <v>46178</v>
      </c>
      <c r="C290" t="s">
        <v>383</v>
      </c>
      <c r="D290" t="s">
        <v>28</v>
      </c>
      <c r="E290" t="s">
        <v>49</v>
      </c>
      <c r="F290">
        <v>697.14</v>
      </c>
      <c r="G290">
        <v>693.14</v>
      </c>
      <c r="H290">
        <v>2</v>
      </c>
      <c r="I290">
        <f t="shared" si="68"/>
        <v>8</v>
      </c>
      <c r="J290">
        <v>1</v>
      </c>
      <c r="K290">
        <f t="shared" si="69"/>
        <v>8</v>
      </c>
      <c r="L290" t="s">
        <v>72</v>
      </c>
      <c r="M290">
        <f>SUMIF(Executions!B:B,A290,Executions!H:H)</f>
        <v>-8.7200000000000273</v>
      </c>
      <c r="N290">
        <f t="shared" si="57"/>
        <v>-1.0900000000000034</v>
      </c>
      <c r="O290">
        <f>Tabla1[[#This Row],[Initial Risk $]]/Tabla1[[#This Row],[Position Size (shares)]]+Tabla1[[#This Row],[Entry Price]]</f>
        <v>701.14</v>
      </c>
      <c r="P290">
        <f>Tabla1[[#This Row],[Initial Risk $]]/Tabla1[[#This Row],[Position Size (shares)]]*2+Tabla1[[#This Row],[Entry Price]]</f>
        <v>705.14</v>
      </c>
      <c r="Q290">
        <f>Tabla1[[#This Row],[Initial Risk $]]/Tabla1[[#This Row],[Position Size (shares)]]*3+Tabla1[[#This Row],[Entry Price]]</f>
        <v>709.14</v>
      </c>
    </row>
    <row r="291" spans="1:17" hidden="1" x14ac:dyDescent="0.25">
      <c r="A291" t="str">
        <f t="shared" si="67"/>
        <v>T-290</v>
      </c>
      <c r="B291" s="1">
        <v>46178</v>
      </c>
      <c r="C291" t="s">
        <v>164</v>
      </c>
      <c r="D291" t="s">
        <v>28</v>
      </c>
      <c r="E291" t="s">
        <v>119</v>
      </c>
      <c r="F291">
        <v>213.46</v>
      </c>
      <c r="G291">
        <v>212.46</v>
      </c>
      <c r="H291">
        <v>4</v>
      </c>
      <c r="I291">
        <f t="shared" si="68"/>
        <v>4</v>
      </c>
      <c r="J291">
        <v>1</v>
      </c>
      <c r="K291">
        <f t="shared" si="69"/>
        <v>4</v>
      </c>
      <c r="L291" t="s">
        <v>72</v>
      </c>
      <c r="M291">
        <f>SUMIF(Executions!B:B,A291,Executions!H:H)</f>
        <v>-4</v>
      </c>
      <c r="N291">
        <f t="shared" si="57"/>
        <v>-1</v>
      </c>
      <c r="O291">
        <f>Tabla1[[#This Row],[Initial Risk $]]/Tabla1[[#This Row],[Position Size (shares)]]+Tabla1[[#This Row],[Entry Price]]</f>
        <v>214.46</v>
      </c>
      <c r="P291">
        <f>Tabla1[[#This Row],[Initial Risk $]]/Tabla1[[#This Row],[Position Size (shares)]]*2+Tabla1[[#This Row],[Entry Price]]</f>
        <v>215.46</v>
      </c>
      <c r="Q291">
        <f>Tabla1[[#This Row],[Initial Risk $]]/Tabla1[[#This Row],[Position Size (shares)]]*3+Tabla1[[#This Row],[Entry Price]]</f>
        <v>216.46</v>
      </c>
    </row>
    <row r="292" spans="1:17" hidden="1" x14ac:dyDescent="0.25">
      <c r="A292" t="str">
        <f t="shared" si="67"/>
        <v>T-291</v>
      </c>
      <c r="B292" s="1">
        <v>46178</v>
      </c>
      <c r="C292" t="s">
        <v>383</v>
      </c>
      <c r="D292" t="s">
        <v>28</v>
      </c>
      <c r="E292" t="s">
        <v>119</v>
      </c>
      <c r="F292">
        <v>692.39</v>
      </c>
      <c r="G292">
        <v>686.39</v>
      </c>
      <c r="H292">
        <v>1</v>
      </c>
      <c r="I292">
        <f t="shared" si="68"/>
        <v>6</v>
      </c>
      <c r="J292">
        <v>1</v>
      </c>
      <c r="K292">
        <f t="shared" si="69"/>
        <v>6</v>
      </c>
      <c r="L292" t="s">
        <v>72</v>
      </c>
      <c r="M292">
        <f>SUMIF(Executions!B:B,A292,Executions!H:H)</f>
        <v>-5.6399999999999864</v>
      </c>
      <c r="N292">
        <f t="shared" si="57"/>
        <v>-0.93999999999999773</v>
      </c>
      <c r="O292">
        <f>Tabla1[[#This Row],[Initial Risk $]]/Tabla1[[#This Row],[Position Size (shares)]]+Tabla1[[#This Row],[Entry Price]]</f>
        <v>698.39</v>
      </c>
      <c r="P292">
        <f>Tabla1[[#This Row],[Initial Risk $]]/Tabla1[[#This Row],[Position Size (shares)]]*2+Tabla1[[#This Row],[Entry Price]]</f>
        <v>704.39</v>
      </c>
      <c r="Q292">
        <f>Tabla1[[#This Row],[Initial Risk $]]/Tabla1[[#This Row],[Position Size (shares)]]*3+Tabla1[[#This Row],[Entry Price]]</f>
        <v>710.39</v>
      </c>
    </row>
    <row r="293" spans="1:17" hidden="1" x14ac:dyDescent="0.25">
      <c r="A293" t="str">
        <f t="shared" si="67"/>
        <v>T-292</v>
      </c>
      <c r="B293" s="1">
        <v>46178</v>
      </c>
      <c r="C293" t="s">
        <v>145</v>
      </c>
      <c r="D293" t="s">
        <v>28</v>
      </c>
      <c r="E293" t="s">
        <v>119</v>
      </c>
      <c r="F293">
        <v>119.82</v>
      </c>
      <c r="G293">
        <v>116.82</v>
      </c>
      <c r="H293">
        <v>2</v>
      </c>
      <c r="I293">
        <f t="shared" si="68"/>
        <v>6</v>
      </c>
      <c r="J293">
        <v>1</v>
      </c>
      <c r="K293">
        <f t="shared" si="69"/>
        <v>6</v>
      </c>
      <c r="L293" t="s">
        <v>72</v>
      </c>
      <c r="M293">
        <f>SUMIF(Executions!B:B,A293,Executions!H:H)</f>
        <v>-5.9799999999999898</v>
      </c>
      <c r="N293">
        <f t="shared" si="57"/>
        <v>-0.99666666666666492</v>
      </c>
      <c r="O293">
        <f>Tabla1[[#This Row],[Initial Risk $]]/Tabla1[[#This Row],[Position Size (shares)]]+Tabla1[[#This Row],[Entry Price]]</f>
        <v>122.82</v>
      </c>
      <c r="P293">
        <f>Tabla1[[#This Row],[Initial Risk $]]/Tabla1[[#This Row],[Position Size (shares)]]*2+Tabla1[[#This Row],[Entry Price]]</f>
        <v>125.82</v>
      </c>
      <c r="Q293">
        <f>Tabla1[[#This Row],[Initial Risk $]]/Tabla1[[#This Row],[Position Size (shares)]]*3+Tabla1[[#This Row],[Entry Price]]</f>
        <v>128.82</v>
      </c>
    </row>
    <row r="294" spans="1:17" hidden="1" x14ac:dyDescent="0.25">
      <c r="A294" t="str">
        <f t="shared" si="67"/>
        <v>T-293</v>
      </c>
      <c r="B294" s="1">
        <v>46178</v>
      </c>
      <c r="C294" t="s">
        <v>480</v>
      </c>
      <c r="D294" t="s">
        <v>28</v>
      </c>
      <c r="E294" t="s">
        <v>58</v>
      </c>
      <c r="F294">
        <v>27.67</v>
      </c>
      <c r="G294">
        <v>26.67</v>
      </c>
      <c r="H294">
        <v>3</v>
      </c>
      <c r="I294">
        <f t="shared" si="68"/>
        <v>3</v>
      </c>
      <c r="J294">
        <v>1</v>
      </c>
      <c r="K294">
        <f t="shared" si="69"/>
        <v>3</v>
      </c>
      <c r="L294" t="s">
        <v>72</v>
      </c>
      <c r="M294">
        <f>SUMIF(Executions!B:B,A294,Executions!H:H)</f>
        <v>4.3799999999999919</v>
      </c>
      <c r="N294">
        <f t="shared" si="57"/>
        <v>1.4599999999999973</v>
      </c>
      <c r="O294">
        <f>Tabla1[[#This Row],[Initial Risk $]]/Tabla1[[#This Row],[Position Size (shares)]]+Tabla1[[#This Row],[Entry Price]]</f>
        <v>28.67</v>
      </c>
      <c r="P294">
        <f>Tabla1[[#This Row],[Initial Risk $]]/Tabla1[[#This Row],[Position Size (shares)]]*2+Tabla1[[#This Row],[Entry Price]]</f>
        <v>29.67</v>
      </c>
      <c r="Q294">
        <f>Tabla1[[#This Row],[Initial Risk $]]/Tabla1[[#This Row],[Position Size (shares)]]*3+Tabla1[[#This Row],[Entry Price]]</f>
        <v>30.67</v>
      </c>
    </row>
    <row r="295" spans="1:17" hidden="1" x14ac:dyDescent="0.25">
      <c r="A295" t="str">
        <f t="shared" ref="A295:A302" si="70">"T-"&amp; TEXT(ROW()-1,"000")</f>
        <v>T-294</v>
      </c>
      <c r="B295" s="1">
        <v>46181</v>
      </c>
      <c r="C295" t="s">
        <v>161</v>
      </c>
      <c r="D295" t="s">
        <v>28</v>
      </c>
      <c r="E295" t="s">
        <v>58</v>
      </c>
      <c r="F295">
        <v>110.23</v>
      </c>
      <c r="G295">
        <v>109.23</v>
      </c>
      <c r="H295">
        <v>8</v>
      </c>
      <c r="I295">
        <f t="shared" ref="I295:I302" si="71">IF(D295="Long",(F295-G295)*H295,(G295-F295)*0)</f>
        <v>8</v>
      </c>
      <c r="J295">
        <v>1</v>
      </c>
      <c r="K295">
        <f t="shared" ref="K295:K302" si="72">I295*J295</f>
        <v>8</v>
      </c>
      <c r="L295" t="s">
        <v>72</v>
      </c>
      <c r="M295">
        <f>SUMIF(Executions!B:B,A295,Executions!H:H)</f>
        <v>-2.8799999999999955</v>
      </c>
      <c r="N295">
        <f t="shared" si="57"/>
        <v>-0.35999999999999943</v>
      </c>
      <c r="O295">
        <f>Tabla1[[#This Row],[Initial Risk $]]/Tabla1[[#This Row],[Position Size (shares)]]+Tabla1[[#This Row],[Entry Price]]</f>
        <v>111.23</v>
      </c>
      <c r="P295">
        <f>Tabla1[[#This Row],[Initial Risk $]]/Tabla1[[#This Row],[Position Size (shares)]]*2+Tabla1[[#This Row],[Entry Price]]</f>
        <v>112.23</v>
      </c>
      <c r="Q295">
        <f>Tabla1[[#This Row],[Initial Risk $]]/Tabla1[[#This Row],[Position Size (shares)]]*3+Tabla1[[#This Row],[Entry Price]]</f>
        <v>113.23</v>
      </c>
    </row>
    <row r="296" spans="1:17" hidden="1" x14ac:dyDescent="0.25">
      <c r="A296" t="str">
        <f t="shared" si="70"/>
        <v>T-295</v>
      </c>
      <c r="B296" s="1">
        <v>46181</v>
      </c>
      <c r="C296" t="s">
        <v>417</v>
      </c>
      <c r="D296" t="s">
        <v>28</v>
      </c>
      <c r="E296" t="s">
        <v>119</v>
      </c>
      <c r="F296">
        <v>567.03</v>
      </c>
      <c r="G296">
        <v>561.03</v>
      </c>
      <c r="H296">
        <v>2</v>
      </c>
      <c r="I296">
        <f t="shared" si="71"/>
        <v>12</v>
      </c>
      <c r="J296">
        <v>1</v>
      </c>
      <c r="K296">
        <f t="shared" si="72"/>
        <v>12</v>
      </c>
      <c r="L296" t="s">
        <v>72</v>
      </c>
      <c r="M296">
        <f>SUMIF(Executions!B:B,A296,Executions!H:H)</f>
        <v>-10.319999999999936</v>
      </c>
      <c r="N296">
        <f t="shared" si="57"/>
        <v>-0.85999999999999466</v>
      </c>
      <c r="O296">
        <f>Tabla1[[#This Row],[Initial Risk $]]/Tabla1[[#This Row],[Position Size (shares)]]+Tabla1[[#This Row],[Entry Price]]</f>
        <v>573.03</v>
      </c>
      <c r="P296">
        <f>Tabla1[[#This Row],[Initial Risk $]]/Tabla1[[#This Row],[Position Size (shares)]]*2+Tabla1[[#This Row],[Entry Price]]</f>
        <v>579.03</v>
      </c>
      <c r="Q296">
        <f>Tabla1[[#This Row],[Initial Risk $]]/Tabla1[[#This Row],[Position Size (shares)]]*3+Tabla1[[#This Row],[Entry Price]]</f>
        <v>585.03</v>
      </c>
    </row>
    <row r="297" spans="1:17" hidden="1" x14ac:dyDescent="0.25">
      <c r="A297" t="str">
        <f t="shared" si="70"/>
        <v>T-296</v>
      </c>
      <c r="B297" s="1">
        <v>46181</v>
      </c>
      <c r="C297" t="s">
        <v>417</v>
      </c>
      <c r="D297" t="s">
        <v>28</v>
      </c>
      <c r="E297" t="s">
        <v>119</v>
      </c>
      <c r="F297">
        <v>563.76</v>
      </c>
      <c r="G297">
        <v>561.26</v>
      </c>
      <c r="H297">
        <v>2</v>
      </c>
      <c r="I297">
        <f t="shared" si="71"/>
        <v>5</v>
      </c>
      <c r="J297">
        <v>1</v>
      </c>
      <c r="K297">
        <f t="shared" si="72"/>
        <v>5</v>
      </c>
      <c r="L297" t="s">
        <v>72</v>
      </c>
      <c r="M297">
        <f>SUMIF(Executions!B:B,A297,Executions!H:H)</f>
        <v>3.2799999999999727</v>
      </c>
      <c r="N297">
        <f t="shared" si="57"/>
        <v>0.65599999999999459</v>
      </c>
      <c r="O297">
        <f>Tabla1[[#This Row],[Initial Risk $]]/Tabla1[[#This Row],[Position Size (shares)]]+Tabla1[[#This Row],[Entry Price]]</f>
        <v>566.26</v>
      </c>
      <c r="P297">
        <f>Tabla1[[#This Row],[Initial Risk $]]/Tabla1[[#This Row],[Position Size (shares)]]*2+Tabla1[[#This Row],[Entry Price]]</f>
        <v>568.76</v>
      </c>
      <c r="Q297">
        <f>Tabla1[[#This Row],[Initial Risk $]]/Tabla1[[#This Row],[Position Size (shares)]]*3+Tabla1[[#This Row],[Entry Price]]</f>
        <v>571.26</v>
      </c>
    </row>
    <row r="298" spans="1:17" hidden="1" x14ac:dyDescent="0.25">
      <c r="A298" t="str">
        <f t="shared" si="70"/>
        <v>T-297</v>
      </c>
      <c r="B298" s="1">
        <v>46181</v>
      </c>
      <c r="C298" t="s">
        <v>164</v>
      </c>
      <c r="D298" t="s">
        <v>28</v>
      </c>
      <c r="E298" t="s">
        <v>58</v>
      </c>
      <c r="F298">
        <v>209.3</v>
      </c>
      <c r="G298">
        <v>208.01</v>
      </c>
      <c r="H298">
        <v>4</v>
      </c>
      <c r="I298">
        <f t="shared" si="71"/>
        <v>5.1600000000000819</v>
      </c>
      <c r="J298">
        <v>1</v>
      </c>
      <c r="K298">
        <f t="shared" si="72"/>
        <v>5.1600000000000819</v>
      </c>
      <c r="L298" t="s">
        <v>72</v>
      </c>
      <c r="M298">
        <f>SUMIF(Executions!B:B,A298,Executions!H:H)</f>
        <v>-5.0800000000000409</v>
      </c>
      <c r="N298">
        <f t="shared" si="57"/>
        <v>-0.98449612403100006</v>
      </c>
      <c r="O298">
        <f>Tabla1[[#This Row],[Initial Risk $]]/Tabla1[[#This Row],[Position Size (shares)]]+Tabla1[[#This Row],[Entry Price]]</f>
        <v>210.59000000000003</v>
      </c>
      <c r="P298">
        <f>Tabla1[[#This Row],[Initial Risk $]]/Tabla1[[#This Row],[Position Size (shares)]]*2+Tabla1[[#This Row],[Entry Price]]</f>
        <v>211.88000000000005</v>
      </c>
      <c r="Q298">
        <f>Tabla1[[#This Row],[Initial Risk $]]/Tabla1[[#This Row],[Position Size (shares)]]*3+Tabla1[[#This Row],[Entry Price]]</f>
        <v>213.17000000000007</v>
      </c>
    </row>
    <row r="299" spans="1:17" hidden="1" x14ac:dyDescent="0.25">
      <c r="A299" t="str">
        <f t="shared" si="70"/>
        <v>T-298</v>
      </c>
      <c r="B299" s="1">
        <v>46181</v>
      </c>
      <c r="C299" t="s">
        <v>161</v>
      </c>
      <c r="D299" t="s">
        <v>28</v>
      </c>
      <c r="E299" t="s">
        <v>119</v>
      </c>
      <c r="F299">
        <v>108.66</v>
      </c>
      <c r="G299">
        <v>107.36</v>
      </c>
      <c r="H299">
        <v>8</v>
      </c>
      <c r="I299">
        <f t="shared" si="71"/>
        <v>10.399999999999977</v>
      </c>
      <c r="J299">
        <v>1</v>
      </c>
      <c r="K299">
        <f t="shared" si="72"/>
        <v>10.399999999999977</v>
      </c>
      <c r="L299" t="s">
        <v>72</v>
      </c>
      <c r="M299">
        <f>SUMIF(Executions!B:B,A299,Executions!H:H)</f>
        <v>-10.399999999999977</v>
      </c>
      <c r="N299">
        <f t="shared" si="57"/>
        <v>-1</v>
      </c>
      <c r="O299">
        <f>Tabla1[[#This Row],[Initial Risk $]]/Tabla1[[#This Row],[Position Size (shares)]]+Tabla1[[#This Row],[Entry Price]]</f>
        <v>109.96</v>
      </c>
      <c r="P299">
        <f>Tabla1[[#This Row],[Initial Risk $]]/Tabla1[[#This Row],[Position Size (shares)]]*2+Tabla1[[#This Row],[Entry Price]]</f>
        <v>111.25999999999999</v>
      </c>
      <c r="Q299">
        <f>Tabla1[[#This Row],[Initial Risk $]]/Tabla1[[#This Row],[Position Size (shares)]]*3+Tabla1[[#This Row],[Entry Price]]</f>
        <v>112.55999999999999</v>
      </c>
    </row>
    <row r="300" spans="1:17" hidden="1" x14ac:dyDescent="0.25">
      <c r="A300" t="str">
        <f t="shared" si="70"/>
        <v>T-299</v>
      </c>
      <c r="B300" s="1">
        <v>46181</v>
      </c>
      <c r="C300" t="s">
        <v>486</v>
      </c>
      <c r="D300" t="s">
        <v>28</v>
      </c>
      <c r="E300" t="s">
        <v>58</v>
      </c>
      <c r="F300">
        <v>402.33</v>
      </c>
      <c r="G300">
        <v>399.19</v>
      </c>
      <c r="H300">
        <v>3</v>
      </c>
      <c r="I300">
        <f t="shared" si="71"/>
        <v>9.4199999999999591</v>
      </c>
      <c r="J300">
        <v>1</v>
      </c>
      <c r="K300">
        <f t="shared" si="72"/>
        <v>9.4199999999999591</v>
      </c>
      <c r="L300" t="s">
        <v>72</v>
      </c>
      <c r="M300">
        <f>SUMIF(Executions!B:B,A300,Executions!H:H)</f>
        <v>-6.5400000000000205</v>
      </c>
      <c r="N300">
        <f t="shared" si="57"/>
        <v>-0.69426751592357205</v>
      </c>
      <c r="O300">
        <f>Tabla1[[#This Row],[Initial Risk $]]/Tabla1[[#This Row],[Position Size (shares)]]+Tabla1[[#This Row],[Entry Price]]</f>
        <v>405.46999999999997</v>
      </c>
      <c r="P300">
        <f>Tabla1[[#This Row],[Initial Risk $]]/Tabla1[[#This Row],[Position Size (shares)]]*2+Tabla1[[#This Row],[Entry Price]]</f>
        <v>408.60999999999996</v>
      </c>
      <c r="Q300">
        <f>Tabla1[[#This Row],[Initial Risk $]]/Tabla1[[#This Row],[Position Size (shares)]]*3+Tabla1[[#This Row],[Entry Price]]</f>
        <v>411.74999999999994</v>
      </c>
    </row>
    <row r="301" spans="1:17" hidden="1" x14ac:dyDescent="0.25">
      <c r="A301" t="str">
        <f t="shared" si="70"/>
        <v>T-300</v>
      </c>
      <c r="B301" s="1">
        <v>46181</v>
      </c>
      <c r="C301" t="s">
        <v>193</v>
      </c>
      <c r="D301" t="s">
        <v>28</v>
      </c>
      <c r="E301" t="s">
        <v>58</v>
      </c>
      <c r="F301">
        <v>289.67</v>
      </c>
      <c r="G301">
        <v>286.17</v>
      </c>
      <c r="H301">
        <v>3</v>
      </c>
      <c r="I301">
        <f t="shared" si="71"/>
        <v>10.5</v>
      </c>
      <c r="J301">
        <v>1</v>
      </c>
      <c r="K301">
        <f t="shared" si="72"/>
        <v>10.5</v>
      </c>
      <c r="L301" t="s">
        <v>72</v>
      </c>
      <c r="M301">
        <f>SUMIF(Executions!B:B,A301,Executions!H:H)</f>
        <v>12.269999999999925</v>
      </c>
      <c r="N301">
        <f t="shared" si="57"/>
        <v>1.1685714285714215</v>
      </c>
      <c r="O301">
        <f>Tabla1[[#This Row],[Initial Risk $]]/Tabla1[[#This Row],[Position Size (shares)]]+Tabla1[[#This Row],[Entry Price]]</f>
        <v>293.17</v>
      </c>
      <c r="P301">
        <f>Tabla1[[#This Row],[Initial Risk $]]/Tabla1[[#This Row],[Position Size (shares)]]*2+Tabla1[[#This Row],[Entry Price]]</f>
        <v>296.67</v>
      </c>
      <c r="Q301">
        <f>Tabla1[[#This Row],[Initial Risk $]]/Tabla1[[#This Row],[Position Size (shares)]]*3+Tabla1[[#This Row],[Entry Price]]</f>
        <v>300.17</v>
      </c>
    </row>
    <row r="302" spans="1:17" hidden="1" x14ac:dyDescent="0.25">
      <c r="A302" t="str">
        <f t="shared" si="70"/>
        <v>T-301</v>
      </c>
      <c r="B302" s="1">
        <v>46181</v>
      </c>
      <c r="C302" t="s">
        <v>491</v>
      </c>
      <c r="D302" t="s">
        <v>28</v>
      </c>
      <c r="E302" t="s">
        <v>58</v>
      </c>
      <c r="F302">
        <v>4.03</v>
      </c>
      <c r="G302">
        <v>3.93</v>
      </c>
      <c r="H302">
        <v>50</v>
      </c>
      <c r="I302">
        <f t="shared" si="71"/>
        <v>5.0000000000000044</v>
      </c>
      <c r="J302">
        <v>1</v>
      </c>
      <c r="K302">
        <f t="shared" si="72"/>
        <v>5.0000000000000044</v>
      </c>
      <c r="L302" t="s">
        <v>72</v>
      </c>
      <c r="M302">
        <f>SUMIF(Executions!B:B,A302,Executions!H:H)</f>
        <v>-5.0000000000000044</v>
      </c>
      <c r="N302">
        <f t="shared" si="57"/>
        <v>-1</v>
      </c>
      <c r="O302">
        <f>Tabla1[[#This Row],[Initial Risk $]]/Tabla1[[#This Row],[Position Size (shares)]]+Tabla1[[#This Row],[Entry Price]]</f>
        <v>4.1300000000000008</v>
      </c>
      <c r="P302">
        <f>Tabla1[[#This Row],[Initial Risk $]]/Tabla1[[#This Row],[Position Size (shares)]]*2+Tabla1[[#This Row],[Entry Price]]</f>
        <v>4.2300000000000004</v>
      </c>
      <c r="Q302">
        <f>Tabla1[[#This Row],[Initial Risk $]]/Tabla1[[#This Row],[Position Size (shares)]]*3+Tabla1[[#This Row],[Entry Price]]</f>
        <v>4.33</v>
      </c>
    </row>
    <row r="303" spans="1:17" hidden="1" x14ac:dyDescent="0.25">
      <c r="A303" t="str">
        <f t="shared" ref="A303:A310" si="73">"T-"&amp; TEXT(ROW()-1,"000")</f>
        <v>T-302</v>
      </c>
      <c r="B303" s="1">
        <v>46182</v>
      </c>
      <c r="C303" t="s">
        <v>193</v>
      </c>
      <c r="D303" t="s">
        <v>28</v>
      </c>
      <c r="E303" t="s">
        <v>58</v>
      </c>
      <c r="F303">
        <v>286.91000000000003</v>
      </c>
      <c r="G303">
        <v>280.91000000000003</v>
      </c>
      <c r="H303">
        <v>5</v>
      </c>
      <c r="I303">
        <f t="shared" ref="I303:I310" si="74">IF(D303="Long",(F303-G303)*H303,(G303-F303)*0)</f>
        <v>30</v>
      </c>
      <c r="J303">
        <v>1</v>
      </c>
      <c r="K303">
        <f t="shared" ref="K303:K310" si="75">I303*J303</f>
        <v>30</v>
      </c>
      <c r="L303" t="s">
        <v>72</v>
      </c>
      <c r="M303">
        <f>SUMIF(Executions!B:B,A303,Executions!H:H)</f>
        <v>-155.00000000000014</v>
      </c>
      <c r="N303">
        <f t="shared" si="57"/>
        <v>-5.1666666666666714</v>
      </c>
      <c r="O303">
        <f>Tabla1[[#This Row],[Initial Risk $]]/Tabla1[[#This Row],[Position Size (shares)]]+Tabla1[[#This Row],[Entry Price]]</f>
        <v>292.91000000000003</v>
      </c>
      <c r="P303">
        <f>Tabla1[[#This Row],[Initial Risk $]]/Tabla1[[#This Row],[Position Size (shares)]]*2+Tabla1[[#This Row],[Entry Price]]</f>
        <v>298.91000000000003</v>
      </c>
      <c r="Q303">
        <f>Tabla1[[#This Row],[Initial Risk $]]/Tabla1[[#This Row],[Position Size (shares)]]*3+Tabla1[[#This Row],[Entry Price]]</f>
        <v>304.91000000000003</v>
      </c>
    </row>
    <row r="304" spans="1:17" hidden="1" x14ac:dyDescent="0.25">
      <c r="A304" t="str">
        <f t="shared" si="73"/>
        <v>T-303</v>
      </c>
      <c r="B304" s="1">
        <v>46182</v>
      </c>
      <c r="C304" t="s">
        <v>494</v>
      </c>
      <c r="D304" t="s">
        <v>28</v>
      </c>
      <c r="E304" t="s">
        <v>119</v>
      </c>
      <c r="F304">
        <v>593.70000000000005</v>
      </c>
      <c r="G304">
        <v>590.70000000000005</v>
      </c>
      <c r="H304">
        <v>2</v>
      </c>
      <c r="I304">
        <f t="shared" si="74"/>
        <v>6</v>
      </c>
      <c r="J304">
        <v>1</v>
      </c>
      <c r="K304">
        <f t="shared" si="75"/>
        <v>6</v>
      </c>
      <c r="L304" t="s">
        <v>72</v>
      </c>
      <c r="M304">
        <f>SUMIF(Executions!B:B,A304,Executions!H:H)</f>
        <v>-6.1400000000001</v>
      </c>
      <c r="N304">
        <f t="shared" si="57"/>
        <v>-1.0233333333333501</v>
      </c>
      <c r="O304">
        <f>Tabla1[[#This Row],[Initial Risk $]]/Tabla1[[#This Row],[Position Size (shares)]]+Tabla1[[#This Row],[Entry Price]]</f>
        <v>596.70000000000005</v>
      </c>
      <c r="P304">
        <f>Tabla1[[#This Row],[Initial Risk $]]/Tabla1[[#This Row],[Position Size (shares)]]*2+Tabla1[[#This Row],[Entry Price]]</f>
        <v>599.70000000000005</v>
      </c>
      <c r="Q304">
        <f>Tabla1[[#This Row],[Initial Risk $]]/Tabla1[[#This Row],[Position Size (shares)]]*3+Tabla1[[#This Row],[Entry Price]]</f>
        <v>602.70000000000005</v>
      </c>
    </row>
    <row r="305" spans="1:17" hidden="1" x14ac:dyDescent="0.25">
      <c r="A305" t="str">
        <f t="shared" si="73"/>
        <v>T-304</v>
      </c>
      <c r="B305" s="1">
        <v>46182</v>
      </c>
      <c r="C305" t="s">
        <v>495</v>
      </c>
      <c r="D305" t="s">
        <v>28</v>
      </c>
      <c r="E305" t="s">
        <v>58</v>
      </c>
      <c r="F305">
        <v>359.74</v>
      </c>
      <c r="G305">
        <v>356.74</v>
      </c>
      <c r="H305">
        <v>3</v>
      </c>
      <c r="I305">
        <f t="shared" si="74"/>
        <v>9</v>
      </c>
      <c r="J305">
        <v>1</v>
      </c>
      <c r="K305">
        <f t="shared" si="75"/>
        <v>9</v>
      </c>
      <c r="L305" t="s">
        <v>72</v>
      </c>
      <c r="M305">
        <f>SUMIF(Executions!B:B,A305,Executions!H:H)</f>
        <v>-10.020000000000095</v>
      </c>
      <c r="N305">
        <f t="shared" si="57"/>
        <v>-1.1133333333333439</v>
      </c>
      <c r="O305">
        <f>Tabla1[[#This Row],[Initial Risk $]]/Tabla1[[#This Row],[Position Size (shares)]]+Tabla1[[#This Row],[Entry Price]]</f>
        <v>362.74</v>
      </c>
      <c r="P305">
        <f>Tabla1[[#This Row],[Initial Risk $]]/Tabla1[[#This Row],[Position Size (shares)]]*2+Tabla1[[#This Row],[Entry Price]]</f>
        <v>365.74</v>
      </c>
      <c r="Q305">
        <f>Tabla1[[#This Row],[Initial Risk $]]/Tabla1[[#This Row],[Position Size (shares)]]*3+Tabla1[[#This Row],[Entry Price]]</f>
        <v>368.74</v>
      </c>
    </row>
    <row r="306" spans="1:17" hidden="1" x14ac:dyDescent="0.25">
      <c r="A306" t="str">
        <f t="shared" si="73"/>
        <v>T-305</v>
      </c>
      <c r="B306" s="1">
        <v>46182</v>
      </c>
      <c r="C306" t="s">
        <v>279</v>
      </c>
      <c r="D306" t="s">
        <v>28</v>
      </c>
      <c r="E306" t="s">
        <v>58</v>
      </c>
      <c r="F306">
        <v>979.66</v>
      </c>
      <c r="G306">
        <v>967.66</v>
      </c>
      <c r="H306">
        <v>1</v>
      </c>
      <c r="I306">
        <f t="shared" si="74"/>
        <v>12</v>
      </c>
      <c r="J306">
        <v>1</v>
      </c>
      <c r="K306">
        <f t="shared" si="75"/>
        <v>12</v>
      </c>
      <c r="L306" t="s">
        <v>72</v>
      </c>
      <c r="M306">
        <f>SUMIF(Executions!B:B,A306,Executions!H:H)</f>
        <v>-11.75</v>
      </c>
      <c r="N306">
        <f t="shared" si="57"/>
        <v>-0.97916666666666663</v>
      </c>
      <c r="O306">
        <f>Tabla1[[#This Row],[Initial Risk $]]/Tabla1[[#This Row],[Position Size (shares)]]+Tabla1[[#This Row],[Entry Price]]</f>
        <v>991.66</v>
      </c>
      <c r="P306">
        <f>Tabla1[[#This Row],[Initial Risk $]]/Tabla1[[#This Row],[Position Size (shares)]]*2+Tabla1[[#This Row],[Entry Price]]</f>
        <v>1003.66</v>
      </c>
      <c r="Q306">
        <f>Tabla1[[#This Row],[Initial Risk $]]/Tabla1[[#This Row],[Position Size (shares)]]*3+Tabla1[[#This Row],[Entry Price]]</f>
        <v>1015.66</v>
      </c>
    </row>
    <row r="307" spans="1:17" hidden="1" x14ac:dyDescent="0.25">
      <c r="A307" t="str">
        <f t="shared" si="73"/>
        <v>T-306</v>
      </c>
      <c r="B307" s="1">
        <v>46182</v>
      </c>
      <c r="C307" t="s">
        <v>164</v>
      </c>
      <c r="D307" t="s">
        <v>28</v>
      </c>
      <c r="E307" t="s">
        <v>58</v>
      </c>
      <c r="F307">
        <v>210.41</v>
      </c>
      <c r="G307">
        <v>209.41</v>
      </c>
      <c r="H307">
        <v>4</v>
      </c>
      <c r="I307">
        <f t="shared" si="74"/>
        <v>4</v>
      </c>
      <c r="J307">
        <v>1</v>
      </c>
      <c r="K307">
        <f t="shared" si="75"/>
        <v>4</v>
      </c>
      <c r="L307" t="s">
        <v>72</v>
      </c>
      <c r="M307">
        <f>SUMIF(Executions!B:B,A307,Executions!H:H)</f>
        <v>-4.1200000000000045</v>
      </c>
      <c r="N307">
        <f t="shared" si="57"/>
        <v>-1.0300000000000011</v>
      </c>
      <c r="O307">
        <f>Tabla1[[#This Row],[Initial Risk $]]/Tabla1[[#This Row],[Position Size (shares)]]+Tabla1[[#This Row],[Entry Price]]</f>
        <v>211.41</v>
      </c>
      <c r="P307">
        <f>Tabla1[[#This Row],[Initial Risk $]]/Tabla1[[#This Row],[Position Size (shares)]]*2+Tabla1[[#This Row],[Entry Price]]</f>
        <v>212.41</v>
      </c>
      <c r="Q307">
        <f>Tabla1[[#This Row],[Initial Risk $]]/Tabla1[[#This Row],[Position Size (shares)]]*3+Tabla1[[#This Row],[Entry Price]]</f>
        <v>213.41</v>
      </c>
    </row>
    <row r="308" spans="1:17" hidden="1" x14ac:dyDescent="0.25">
      <c r="A308" t="str">
        <f t="shared" si="73"/>
        <v>T-307</v>
      </c>
      <c r="B308" s="1">
        <v>46182</v>
      </c>
      <c r="C308" t="s">
        <v>186</v>
      </c>
      <c r="D308" t="s">
        <v>28</v>
      </c>
      <c r="E308" t="s">
        <v>58</v>
      </c>
      <c r="F308">
        <v>248.91</v>
      </c>
      <c r="G308">
        <v>247.91</v>
      </c>
      <c r="H308">
        <v>4</v>
      </c>
      <c r="I308">
        <f t="shared" si="74"/>
        <v>4</v>
      </c>
      <c r="J308">
        <v>1</v>
      </c>
      <c r="K308">
        <f t="shared" si="75"/>
        <v>4</v>
      </c>
      <c r="L308" t="s">
        <v>72</v>
      </c>
      <c r="M308">
        <f>SUMIF(Executions!B:B,A308,Executions!H:H)</f>
        <v>-3.7999999999999545</v>
      </c>
      <c r="N308">
        <f t="shared" si="57"/>
        <v>-0.94999999999998863</v>
      </c>
      <c r="O308">
        <f>Tabla1[[#This Row],[Initial Risk $]]/Tabla1[[#This Row],[Position Size (shares)]]+Tabla1[[#This Row],[Entry Price]]</f>
        <v>249.91</v>
      </c>
      <c r="P308">
        <f>Tabla1[[#This Row],[Initial Risk $]]/Tabla1[[#This Row],[Position Size (shares)]]*2+Tabla1[[#This Row],[Entry Price]]</f>
        <v>250.91</v>
      </c>
      <c r="Q308">
        <f>Tabla1[[#This Row],[Initial Risk $]]/Tabla1[[#This Row],[Position Size (shares)]]*3+Tabla1[[#This Row],[Entry Price]]</f>
        <v>251.91</v>
      </c>
    </row>
    <row r="309" spans="1:17" hidden="1" x14ac:dyDescent="0.25">
      <c r="A309" t="str">
        <f t="shared" si="73"/>
        <v>T-308</v>
      </c>
      <c r="B309" s="1">
        <v>46182</v>
      </c>
      <c r="C309" t="s">
        <v>161</v>
      </c>
      <c r="D309" t="s">
        <v>28</v>
      </c>
      <c r="E309" t="s">
        <v>119</v>
      </c>
      <c r="F309">
        <v>112.25</v>
      </c>
      <c r="G309">
        <v>111.25</v>
      </c>
      <c r="H309">
        <v>6</v>
      </c>
      <c r="I309">
        <f t="shared" si="74"/>
        <v>6</v>
      </c>
      <c r="J309">
        <v>1</v>
      </c>
      <c r="K309">
        <f t="shared" si="75"/>
        <v>6</v>
      </c>
      <c r="L309" t="s">
        <v>72</v>
      </c>
      <c r="M309">
        <f>SUMIF(Executions!B:B,A309,Executions!H:H)</f>
        <v>-6.1199999999999761</v>
      </c>
      <c r="N309">
        <f t="shared" si="57"/>
        <v>-1.019999999999996</v>
      </c>
      <c r="O309">
        <f>Tabla1[[#This Row],[Initial Risk $]]/Tabla1[[#This Row],[Position Size (shares)]]+Tabla1[[#This Row],[Entry Price]]</f>
        <v>113.25</v>
      </c>
      <c r="P309">
        <f>Tabla1[[#This Row],[Initial Risk $]]/Tabla1[[#This Row],[Position Size (shares)]]*2+Tabla1[[#This Row],[Entry Price]]</f>
        <v>114.25</v>
      </c>
      <c r="Q309">
        <f>Tabla1[[#This Row],[Initial Risk $]]/Tabla1[[#This Row],[Position Size (shares)]]*3+Tabla1[[#This Row],[Entry Price]]</f>
        <v>115.25</v>
      </c>
    </row>
    <row r="310" spans="1:17" hidden="1" x14ac:dyDescent="0.25">
      <c r="A310" t="str">
        <f t="shared" si="73"/>
        <v>T-309</v>
      </c>
      <c r="B310" s="1">
        <v>46182</v>
      </c>
      <c r="C310" t="s">
        <v>100</v>
      </c>
      <c r="D310" t="s">
        <v>28</v>
      </c>
      <c r="E310" t="s">
        <v>58</v>
      </c>
      <c r="F310">
        <v>163.72999999999999</v>
      </c>
      <c r="G310">
        <v>162.75</v>
      </c>
      <c r="H310">
        <v>3</v>
      </c>
      <c r="I310">
        <f t="shared" si="74"/>
        <v>2.9399999999999693</v>
      </c>
      <c r="J310">
        <v>1</v>
      </c>
      <c r="K310">
        <f t="shared" si="75"/>
        <v>2.9399999999999693</v>
      </c>
      <c r="L310" t="s">
        <v>72</v>
      </c>
      <c r="M310">
        <f>SUMIF(Executions!B:B,A310,Executions!H:H)</f>
        <v>7.4700000000000273</v>
      </c>
      <c r="N310">
        <f t="shared" si="57"/>
        <v>2.5408163265306483</v>
      </c>
      <c r="O310">
        <f>Tabla1[[#This Row],[Initial Risk $]]/Tabla1[[#This Row],[Position Size (shares)]]+Tabla1[[#This Row],[Entry Price]]</f>
        <v>164.70999999999998</v>
      </c>
      <c r="P310">
        <f>Tabla1[[#This Row],[Initial Risk $]]/Tabla1[[#This Row],[Position Size (shares)]]*2+Tabla1[[#This Row],[Entry Price]]</f>
        <v>165.68999999999997</v>
      </c>
      <c r="Q310">
        <f>Tabla1[[#This Row],[Initial Risk $]]/Tabla1[[#This Row],[Position Size (shares)]]*3+Tabla1[[#This Row],[Entry Price]]</f>
        <v>166.66999999999996</v>
      </c>
    </row>
    <row r="311" spans="1:17" hidden="1" x14ac:dyDescent="0.25">
      <c r="A311" t="str">
        <f t="shared" ref="A311:A319" si="76">"T-"&amp; TEXT(ROW()-1,"000")</f>
        <v>T-310</v>
      </c>
      <c r="B311" s="1">
        <v>46183</v>
      </c>
      <c r="C311" t="s">
        <v>164</v>
      </c>
      <c r="D311" t="s">
        <v>28</v>
      </c>
      <c r="E311" t="s">
        <v>58</v>
      </c>
      <c r="F311">
        <v>206.43</v>
      </c>
      <c r="G311">
        <v>205.23</v>
      </c>
      <c r="H311">
        <v>4</v>
      </c>
      <c r="I311">
        <f t="shared" ref="I311:I319" si="77">IF(D311="Long",(F311-G311)*H311,(G311-F311)*0)</f>
        <v>4.8000000000000682</v>
      </c>
      <c r="J311">
        <v>1</v>
      </c>
      <c r="K311">
        <f t="shared" ref="K311:K319" si="78">I311*J311</f>
        <v>4.8000000000000682</v>
      </c>
      <c r="L311" t="s">
        <v>72</v>
      </c>
      <c r="M311">
        <f>SUMIF(Executions!B:B,A311,Executions!H:H)</f>
        <v>-3.9600000000000364</v>
      </c>
      <c r="N311">
        <f t="shared" si="57"/>
        <v>-0.82499999999999585</v>
      </c>
      <c r="O311">
        <f>Tabla1[[#This Row],[Initial Risk $]]/Tabla1[[#This Row],[Position Size (shares)]]+Tabla1[[#This Row],[Entry Price]]</f>
        <v>207.63000000000002</v>
      </c>
      <c r="P311">
        <f>Tabla1[[#This Row],[Initial Risk $]]/Tabla1[[#This Row],[Position Size (shares)]]*2+Tabla1[[#This Row],[Entry Price]]</f>
        <v>208.83000000000004</v>
      </c>
      <c r="Q311">
        <f>Tabla1[[#This Row],[Initial Risk $]]/Tabla1[[#This Row],[Position Size (shares)]]*3+Tabla1[[#This Row],[Entry Price]]</f>
        <v>210.03000000000006</v>
      </c>
    </row>
    <row r="312" spans="1:17" hidden="1" x14ac:dyDescent="0.25">
      <c r="A312" t="str">
        <f t="shared" si="76"/>
        <v>T-311</v>
      </c>
      <c r="B312" s="1">
        <v>46183</v>
      </c>
      <c r="C312" t="s">
        <v>164</v>
      </c>
      <c r="D312" t="s">
        <v>28</v>
      </c>
      <c r="E312" t="s">
        <v>58</v>
      </c>
      <c r="F312">
        <v>206.91</v>
      </c>
      <c r="G312">
        <v>204.91</v>
      </c>
      <c r="H312">
        <v>4</v>
      </c>
      <c r="I312">
        <f t="shared" si="77"/>
        <v>8</v>
      </c>
      <c r="J312">
        <v>1</v>
      </c>
      <c r="K312">
        <f t="shared" si="78"/>
        <v>8</v>
      </c>
      <c r="L312" t="s">
        <v>72</v>
      </c>
      <c r="M312">
        <f>SUMIF(Executions!B:B,A312,Executions!H:H)</f>
        <v>-8.0800000000000409</v>
      </c>
      <c r="N312">
        <f t="shared" si="57"/>
        <v>-1.0100000000000051</v>
      </c>
      <c r="O312">
        <f>Tabla1[[#This Row],[Initial Risk $]]/Tabla1[[#This Row],[Position Size (shares)]]+Tabla1[[#This Row],[Entry Price]]</f>
        <v>208.91</v>
      </c>
      <c r="P312">
        <f>Tabla1[[#This Row],[Initial Risk $]]/Tabla1[[#This Row],[Position Size (shares)]]*2+Tabla1[[#This Row],[Entry Price]]</f>
        <v>210.91</v>
      </c>
      <c r="Q312">
        <f>Tabla1[[#This Row],[Initial Risk $]]/Tabla1[[#This Row],[Position Size (shares)]]*3+Tabla1[[#This Row],[Entry Price]]</f>
        <v>212.91</v>
      </c>
    </row>
    <row r="313" spans="1:17" hidden="1" x14ac:dyDescent="0.25">
      <c r="A313" t="str">
        <f t="shared" si="76"/>
        <v>T-312</v>
      </c>
      <c r="B313" s="1">
        <v>46183</v>
      </c>
      <c r="C313" t="s">
        <v>271</v>
      </c>
      <c r="D313" t="s">
        <v>28</v>
      </c>
      <c r="E313" t="s">
        <v>58</v>
      </c>
      <c r="F313">
        <v>511.91</v>
      </c>
      <c r="G313">
        <v>506.91</v>
      </c>
      <c r="H313">
        <v>2</v>
      </c>
      <c r="I313">
        <f t="shared" si="77"/>
        <v>10</v>
      </c>
      <c r="J313">
        <v>1</v>
      </c>
      <c r="K313">
        <f t="shared" si="78"/>
        <v>10</v>
      </c>
      <c r="L313" t="s">
        <v>72</v>
      </c>
      <c r="M313">
        <f>SUMIF(Executions!B:B,A313,Executions!H:H)</f>
        <v>14.79000000000002</v>
      </c>
      <c r="N313">
        <f t="shared" si="57"/>
        <v>1.4790000000000021</v>
      </c>
      <c r="O313">
        <f>Tabla1[[#This Row],[Initial Risk $]]/Tabla1[[#This Row],[Position Size (shares)]]+Tabla1[[#This Row],[Entry Price]]</f>
        <v>516.91000000000008</v>
      </c>
      <c r="P313">
        <f>Tabla1[[#This Row],[Initial Risk $]]/Tabla1[[#This Row],[Position Size (shares)]]*2+Tabla1[[#This Row],[Entry Price]]</f>
        <v>521.91000000000008</v>
      </c>
      <c r="Q313">
        <f>Tabla1[[#This Row],[Initial Risk $]]/Tabla1[[#This Row],[Position Size (shares)]]*3+Tabla1[[#This Row],[Entry Price]]</f>
        <v>526.91000000000008</v>
      </c>
    </row>
    <row r="314" spans="1:17" hidden="1" x14ac:dyDescent="0.25">
      <c r="A314" t="str">
        <f t="shared" si="76"/>
        <v>T-313</v>
      </c>
      <c r="B314" s="1">
        <v>46183</v>
      </c>
      <c r="C314" t="s">
        <v>130</v>
      </c>
      <c r="D314" t="s">
        <v>28</v>
      </c>
      <c r="E314" t="s">
        <v>58</v>
      </c>
      <c r="F314">
        <v>475.51</v>
      </c>
      <c r="G314">
        <v>470.51</v>
      </c>
      <c r="H314">
        <v>2</v>
      </c>
      <c r="I314">
        <f t="shared" si="77"/>
        <v>10</v>
      </c>
      <c r="J314">
        <v>1</v>
      </c>
      <c r="K314">
        <f t="shared" si="78"/>
        <v>10</v>
      </c>
      <c r="L314" t="s">
        <v>72</v>
      </c>
      <c r="M314">
        <f>SUMIF(Executions!B:B,A314,Executions!H:H)</f>
        <v>-10.399999999999977</v>
      </c>
      <c r="N314">
        <f t="shared" si="57"/>
        <v>-1.0399999999999978</v>
      </c>
      <c r="O314">
        <f>Tabla1[[#This Row],[Initial Risk $]]/Tabla1[[#This Row],[Position Size (shares)]]+Tabla1[[#This Row],[Entry Price]]</f>
        <v>480.51</v>
      </c>
      <c r="P314">
        <f>Tabla1[[#This Row],[Initial Risk $]]/Tabla1[[#This Row],[Position Size (shares)]]*2+Tabla1[[#This Row],[Entry Price]]</f>
        <v>485.51</v>
      </c>
      <c r="Q314">
        <f>Tabla1[[#This Row],[Initial Risk $]]/Tabla1[[#This Row],[Position Size (shares)]]*3+Tabla1[[#This Row],[Entry Price]]</f>
        <v>490.51</v>
      </c>
    </row>
    <row r="315" spans="1:17" hidden="1" x14ac:dyDescent="0.25">
      <c r="A315" t="str">
        <f t="shared" si="76"/>
        <v>T-314</v>
      </c>
      <c r="B315" s="1">
        <v>46183</v>
      </c>
      <c r="C315" t="s">
        <v>279</v>
      </c>
      <c r="D315" t="s">
        <v>28</v>
      </c>
      <c r="E315" t="s">
        <v>119</v>
      </c>
      <c r="F315">
        <v>913.93</v>
      </c>
      <c r="G315">
        <v>909.93</v>
      </c>
      <c r="H315">
        <v>1</v>
      </c>
      <c r="I315">
        <f t="shared" si="77"/>
        <v>4</v>
      </c>
      <c r="J315">
        <v>1</v>
      </c>
      <c r="K315">
        <f t="shared" si="78"/>
        <v>4</v>
      </c>
      <c r="L315" t="s">
        <v>72</v>
      </c>
      <c r="M315">
        <f>SUMIF(Executions!B:B,A315,Executions!H:H)</f>
        <v>28.050000000000068</v>
      </c>
      <c r="N315">
        <f t="shared" si="57"/>
        <v>7.0125000000000171</v>
      </c>
      <c r="O315">
        <f>Tabla1[[#This Row],[Initial Risk $]]/Tabla1[[#This Row],[Position Size (shares)]]+Tabla1[[#This Row],[Entry Price]]</f>
        <v>917.93</v>
      </c>
      <c r="P315">
        <f>Tabla1[[#This Row],[Initial Risk $]]/Tabla1[[#This Row],[Position Size (shares)]]*2+Tabla1[[#This Row],[Entry Price]]</f>
        <v>921.93</v>
      </c>
      <c r="Q315">
        <f>Tabla1[[#This Row],[Initial Risk $]]/Tabla1[[#This Row],[Position Size (shares)]]*3+Tabla1[[#This Row],[Entry Price]]</f>
        <v>925.93</v>
      </c>
    </row>
    <row r="316" spans="1:17" hidden="1" x14ac:dyDescent="0.25">
      <c r="A316" t="str">
        <f t="shared" si="76"/>
        <v>T-315</v>
      </c>
      <c r="B316" s="1">
        <v>46183</v>
      </c>
      <c r="C316" t="s">
        <v>271</v>
      </c>
      <c r="D316" t="s">
        <v>28</v>
      </c>
      <c r="E316" t="s">
        <v>119</v>
      </c>
      <c r="F316">
        <v>522.04</v>
      </c>
      <c r="G316">
        <v>519.04</v>
      </c>
      <c r="H316">
        <v>2</v>
      </c>
      <c r="I316">
        <f t="shared" si="77"/>
        <v>6</v>
      </c>
      <c r="J316">
        <v>1</v>
      </c>
      <c r="K316">
        <f t="shared" si="78"/>
        <v>6</v>
      </c>
      <c r="L316" t="s">
        <v>72</v>
      </c>
      <c r="M316">
        <f>SUMIF(Executions!B:B,A316,Executions!H:H)</f>
        <v>-6</v>
      </c>
      <c r="N316">
        <f t="shared" si="57"/>
        <v>-1</v>
      </c>
      <c r="O316">
        <f>Tabla1[[#This Row],[Initial Risk $]]/Tabla1[[#This Row],[Position Size (shares)]]+Tabla1[[#This Row],[Entry Price]]</f>
        <v>525.04</v>
      </c>
      <c r="P316">
        <f>Tabla1[[#This Row],[Initial Risk $]]/Tabla1[[#This Row],[Position Size (shares)]]*2+Tabla1[[#This Row],[Entry Price]]</f>
        <v>528.04</v>
      </c>
      <c r="Q316">
        <f>Tabla1[[#This Row],[Initial Risk $]]/Tabla1[[#This Row],[Position Size (shares)]]*3+Tabla1[[#This Row],[Entry Price]]</f>
        <v>531.04</v>
      </c>
    </row>
    <row r="317" spans="1:17" hidden="1" x14ac:dyDescent="0.25">
      <c r="A317" t="str">
        <f t="shared" si="76"/>
        <v>T-316</v>
      </c>
      <c r="B317" s="1">
        <v>46183</v>
      </c>
      <c r="C317" t="s">
        <v>279</v>
      </c>
      <c r="D317" t="s">
        <v>28</v>
      </c>
      <c r="E317" t="s">
        <v>119</v>
      </c>
      <c r="F317">
        <v>914.7</v>
      </c>
      <c r="G317">
        <v>906.7</v>
      </c>
      <c r="H317">
        <v>1</v>
      </c>
      <c r="I317">
        <f t="shared" si="77"/>
        <v>8</v>
      </c>
      <c r="J317">
        <v>1</v>
      </c>
      <c r="K317">
        <f t="shared" si="78"/>
        <v>8</v>
      </c>
      <c r="L317" t="s">
        <v>72</v>
      </c>
      <c r="M317">
        <f>SUMIF(Executions!B:B,A317,Executions!H:H)</f>
        <v>-8</v>
      </c>
      <c r="N317">
        <f t="shared" si="57"/>
        <v>-1</v>
      </c>
      <c r="O317">
        <f>Tabla1[[#This Row],[Initial Risk $]]/Tabla1[[#This Row],[Position Size (shares)]]+Tabla1[[#This Row],[Entry Price]]</f>
        <v>922.7</v>
      </c>
      <c r="P317">
        <f>Tabla1[[#This Row],[Initial Risk $]]/Tabla1[[#This Row],[Position Size (shares)]]*2+Tabla1[[#This Row],[Entry Price]]</f>
        <v>930.7</v>
      </c>
      <c r="Q317">
        <f>Tabla1[[#This Row],[Initial Risk $]]/Tabla1[[#This Row],[Position Size (shares)]]*3+Tabla1[[#This Row],[Entry Price]]</f>
        <v>938.7</v>
      </c>
    </row>
    <row r="318" spans="1:17" hidden="1" x14ac:dyDescent="0.25">
      <c r="A318" t="str">
        <f t="shared" si="76"/>
        <v>T-317</v>
      </c>
      <c r="B318" s="1">
        <v>46183</v>
      </c>
      <c r="C318" t="s">
        <v>271</v>
      </c>
      <c r="D318" t="s">
        <v>28</v>
      </c>
      <c r="E318" t="s">
        <v>60</v>
      </c>
      <c r="F318">
        <v>505.31</v>
      </c>
      <c r="G318">
        <v>500.31</v>
      </c>
      <c r="H318">
        <v>1</v>
      </c>
      <c r="I318">
        <f t="shared" si="77"/>
        <v>5</v>
      </c>
      <c r="J318">
        <v>1</v>
      </c>
      <c r="K318">
        <f t="shared" si="78"/>
        <v>5</v>
      </c>
      <c r="L318" t="s">
        <v>72</v>
      </c>
      <c r="M318">
        <f>SUMIF(Executions!B:B,A318,Executions!H:H)</f>
        <v>-5.1399999999999864</v>
      </c>
      <c r="N318">
        <f t="shared" si="57"/>
        <v>-1.0279999999999974</v>
      </c>
      <c r="O318">
        <f>Tabla1[[#This Row],[Initial Risk $]]/Tabla1[[#This Row],[Position Size (shares)]]+Tabla1[[#This Row],[Entry Price]]</f>
        <v>510.31</v>
      </c>
      <c r="P318">
        <f>Tabla1[[#This Row],[Initial Risk $]]/Tabla1[[#This Row],[Position Size (shares)]]*2+Tabla1[[#This Row],[Entry Price]]</f>
        <v>515.30999999999995</v>
      </c>
      <c r="Q318">
        <f>Tabla1[[#This Row],[Initial Risk $]]/Tabla1[[#This Row],[Position Size (shares)]]*3+Tabla1[[#This Row],[Entry Price]]</f>
        <v>520.30999999999995</v>
      </c>
    </row>
    <row r="319" spans="1:17" hidden="1" x14ac:dyDescent="0.25">
      <c r="A319" t="str">
        <f t="shared" si="76"/>
        <v>T-318</v>
      </c>
      <c r="B319" s="1">
        <v>46183</v>
      </c>
      <c r="C319" t="s">
        <v>512</v>
      </c>
      <c r="D319" t="s">
        <v>28</v>
      </c>
      <c r="E319" t="s">
        <v>119</v>
      </c>
      <c r="F319">
        <v>29.07</v>
      </c>
      <c r="G319">
        <v>27.37</v>
      </c>
      <c r="H319">
        <v>3</v>
      </c>
      <c r="I319">
        <f t="shared" si="77"/>
        <v>5.0999999999999979</v>
      </c>
      <c r="J319">
        <v>1</v>
      </c>
      <c r="K319">
        <f t="shared" si="78"/>
        <v>5.0999999999999979</v>
      </c>
      <c r="L319" t="s">
        <v>72</v>
      </c>
      <c r="M319">
        <f>SUMIF(Executions!B:B,A319,Executions!H:H)</f>
        <v>-5.1300000000000026</v>
      </c>
      <c r="N319">
        <f t="shared" si="57"/>
        <v>-1.0058823529411773</v>
      </c>
      <c r="O319">
        <f>Tabla1[[#This Row],[Initial Risk $]]/Tabla1[[#This Row],[Position Size (shares)]]+Tabla1[[#This Row],[Entry Price]]</f>
        <v>30.77</v>
      </c>
      <c r="P319">
        <f>Tabla1[[#This Row],[Initial Risk $]]/Tabla1[[#This Row],[Position Size (shares)]]*2+Tabla1[[#This Row],[Entry Price]]</f>
        <v>32.47</v>
      </c>
      <c r="Q319">
        <f>Tabla1[[#This Row],[Initial Risk $]]/Tabla1[[#This Row],[Position Size (shares)]]*3+Tabla1[[#This Row],[Entry Price]]</f>
        <v>34.17</v>
      </c>
    </row>
    <row r="320" spans="1:17" hidden="1" x14ac:dyDescent="0.25">
      <c r="A320" t="str">
        <f t="shared" ref="A320:A328" si="79">"T-"&amp; TEXT(ROW()-1,"000")</f>
        <v>T-319</v>
      </c>
      <c r="B320" s="1">
        <v>46184</v>
      </c>
      <c r="C320" t="s">
        <v>271</v>
      </c>
      <c r="D320" t="s">
        <v>28</v>
      </c>
      <c r="E320" t="s">
        <v>58</v>
      </c>
      <c r="F320">
        <v>527.16999999999996</v>
      </c>
      <c r="G320">
        <v>523.16999999999996</v>
      </c>
      <c r="H320">
        <v>2</v>
      </c>
      <c r="I320">
        <f t="shared" ref="I320:I328" si="80">IF(D320="Long",(F320-G320)*H320,(G320-F320)*0)</f>
        <v>8</v>
      </c>
      <c r="J320">
        <v>1</v>
      </c>
      <c r="K320">
        <f t="shared" ref="K320:K328" si="81">I320*J320</f>
        <v>8</v>
      </c>
      <c r="L320" t="s">
        <v>72</v>
      </c>
      <c r="M320">
        <f>SUMIF(Executions!B:B,A320,Executions!H:H)</f>
        <v>-9.2999999999999545</v>
      </c>
      <c r="N320">
        <f t="shared" si="57"/>
        <v>-1.1624999999999943</v>
      </c>
      <c r="O320">
        <f>Tabla1[[#This Row],[Initial Risk $]]/Tabla1[[#This Row],[Position Size (shares)]]+Tabla1[[#This Row],[Entry Price]]</f>
        <v>531.16999999999996</v>
      </c>
      <c r="P320">
        <f>Tabla1[[#This Row],[Initial Risk $]]/Tabla1[[#This Row],[Position Size (shares)]]*2+Tabla1[[#This Row],[Entry Price]]</f>
        <v>535.16999999999996</v>
      </c>
      <c r="Q320">
        <f>Tabla1[[#This Row],[Initial Risk $]]/Tabla1[[#This Row],[Position Size (shares)]]*3+Tabla1[[#This Row],[Entry Price]]</f>
        <v>539.16999999999996</v>
      </c>
    </row>
    <row r="321" spans="1:17" hidden="1" x14ac:dyDescent="0.25">
      <c r="A321" t="str">
        <f t="shared" si="79"/>
        <v>T-320</v>
      </c>
      <c r="B321" s="1">
        <v>46184</v>
      </c>
      <c r="C321" t="s">
        <v>279</v>
      </c>
      <c r="D321" t="s">
        <v>28</v>
      </c>
      <c r="E321" t="s">
        <v>58</v>
      </c>
      <c r="F321">
        <v>905</v>
      </c>
      <c r="G321">
        <v>900</v>
      </c>
      <c r="H321">
        <v>1</v>
      </c>
      <c r="I321">
        <f t="shared" si="80"/>
        <v>5</v>
      </c>
      <c r="J321">
        <v>1</v>
      </c>
      <c r="K321">
        <f t="shared" si="81"/>
        <v>5</v>
      </c>
      <c r="L321" t="s">
        <v>72</v>
      </c>
      <c r="M321">
        <f>SUMIF(Executions!B:B,A321,Executions!H:H)</f>
        <v>-6.1000000000000227</v>
      </c>
      <c r="N321">
        <f t="shared" si="57"/>
        <v>-1.2200000000000046</v>
      </c>
      <c r="O321">
        <f>Tabla1[[#This Row],[Initial Risk $]]/Tabla1[[#This Row],[Position Size (shares)]]+Tabla1[[#This Row],[Entry Price]]</f>
        <v>910</v>
      </c>
      <c r="P321">
        <f>Tabla1[[#This Row],[Initial Risk $]]/Tabla1[[#This Row],[Position Size (shares)]]*2+Tabla1[[#This Row],[Entry Price]]</f>
        <v>915</v>
      </c>
      <c r="Q321">
        <f>Tabla1[[#This Row],[Initial Risk $]]/Tabla1[[#This Row],[Position Size (shares)]]*3+Tabla1[[#This Row],[Entry Price]]</f>
        <v>920</v>
      </c>
    </row>
    <row r="322" spans="1:17" hidden="1" x14ac:dyDescent="0.25">
      <c r="A322" t="str">
        <f t="shared" si="79"/>
        <v>T-321</v>
      </c>
      <c r="B322" s="1">
        <v>46184</v>
      </c>
      <c r="C322" t="s">
        <v>279</v>
      </c>
      <c r="D322" t="s">
        <v>28</v>
      </c>
      <c r="E322" t="s">
        <v>58</v>
      </c>
      <c r="F322">
        <v>915.75</v>
      </c>
      <c r="G322">
        <v>905</v>
      </c>
      <c r="H322">
        <v>1</v>
      </c>
      <c r="I322">
        <f t="shared" si="80"/>
        <v>10.75</v>
      </c>
      <c r="J322">
        <v>1</v>
      </c>
      <c r="K322">
        <f t="shared" si="81"/>
        <v>10.75</v>
      </c>
      <c r="L322" t="s">
        <v>72</v>
      </c>
      <c r="M322">
        <f>SUMIF(Executions!B:B,A322,Executions!H:H)</f>
        <v>-9.7000000000000455</v>
      </c>
      <c r="N322">
        <f t="shared" ref="N322:N346" si="82">M322/I322</f>
        <v>-0.90232558139535302</v>
      </c>
      <c r="O322">
        <f>Tabla1[[#This Row],[Initial Risk $]]/Tabla1[[#This Row],[Position Size (shares)]]+Tabla1[[#This Row],[Entry Price]]</f>
        <v>926.5</v>
      </c>
      <c r="P322">
        <f>Tabla1[[#This Row],[Initial Risk $]]/Tabla1[[#This Row],[Position Size (shares)]]*2+Tabla1[[#This Row],[Entry Price]]</f>
        <v>937.25</v>
      </c>
      <c r="Q322">
        <f>Tabla1[[#This Row],[Initial Risk $]]/Tabla1[[#This Row],[Position Size (shares)]]*3+Tabla1[[#This Row],[Entry Price]]</f>
        <v>948</v>
      </c>
    </row>
    <row r="323" spans="1:17" hidden="1" x14ac:dyDescent="0.25">
      <c r="A323" t="str">
        <f t="shared" si="79"/>
        <v>T-322</v>
      </c>
      <c r="B323" s="1">
        <v>46184</v>
      </c>
      <c r="C323" t="s">
        <v>271</v>
      </c>
      <c r="D323" t="s">
        <v>28</v>
      </c>
      <c r="E323" t="s">
        <v>58</v>
      </c>
      <c r="F323">
        <v>530.59</v>
      </c>
      <c r="G323">
        <v>526.5</v>
      </c>
      <c r="H323">
        <v>2</v>
      </c>
      <c r="I323">
        <f t="shared" si="80"/>
        <v>8.1800000000000637</v>
      </c>
      <c r="J323">
        <v>1</v>
      </c>
      <c r="K323">
        <f t="shared" si="81"/>
        <v>8.1800000000000637</v>
      </c>
      <c r="L323" t="s">
        <v>72</v>
      </c>
      <c r="M323">
        <f>SUMIF(Executions!B:B,A323,Executions!H:H)</f>
        <v>-8.1800000000000637</v>
      </c>
      <c r="N323">
        <f t="shared" si="82"/>
        <v>-1</v>
      </c>
      <c r="O323">
        <f>Tabla1[[#This Row],[Initial Risk $]]/Tabla1[[#This Row],[Position Size (shares)]]+Tabla1[[#This Row],[Entry Price]]</f>
        <v>534.68000000000006</v>
      </c>
      <c r="P323">
        <f>Tabla1[[#This Row],[Initial Risk $]]/Tabla1[[#This Row],[Position Size (shares)]]*2+Tabla1[[#This Row],[Entry Price]]</f>
        <v>538.7700000000001</v>
      </c>
      <c r="Q323">
        <f>Tabla1[[#This Row],[Initial Risk $]]/Tabla1[[#This Row],[Position Size (shares)]]*3+Tabla1[[#This Row],[Entry Price]]</f>
        <v>542.86000000000013</v>
      </c>
    </row>
    <row r="324" spans="1:17" hidden="1" x14ac:dyDescent="0.25">
      <c r="A324" t="str">
        <f t="shared" si="79"/>
        <v>T-323</v>
      </c>
      <c r="B324" s="1">
        <v>46184</v>
      </c>
      <c r="C324" t="s">
        <v>161</v>
      </c>
      <c r="D324" t="s">
        <v>28</v>
      </c>
      <c r="E324" t="s">
        <v>58</v>
      </c>
      <c r="F324">
        <v>118.88</v>
      </c>
      <c r="G324">
        <v>116.07</v>
      </c>
      <c r="H324">
        <v>3</v>
      </c>
      <c r="I324">
        <f t="shared" si="80"/>
        <v>8.4300000000000068</v>
      </c>
      <c r="J324">
        <v>1</v>
      </c>
      <c r="K324">
        <f t="shared" si="81"/>
        <v>8.4300000000000068</v>
      </c>
      <c r="L324" t="s">
        <v>72</v>
      </c>
      <c r="M324">
        <f>SUMIF(Executions!B:B,A324,Executions!H:H)</f>
        <v>-8.4300000000000068</v>
      </c>
      <c r="N324">
        <f t="shared" si="82"/>
        <v>-1</v>
      </c>
      <c r="O324">
        <f>Tabla1[[#This Row],[Initial Risk $]]/Tabla1[[#This Row],[Position Size (shares)]]+Tabla1[[#This Row],[Entry Price]]</f>
        <v>121.69</v>
      </c>
      <c r="P324">
        <f>Tabla1[[#This Row],[Initial Risk $]]/Tabla1[[#This Row],[Position Size (shares)]]*2+Tabla1[[#This Row],[Entry Price]]</f>
        <v>124.5</v>
      </c>
      <c r="Q324">
        <f>Tabla1[[#This Row],[Initial Risk $]]/Tabla1[[#This Row],[Position Size (shares)]]*3+Tabla1[[#This Row],[Entry Price]]</f>
        <v>127.31</v>
      </c>
    </row>
    <row r="325" spans="1:17" hidden="1" x14ac:dyDescent="0.25">
      <c r="A325" t="str">
        <f t="shared" si="79"/>
        <v>T-324</v>
      </c>
      <c r="B325" s="1">
        <v>46184</v>
      </c>
      <c r="C325" t="s">
        <v>279</v>
      </c>
      <c r="D325" t="s">
        <v>28</v>
      </c>
      <c r="E325" t="s">
        <v>119</v>
      </c>
      <c r="F325">
        <v>913</v>
      </c>
      <c r="G325">
        <v>905</v>
      </c>
      <c r="H325">
        <v>1</v>
      </c>
      <c r="I325">
        <f t="shared" si="80"/>
        <v>8</v>
      </c>
      <c r="J325">
        <v>1</v>
      </c>
      <c r="K325">
        <f t="shared" si="81"/>
        <v>8</v>
      </c>
      <c r="L325" t="s">
        <v>72</v>
      </c>
      <c r="M325">
        <f>SUMIF(Executions!B:B,A325,Executions!H:H)</f>
        <v>-8.1000000000000227</v>
      </c>
      <c r="N325">
        <f t="shared" si="82"/>
        <v>-1.0125000000000028</v>
      </c>
      <c r="O325">
        <f>Tabla1[[#This Row],[Initial Risk $]]/Tabla1[[#This Row],[Position Size (shares)]]+Tabla1[[#This Row],[Entry Price]]</f>
        <v>921</v>
      </c>
      <c r="P325">
        <f>Tabla1[[#This Row],[Initial Risk $]]/Tabla1[[#This Row],[Position Size (shares)]]*2+Tabla1[[#This Row],[Entry Price]]</f>
        <v>929</v>
      </c>
      <c r="Q325">
        <f>Tabla1[[#This Row],[Initial Risk $]]/Tabla1[[#This Row],[Position Size (shares)]]*3+Tabla1[[#This Row],[Entry Price]]</f>
        <v>937</v>
      </c>
    </row>
    <row r="326" spans="1:17" hidden="1" x14ac:dyDescent="0.25">
      <c r="A326" t="str">
        <f t="shared" si="79"/>
        <v>T-325</v>
      </c>
      <c r="B326" s="1">
        <v>46184</v>
      </c>
      <c r="C326" t="s">
        <v>279</v>
      </c>
      <c r="D326" t="s">
        <v>28</v>
      </c>
      <c r="E326" t="s">
        <v>119</v>
      </c>
      <c r="F326">
        <v>911</v>
      </c>
      <c r="G326">
        <v>901</v>
      </c>
      <c r="H326">
        <v>1</v>
      </c>
      <c r="I326">
        <f t="shared" si="80"/>
        <v>10</v>
      </c>
      <c r="J326">
        <v>1</v>
      </c>
      <c r="K326">
        <f t="shared" si="81"/>
        <v>10</v>
      </c>
      <c r="L326" t="s">
        <v>72</v>
      </c>
      <c r="M326">
        <f>SUMIF(Executions!B:B,A326,Executions!H:H)</f>
        <v>6.9199999999999591</v>
      </c>
      <c r="N326">
        <f t="shared" si="82"/>
        <v>0.69199999999999595</v>
      </c>
      <c r="O326">
        <f>Tabla1[[#This Row],[Initial Risk $]]/Tabla1[[#This Row],[Position Size (shares)]]+Tabla1[[#This Row],[Entry Price]]</f>
        <v>921</v>
      </c>
      <c r="P326">
        <f>Tabla1[[#This Row],[Initial Risk $]]/Tabla1[[#This Row],[Position Size (shares)]]*2+Tabla1[[#This Row],[Entry Price]]</f>
        <v>931</v>
      </c>
      <c r="Q326">
        <f>Tabla1[[#This Row],[Initial Risk $]]/Tabla1[[#This Row],[Position Size (shares)]]*3+Tabla1[[#This Row],[Entry Price]]</f>
        <v>941</v>
      </c>
    </row>
    <row r="327" spans="1:17" hidden="1" x14ac:dyDescent="0.25">
      <c r="A327" t="str">
        <f t="shared" si="79"/>
        <v>T-326</v>
      </c>
      <c r="B327" s="1">
        <v>46184</v>
      </c>
      <c r="C327" t="s">
        <v>255</v>
      </c>
      <c r="D327" t="s">
        <v>28</v>
      </c>
      <c r="E327" t="s">
        <v>58</v>
      </c>
      <c r="F327">
        <v>292.33</v>
      </c>
      <c r="G327">
        <v>291.16000000000003</v>
      </c>
      <c r="H327">
        <v>3</v>
      </c>
      <c r="I327">
        <f t="shared" si="80"/>
        <v>3.5099999999998772</v>
      </c>
      <c r="J327">
        <v>1</v>
      </c>
      <c r="K327">
        <f t="shared" si="81"/>
        <v>3.5099999999998772</v>
      </c>
      <c r="L327" t="s">
        <v>72</v>
      </c>
      <c r="M327">
        <f>SUMIF(Executions!B:B,A327,Executions!H:H)</f>
        <v>8.4300000000000068</v>
      </c>
      <c r="N327">
        <f t="shared" si="82"/>
        <v>2.4017094017094878</v>
      </c>
      <c r="O327">
        <f>Tabla1[[#This Row],[Initial Risk $]]/Tabla1[[#This Row],[Position Size (shares)]]+Tabla1[[#This Row],[Entry Price]]</f>
        <v>293.49999999999994</v>
      </c>
      <c r="P327">
        <f>Tabla1[[#This Row],[Initial Risk $]]/Tabla1[[#This Row],[Position Size (shares)]]*2+Tabla1[[#This Row],[Entry Price]]</f>
        <v>294.6699999999999</v>
      </c>
      <c r="Q327">
        <f>Tabla1[[#This Row],[Initial Risk $]]/Tabla1[[#This Row],[Position Size (shares)]]*3+Tabla1[[#This Row],[Entry Price]]</f>
        <v>295.83999999999986</v>
      </c>
    </row>
    <row r="328" spans="1:17" hidden="1" x14ac:dyDescent="0.25">
      <c r="A328" t="str">
        <f t="shared" si="79"/>
        <v>T-327</v>
      </c>
      <c r="B328" s="1">
        <v>46184</v>
      </c>
      <c r="C328" t="s">
        <v>522</v>
      </c>
      <c r="D328" t="s">
        <v>28</v>
      </c>
      <c r="E328" t="s">
        <v>119</v>
      </c>
      <c r="F328">
        <v>153.35</v>
      </c>
      <c r="G328">
        <v>152.35</v>
      </c>
      <c r="H328">
        <v>3</v>
      </c>
      <c r="I328">
        <f t="shared" si="80"/>
        <v>3</v>
      </c>
      <c r="J328">
        <v>1</v>
      </c>
      <c r="K328">
        <f t="shared" si="81"/>
        <v>3</v>
      </c>
      <c r="L328" t="s">
        <v>72</v>
      </c>
      <c r="M328">
        <f>SUMIF(Executions!B:B,A328,Executions!H:H)</f>
        <v>7.4099999999999966</v>
      </c>
      <c r="N328">
        <f t="shared" si="82"/>
        <v>2.4699999999999989</v>
      </c>
      <c r="O328">
        <f>Tabla1[[#This Row],[Initial Risk $]]/Tabla1[[#This Row],[Position Size (shares)]]+Tabla1[[#This Row],[Entry Price]]</f>
        <v>154.35</v>
      </c>
      <c r="P328">
        <f>Tabla1[[#This Row],[Initial Risk $]]/Tabla1[[#This Row],[Position Size (shares)]]*2+Tabla1[[#This Row],[Entry Price]]</f>
        <v>155.35</v>
      </c>
      <c r="Q328">
        <f>Tabla1[[#This Row],[Initial Risk $]]/Tabla1[[#This Row],[Position Size (shares)]]*3+Tabla1[[#This Row],[Entry Price]]</f>
        <v>156.35</v>
      </c>
    </row>
    <row r="329" spans="1:17" hidden="1" x14ac:dyDescent="0.25">
      <c r="A329" t="str">
        <f t="shared" ref="A329:A338" si="83">"T-"&amp; TEXT(ROW()-1,"000")</f>
        <v>T-328</v>
      </c>
      <c r="B329" s="1">
        <v>46185</v>
      </c>
      <c r="C329" t="s">
        <v>526</v>
      </c>
      <c r="D329" t="s">
        <v>28</v>
      </c>
      <c r="E329" t="s">
        <v>58</v>
      </c>
      <c r="F329">
        <v>11.52</v>
      </c>
      <c r="G329">
        <v>10.52</v>
      </c>
      <c r="H329">
        <v>10</v>
      </c>
      <c r="I329">
        <f t="shared" ref="I329:I338" si="84">IF(D329="Long",(F329-G329)*H329,(G329-F329)*0)</f>
        <v>10</v>
      </c>
      <c r="J329">
        <v>1</v>
      </c>
      <c r="K329">
        <f t="shared" ref="K329:K338" si="85">I329*J329</f>
        <v>10</v>
      </c>
      <c r="L329" t="s">
        <v>72</v>
      </c>
      <c r="M329">
        <f>SUMIF(Executions!B:B,A329,Executions!H:H)</f>
        <v>13.499999999999996</v>
      </c>
      <c r="N329">
        <f t="shared" si="82"/>
        <v>1.3499999999999996</v>
      </c>
      <c r="O329">
        <f>Tabla1[[#This Row],[Initial Risk $]]/Tabla1[[#This Row],[Position Size (shares)]]+Tabla1[[#This Row],[Entry Price]]</f>
        <v>12.52</v>
      </c>
      <c r="P329">
        <f>Tabla1[[#This Row],[Initial Risk $]]/Tabla1[[#This Row],[Position Size (shares)]]*2+Tabla1[[#This Row],[Entry Price]]</f>
        <v>13.52</v>
      </c>
      <c r="Q329">
        <f>Tabla1[[#This Row],[Initial Risk $]]/Tabla1[[#This Row],[Position Size (shares)]]*3+Tabla1[[#This Row],[Entry Price]]</f>
        <v>14.52</v>
      </c>
    </row>
    <row r="330" spans="1:17" hidden="1" x14ac:dyDescent="0.25">
      <c r="A330" t="str">
        <f t="shared" si="83"/>
        <v>T-329</v>
      </c>
      <c r="B330" s="1">
        <v>46185</v>
      </c>
      <c r="C330" t="s">
        <v>130</v>
      </c>
      <c r="D330" t="s">
        <v>28</v>
      </c>
      <c r="E330" t="s">
        <v>58</v>
      </c>
      <c r="F330">
        <v>506.6</v>
      </c>
      <c r="G330">
        <v>501.6</v>
      </c>
      <c r="H330">
        <v>2</v>
      </c>
      <c r="I330">
        <f t="shared" si="84"/>
        <v>10</v>
      </c>
      <c r="J330">
        <v>1</v>
      </c>
      <c r="K330">
        <f t="shared" si="85"/>
        <v>10</v>
      </c>
      <c r="L330" t="s">
        <v>72</v>
      </c>
      <c r="M330">
        <f>SUMIF(Executions!B:B,A330,Executions!H:H)</f>
        <v>-11.180000000000064</v>
      </c>
      <c r="N330">
        <f t="shared" si="82"/>
        <v>-1.1180000000000063</v>
      </c>
      <c r="O330">
        <f>Tabla1[[#This Row],[Initial Risk $]]/Tabla1[[#This Row],[Position Size (shares)]]+Tabla1[[#This Row],[Entry Price]]</f>
        <v>511.6</v>
      </c>
      <c r="P330">
        <f>Tabla1[[#This Row],[Initial Risk $]]/Tabla1[[#This Row],[Position Size (shares)]]*2+Tabla1[[#This Row],[Entry Price]]</f>
        <v>516.6</v>
      </c>
      <c r="Q330">
        <f>Tabla1[[#This Row],[Initial Risk $]]/Tabla1[[#This Row],[Position Size (shares)]]*3+Tabla1[[#This Row],[Entry Price]]</f>
        <v>521.6</v>
      </c>
    </row>
    <row r="331" spans="1:17" hidden="1" x14ac:dyDescent="0.25">
      <c r="A331" t="str">
        <f t="shared" si="83"/>
        <v>T-330</v>
      </c>
      <c r="B331" s="1">
        <v>46185</v>
      </c>
      <c r="C331" t="s">
        <v>164</v>
      </c>
      <c r="D331" t="s">
        <v>28</v>
      </c>
      <c r="E331" t="s">
        <v>58</v>
      </c>
      <c r="F331">
        <v>206.08</v>
      </c>
      <c r="G331">
        <v>204.08</v>
      </c>
      <c r="H331">
        <v>4</v>
      </c>
      <c r="I331">
        <f t="shared" si="84"/>
        <v>8</v>
      </c>
      <c r="J331">
        <v>1</v>
      </c>
      <c r="K331">
        <f t="shared" si="85"/>
        <v>8</v>
      </c>
      <c r="L331" t="s">
        <v>72</v>
      </c>
      <c r="M331">
        <f>SUMIF(Executions!B:B,A331,Executions!H:H)</f>
        <v>-8.0800000000000409</v>
      </c>
      <c r="N331">
        <f t="shared" si="82"/>
        <v>-1.0100000000000051</v>
      </c>
      <c r="O331">
        <f>Tabla1[[#This Row],[Initial Risk $]]/Tabla1[[#This Row],[Position Size (shares)]]+Tabla1[[#This Row],[Entry Price]]</f>
        <v>208.08</v>
      </c>
      <c r="P331">
        <f>Tabla1[[#This Row],[Initial Risk $]]/Tabla1[[#This Row],[Position Size (shares)]]*2+Tabla1[[#This Row],[Entry Price]]</f>
        <v>210.08</v>
      </c>
      <c r="Q331">
        <f>Tabla1[[#This Row],[Initial Risk $]]/Tabla1[[#This Row],[Position Size (shares)]]*3+Tabla1[[#This Row],[Entry Price]]</f>
        <v>212.08</v>
      </c>
    </row>
    <row r="332" spans="1:17" hidden="1" x14ac:dyDescent="0.25">
      <c r="A332" t="str">
        <f t="shared" si="83"/>
        <v>T-331</v>
      </c>
      <c r="B332" s="1">
        <v>46185</v>
      </c>
      <c r="C332" t="s">
        <v>130</v>
      </c>
      <c r="D332" t="s">
        <v>28</v>
      </c>
      <c r="E332" t="s">
        <v>58</v>
      </c>
      <c r="F332">
        <v>507.55</v>
      </c>
      <c r="G332">
        <v>503.55</v>
      </c>
      <c r="H332">
        <v>2</v>
      </c>
      <c r="I332">
        <f t="shared" si="84"/>
        <v>8</v>
      </c>
      <c r="J332">
        <v>1</v>
      </c>
      <c r="K332">
        <f t="shared" si="85"/>
        <v>8</v>
      </c>
      <c r="L332" t="s">
        <v>72</v>
      </c>
      <c r="M332">
        <f>SUMIF(Executions!B:B,A332,Executions!H:H)</f>
        <v>21.899999999999977</v>
      </c>
      <c r="N332">
        <f t="shared" si="82"/>
        <v>2.7374999999999972</v>
      </c>
      <c r="O332">
        <f>Tabla1[[#This Row],[Initial Risk $]]/Tabla1[[#This Row],[Position Size (shares)]]+Tabla1[[#This Row],[Entry Price]]</f>
        <v>511.55</v>
      </c>
      <c r="P332">
        <f>Tabla1[[#This Row],[Initial Risk $]]/Tabla1[[#This Row],[Position Size (shares)]]*2+Tabla1[[#This Row],[Entry Price]]</f>
        <v>515.54999999999995</v>
      </c>
      <c r="Q332">
        <f>Tabla1[[#This Row],[Initial Risk $]]/Tabla1[[#This Row],[Position Size (shares)]]*3+Tabla1[[#This Row],[Entry Price]]</f>
        <v>519.54999999999995</v>
      </c>
    </row>
    <row r="333" spans="1:17" hidden="1" x14ac:dyDescent="0.25">
      <c r="A333" t="str">
        <f t="shared" si="83"/>
        <v>T-332</v>
      </c>
      <c r="B333" s="1">
        <v>46185</v>
      </c>
      <c r="C333" t="s">
        <v>279</v>
      </c>
      <c r="D333" t="s">
        <v>28</v>
      </c>
      <c r="E333" t="s">
        <v>58</v>
      </c>
      <c r="F333">
        <v>971.48</v>
      </c>
      <c r="G333">
        <v>960</v>
      </c>
      <c r="H333">
        <v>1</v>
      </c>
      <c r="I333">
        <f t="shared" si="84"/>
        <v>11.480000000000018</v>
      </c>
      <c r="J333">
        <v>1</v>
      </c>
      <c r="K333">
        <f t="shared" si="85"/>
        <v>11.480000000000018</v>
      </c>
      <c r="L333" t="s">
        <v>72</v>
      </c>
      <c r="M333">
        <f>SUMIF(Executions!B:B,A333,Executions!H:H)</f>
        <v>15.309999999999945</v>
      </c>
      <c r="N333">
        <f t="shared" si="82"/>
        <v>1.333623693379784</v>
      </c>
      <c r="O333">
        <f>Tabla1[[#This Row],[Initial Risk $]]/Tabla1[[#This Row],[Position Size (shares)]]+Tabla1[[#This Row],[Entry Price]]</f>
        <v>982.96</v>
      </c>
      <c r="P333">
        <f>Tabla1[[#This Row],[Initial Risk $]]/Tabla1[[#This Row],[Position Size (shares)]]*2+Tabla1[[#This Row],[Entry Price]]</f>
        <v>994.44</v>
      </c>
      <c r="Q333">
        <f>Tabla1[[#This Row],[Initial Risk $]]/Tabla1[[#This Row],[Position Size (shares)]]*3+Tabla1[[#This Row],[Entry Price]]</f>
        <v>1005.9200000000001</v>
      </c>
    </row>
    <row r="334" spans="1:17" hidden="1" x14ac:dyDescent="0.25">
      <c r="A334" t="str">
        <f t="shared" si="83"/>
        <v>T-333</v>
      </c>
      <c r="B334" s="1">
        <v>46185</v>
      </c>
      <c r="C334" t="s">
        <v>529</v>
      </c>
      <c r="D334" t="s">
        <v>28</v>
      </c>
      <c r="E334" t="s">
        <v>119</v>
      </c>
      <c r="F334">
        <v>108.37</v>
      </c>
      <c r="G334">
        <v>107.37</v>
      </c>
      <c r="H334">
        <v>5</v>
      </c>
      <c r="I334">
        <f t="shared" si="84"/>
        <v>5</v>
      </c>
      <c r="J334">
        <v>1</v>
      </c>
      <c r="K334">
        <f t="shared" si="85"/>
        <v>5</v>
      </c>
      <c r="L334" t="s">
        <v>72</v>
      </c>
      <c r="M334">
        <f>SUMIF(Executions!B:B,A334,Executions!H:H)</f>
        <v>-5.0500000000000256</v>
      </c>
      <c r="N334">
        <f t="shared" si="82"/>
        <v>-1.0100000000000051</v>
      </c>
      <c r="O334">
        <f>Tabla1[[#This Row],[Initial Risk $]]/Tabla1[[#This Row],[Position Size (shares)]]+Tabla1[[#This Row],[Entry Price]]</f>
        <v>109.37</v>
      </c>
      <c r="P334">
        <f>Tabla1[[#This Row],[Initial Risk $]]/Tabla1[[#This Row],[Position Size (shares)]]*2+Tabla1[[#This Row],[Entry Price]]</f>
        <v>110.37</v>
      </c>
      <c r="Q334">
        <f>Tabla1[[#This Row],[Initial Risk $]]/Tabla1[[#This Row],[Position Size (shares)]]*3+Tabla1[[#This Row],[Entry Price]]</f>
        <v>111.37</v>
      </c>
    </row>
    <row r="335" spans="1:17" hidden="1" x14ac:dyDescent="0.25">
      <c r="A335" t="str">
        <f t="shared" si="83"/>
        <v>T-334</v>
      </c>
      <c r="B335" s="1">
        <v>46185</v>
      </c>
      <c r="C335" t="s">
        <v>417</v>
      </c>
      <c r="D335" t="s">
        <v>28</v>
      </c>
      <c r="E335" t="s">
        <v>119</v>
      </c>
      <c r="F335">
        <v>484.38</v>
      </c>
      <c r="G335">
        <v>480.38</v>
      </c>
      <c r="H335">
        <v>2</v>
      </c>
      <c r="I335">
        <f t="shared" si="84"/>
        <v>8</v>
      </c>
      <c r="J335">
        <v>1</v>
      </c>
      <c r="K335">
        <f t="shared" si="85"/>
        <v>8</v>
      </c>
      <c r="L335" t="s">
        <v>72</v>
      </c>
      <c r="M335">
        <f>SUMIF(Executions!B:B,A335,Executions!H:H)</f>
        <v>-8.4399999999999409</v>
      </c>
      <c r="N335">
        <f t="shared" si="82"/>
        <v>-1.0549999999999926</v>
      </c>
      <c r="O335">
        <f>Tabla1[[#This Row],[Initial Risk $]]/Tabla1[[#This Row],[Position Size (shares)]]+Tabla1[[#This Row],[Entry Price]]</f>
        <v>488.38</v>
      </c>
      <c r="P335">
        <f>Tabla1[[#This Row],[Initial Risk $]]/Tabla1[[#This Row],[Position Size (shares)]]*2+Tabla1[[#This Row],[Entry Price]]</f>
        <v>492.38</v>
      </c>
      <c r="Q335">
        <f>Tabla1[[#This Row],[Initial Risk $]]/Tabla1[[#This Row],[Position Size (shares)]]*3+Tabla1[[#This Row],[Entry Price]]</f>
        <v>496.38</v>
      </c>
    </row>
    <row r="336" spans="1:17" hidden="1" x14ac:dyDescent="0.25">
      <c r="A336" t="str">
        <f t="shared" si="83"/>
        <v>T-335</v>
      </c>
      <c r="B336" s="1">
        <v>46185</v>
      </c>
      <c r="C336" t="s">
        <v>164</v>
      </c>
      <c r="D336" t="s">
        <v>28</v>
      </c>
      <c r="E336" t="s">
        <v>58</v>
      </c>
      <c r="F336">
        <v>205.04</v>
      </c>
      <c r="G336">
        <v>204.04</v>
      </c>
      <c r="H336">
        <v>4</v>
      </c>
      <c r="I336">
        <f t="shared" si="84"/>
        <v>4</v>
      </c>
      <c r="J336">
        <v>1</v>
      </c>
      <c r="K336">
        <f t="shared" si="85"/>
        <v>4</v>
      </c>
      <c r="L336" t="s">
        <v>72</v>
      </c>
      <c r="M336">
        <f>SUMIF(Executions!B:B,A336,Executions!H:H)</f>
        <v>-4</v>
      </c>
      <c r="N336">
        <f t="shared" si="82"/>
        <v>-1</v>
      </c>
      <c r="O336">
        <f>Tabla1[[#This Row],[Initial Risk $]]/Tabla1[[#This Row],[Position Size (shares)]]+Tabla1[[#This Row],[Entry Price]]</f>
        <v>206.04</v>
      </c>
      <c r="P336">
        <f>Tabla1[[#This Row],[Initial Risk $]]/Tabla1[[#This Row],[Position Size (shares)]]*2+Tabla1[[#This Row],[Entry Price]]</f>
        <v>207.04</v>
      </c>
      <c r="Q336">
        <f>Tabla1[[#This Row],[Initial Risk $]]/Tabla1[[#This Row],[Position Size (shares)]]*3+Tabla1[[#This Row],[Entry Price]]</f>
        <v>208.04</v>
      </c>
    </row>
    <row r="337" spans="1:17" hidden="1" x14ac:dyDescent="0.25">
      <c r="A337" t="str">
        <f t="shared" si="83"/>
        <v>T-336</v>
      </c>
      <c r="B337" s="1">
        <v>46185</v>
      </c>
      <c r="C337" t="s">
        <v>255</v>
      </c>
      <c r="D337" t="s">
        <v>28</v>
      </c>
      <c r="E337" t="s">
        <v>58</v>
      </c>
      <c r="F337">
        <v>292.83</v>
      </c>
      <c r="G337">
        <v>291.83</v>
      </c>
      <c r="H337">
        <v>3</v>
      </c>
      <c r="I337">
        <f t="shared" si="84"/>
        <v>3</v>
      </c>
      <c r="J337">
        <v>1</v>
      </c>
      <c r="K337">
        <f t="shared" si="85"/>
        <v>3</v>
      </c>
      <c r="L337" t="s">
        <v>72</v>
      </c>
      <c r="M337">
        <f>SUMIF(Executions!B:B,A337,Executions!H:H)</f>
        <v>-2.9700000000000273</v>
      </c>
      <c r="N337">
        <f t="shared" si="82"/>
        <v>-0.99000000000000909</v>
      </c>
      <c r="O337">
        <f>Tabla1[[#This Row],[Initial Risk $]]/Tabla1[[#This Row],[Position Size (shares)]]+Tabla1[[#This Row],[Entry Price]]</f>
        <v>293.83</v>
      </c>
      <c r="P337">
        <f>Tabla1[[#This Row],[Initial Risk $]]/Tabla1[[#This Row],[Position Size (shares)]]*2+Tabla1[[#This Row],[Entry Price]]</f>
        <v>294.83</v>
      </c>
      <c r="Q337">
        <f>Tabla1[[#This Row],[Initial Risk $]]/Tabla1[[#This Row],[Position Size (shares)]]*3+Tabla1[[#This Row],[Entry Price]]</f>
        <v>295.83</v>
      </c>
    </row>
    <row r="338" spans="1:17" hidden="1" x14ac:dyDescent="0.25">
      <c r="A338" t="str">
        <f t="shared" si="83"/>
        <v>T-337</v>
      </c>
      <c r="B338" s="1">
        <v>46185</v>
      </c>
      <c r="C338" t="s">
        <v>533</v>
      </c>
      <c r="D338" t="s">
        <v>28</v>
      </c>
      <c r="E338" t="s">
        <v>51</v>
      </c>
      <c r="F338">
        <v>165.92</v>
      </c>
      <c r="G338">
        <v>161.43</v>
      </c>
      <c r="H338">
        <v>2</v>
      </c>
      <c r="I338">
        <f t="shared" si="84"/>
        <v>8.9799999999999613</v>
      </c>
      <c r="J338">
        <v>1</v>
      </c>
      <c r="K338">
        <f t="shared" si="85"/>
        <v>8.9799999999999613</v>
      </c>
      <c r="L338" t="s">
        <v>72</v>
      </c>
      <c r="M338">
        <f>SUMIF(Executions!B:B,A338,Executions!H:H)</f>
        <v>-8.9799999999999613</v>
      </c>
      <c r="N338">
        <f t="shared" si="82"/>
        <v>-1</v>
      </c>
      <c r="O338">
        <f>Tabla1[[#This Row],[Initial Risk $]]/Tabla1[[#This Row],[Position Size (shares)]]+Tabla1[[#This Row],[Entry Price]]</f>
        <v>170.40999999999997</v>
      </c>
      <c r="P338">
        <f>Tabla1[[#This Row],[Initial Risk $]]/Tabla1[[#This Row],[Position Size (shares)]]*2+Tabla1[[#This Row],[Entry Price]]</f>
        <v>174.89999999999995</v>
      </c>
      <c r="Q338">
        <f>Tabla1[[#This Row],[Initial Risk $]]/Tabla1[[#This Row],[Position Size (shares)]]*3+Tabla1[[#This Row],[Entry Price]]</f>
        <v>179.38999999999993</v>
      </c>
    </row>
    <row r="339" spans="1:17" hidden="1" x14ac:dyDescent="0.25">
      <c r="A339" t="str">
        <f t="shared" ref="A339:A346" si="86">"T-"&amp; TEXT(ROW()-1,"000")</f>
        <v>T-338</v>
      </c>
      <c r="B339" s="1">
        <v>46188</v>
      </c>
      <c r="C339" t="s">
        <v>161</v>
      </c>
      <c r="D339" t="s">
        <v>28</v>
      </c>
      <c r="E339" t="s">
        <v>58</v>
      </c>
      <c r="F339">
        <v>130.11000000000001</v>
      </c>
      <c r="G339">
        <v>128.37</v>
      </c>
      <c r="H339">
        <v>6</v>
      </c>
      <c r="I339">
        <f t="shared" ref="I339:I346" si="87">IF(D339="Long",(F339-G339)*H339,(G339-F339)*0)</f>
        <v>10.440000000000055</v>
      </c>
      <c r="J339">
        <v>1</v>
      </c>
      <c r="K339">
        <f t="shared" ref="K339:K346" si="88">I339*J339</f>
        <v>10.440000000000055</v>
      </c>
      <c r="L339" t="s">
        <v>72</v>
      </c>
      <c r="M339">
        <f>SUMIF(Executions!B:B,A339,Executions!H:H)</f>
        <v>-10.560000000000116</v>
      </c>
      <c r="N339">
        <f t="shared" si="82"/>
        <v>-1.0114942528735691</v>
      </c>
      <c r="O339">
        <f>Tabla1[[#This Row],[Initial Risk $]]/Tabla1[[#This Row],[Position Size (shares)]]+Tabla1[[#This Row],[Entry Price]]</f>
        <v>131.85000000000002</v>
      </c>
      <c r="P339">
        <f>Tabla1[[#This Row],[Initial Risk $]]/Tabla1[[#This Row],[Position Size (shares)]]*2+Tabla1[[#This Row],[Entry Price]]</f>
        <v>133.59000000000003</v>
      </c>
      <c r="Q339">
        <f>Tabla1[[#This Row],[Initial Risk $]]/Tabla1[[#This Row],[Position Size (shares)]]*3+Tabla1[[#This Row],[Entry Price]]</f>
        <v>135.33000000000004</v>
      </c>
    </row>
    <row r="340" spans="1:17" hidden="1" x14ac:dyDescent="0.25">
      <c r="A340" t="str">
        <f t="shared" si="86"/>
        <v>T-339</v>
      </c>
      <c r="B340" s="1">
        <v>46188</v>
      </c>
      <c r="C340" t="s">
        <v>164</v>
      </c>
      <c r="D340" t="s">
        <v>28</v>
      </c>
      <c r="E340" t="s">
        <v>58</v>
      </c>
      <c r="F340">
        <v>210.09</v>
      </c>
      <c r="G340">
        <v>208.09</v>
      </c>
      <c r="H340">
        <v>4</v>
      </c>
      <c r="I340">
        <f t="shared" si="87"/>
        <v>8</v>
      </c>
      <c r="J340">
        <v>1</v>
      </c>
      <c r="K340">
        <f t="shared" si="88"/>
        <v>8</v>
      </c>
      <c r="L340" t="s">
        <v>72</v>
      </c>
      <c r="M340">
        <f>SUMIF(Executions!B:B,A340,Executions!H:H)</f>
        <v>7.5199999999999818</v>
      </c>
      <c r="N340">
        <f t="shared" si="82"/>
        <v>0.93999999999999773</v>
      </c>
      <c r="O340">
        <f>Tabla1[[#This Row],[Initial Risk $]]/Tabla1[[#This Row],[Position Size (shares)]]+Tabla1[[#This Row],[Entry Price]]</f>
        <v>212.09</v>
      </c>
      <c r="P340">
        <f>Tabla1[[#This Row],[Initial Risk $]]/Tabla1[[#This Row],[Position Size (shares)]]*2+Tabla1[[#This Row],[Entry Price]]</f>
        <v>214.09</v>
      </c>
      <c r="Q340">
        <f>Tabla1[[#This Row],[Initial Risk $]]/Tabla1[[#This Row],[Position Size (shares)]]*3+Tabla1[[#This Row],[Entry Price]]</f>
        <v>216.09</v>
      </c>
    </row>
    <row r="341" spans="1:17" hidden="1" x14ac:dyDescent="0.25">
      <c r="A341" t="str">
        <f t="shared" si="86"/>
        <v>T-340</v>
      </c>
      <c r="B341" s="1">
        <v>46188</v>
      </c>
      <c r="C341" t="s">
        <v>417</v>
      </c>
      <c r="D341" t="s">
        <v>28</v>
      </c>
      <c r="E341" t="s">
        <v>58</v>
      </c>
      <c r="F341">
        <v>516.64</v>
      </c>
      <c r="G341">
        <v>511.64</v>
      </c>
      <c r="H341">
        <v>2</v>
      </c>
      <c r="I341">
        <f t="shared" si="87"/>
        <v>10</v>
      </c>
      <c r="J341">
        <v>1</v>
      </c>
      <c r="K341">
        <f t="shared" si="88"/>
        <v>10</v>
      </c>
      <c r="L341" t="s">
        <v>72</v>
      </c>
      <c r="M341">
        <f>SUMIF(Executions!B:B,A341,Executions!H:H)</f>
        <v>11.880000000000109</v>
      </c>
      <c r="N341">
        <f t="shared" si="82"/>
        <v>1.1880000000000108</v>
      </c>
      <c r="O341">
        <f>Tabla1[[#This Row],[Initial Risk $]]/Tabla1[[#This Row],[Position Size (shares)]]+Tabla1[[#This Row],[Entry Price]]</f>
        <v>521.64</v>
      </c>
      <c r="P341">
        <f>Tabla1[[#This Row],[Initial Risk $]]/Tabla1[[#This Row],[Position Size (shares)]]*2+Tabla1[[#This Row],[Entry Price]]</f>
        <v>526.64</v>
      </c>
      <c r="Q341">
        <f>Tabla1[[#This Row],[Initial Risk $]]/Tabla1[[#This Row],[Position Size (shares)]]*3+Tabla1[[#This Row],[Entry Price]]</f>
        <v>531.64</v>
      </c>
    </row>
    <row r="342" spans="1:17" hidden="1" x14ac:dyDescent="0.25">
      <c r="A342" t="str">
        <f t="shared" si="86"/>
        <v>T-341</v>
      </c>
      <c r="B342" s="1">
        <v>46188</v>
      </c>
      <c r="C342" t="s">
        <v>539</v>
      </c>
      <c r="D342" t="s">
        <v>28</v>
      </c>
      <c r="E342" t="s">
        <v>58</v>
      </c>
      <c r="F342">
        <v>490.74</v>
      </c>
      <c r="G342">
        <v>488.74</v>
      </c>
      <c r="H342">
        <v>2</v>
      </c>
      <c r="I342">
        <f t="shared" si="87"/>
        <v>4</v>
      </c>
      <c r="J342">
        <v>1</v>
      </c>
      <c r="K342">
        <f t="shared" si="88"/>
        <v>4</v>
      </c>
      <c r="L342" t="s">
        <v>72</v>
      </c>
      <c r="M342">
        <f>SUMIF(Executions!B:B,A342,Executions!H:H)</f>
        <v>-4.1399999999999864</v>
      </c>
      <c r="N342">
        <f t="shared" si="82"/>
        <v>-1.0349999999999966</v>
      </c>
      <c r="O342">
        <f>Tabla1[[#This Row],[Initial Risk $]]/Tabla1[[#This Row],[Position Size (shares)]]+Tabla1[[#This Row],[Entry Price]]</f>
        <v>492.74</v>
      </c>
      <c r="P342">
        <f>Tabla1[[#This Row],[Initial Risk $]]/Tabla1[[#This Row],[Position Size (shares)]]*2+Tabla1[[#This Row],[Entry Price]]</f>
        <v>494.74</v>
      </c>
      <c r="Q342">
        <f>Tabla1[[#This Row],[Initial Risk $]]/Tabla1[[#This Row],[Position Size (shares)]]*3+Tabla1[[#This Row],[Entry Price]]</f>
        <v>496.74</v>
      </c>
    </row>
    <row r="343" spans="1:17" hidden="1" x14ac:dyDescent="0.25">
      <c r="A343" t="str">
        <f t="shared" si="86"/>
        <v>T-342</v>
      </c>
      <c r="B343" s="1">
        <v>46188</v>
      </c>
      <c r="C343" t="s">
        <v>533</v>
      </c>
      <c r="D343" t="s">
        <v>28</v>
      </c>
      <c r="E343" t="s">
        <v>58</v>
      </c>
      <c r="F343">
        <v>174.03</v>
      </c>
      <c r="G343">
        <v>171.53</v>
      </c>
      <c r="H343">
        <v>4</v>
      </c>
      <c r="I343">
        <f t="shared" si="87"/>
        <v>10</v>
      </c>
      <c r="J343">
        <v>1</v>
      </c>
      <c r="K343">
        <f t="shared" si="88"/>
        <v>10</v>
      </c>
      <c r="L343" t="s">
        <v>72</v>
      </c>
      <c r="M343">
        <f>SUMIF(Executions!B:B,A343,Executions!H:H)</f>
        <v>-10.440000000000055</v>
      </c>
      <c r="N343">
        <f t="shared" si="82"/>
        <v>-1.0440000000000054</v>
      </c>
      <c r="O343">
        <f>Tabla1[[#This Row],[Initial Risk $]]/Tabla1[[#This Row],[Position Size (shares)]]+Tabla1[[#This Row],[Entry Price]]</f>
        <v>176.53</v>
      </c>
      <c r="P343">
        <f>Tabla1[[#This Row],[Initial Risk $]]/Tabla1[[#This Row],[Position Size (shares)]]*2+Tabla1[[#This Row],[Entry Price]]</f>
        <v>179.03</v>
      </c>
      <c r="Q343">
        <f>Tabla1[[#This Row],[Initial Risk $]]/Tabla1[[#This Row],[Position Size (shares)]]*3+Tabla1[[#This Row],[Entry Price]]</f>
        <v>181.53</v>
      </c>
    </row>
    <row r="344" spans="1:17" hidden="1" x14ac:dyDescent="0.25">
      <c r="A344" t="str">
        <f t="shared" si="86"/>
        <v>T-343</v>
      </c>
      <c r="B344" s="1">
        <v>46188</v>
      </c>
      <c r="C344" t="s">
        <v>130</v>
      </c>
      <c r="D344" t="s">
        <v>28</v>
      </c>
      <c r="E344" t="s">
        <v>119</v>
      </c>
      <c r="F344">
        <v>553.4</v>
      </c>
      <c r="G344">
        <v>548.4</v>
      </c>
      <c r="H344">
        <v>2</v>
      </c>
      <c r="I344">
        <f t="shared" si="87"/>
        <v>10</v>
      </c>
      <c r="J344">
        <v>1</v>
      </c>
      <c r="K344">
        <f t="shared" si="88"/>
        <v>10</v>
      </c>
      <c r="L344" t="s">
        <v>72</v>
      </c>
      <c r="M344">
        <f>SUMIF(Executions!B:B,A344,Executions!H:H)</f>
        <v>-10.779999999999973</v>
      </c>
      <c r="N344">
        <f t="shared" si="82"/>
        <v>-1.0779999999999972</v>
      </c>
      <c r="O344">
        <f>Tabla1[[#This Row],[Initial Risk $]]/Tabla1[[#This Row],[Position Size (shares)]]+Tabla1[[#This Row],[Entry Price]]</f>
        <v>558.4</v>
      </c>
      <c r="P344">
        <f>Tabla1[[#This Row],[Initial Risk $]]/Tabla1[[#This Row],[Position Size (shares)]]*2+Tabla1[[#This Row],[Entry Price]]</f>
        <v>563.4</v>
      </c>
      <c r="Q344">
        <f>Tabla1[[#This Row],[Initial Risk $]]/Tabla1[[#This Row],[Position Size (shares)]]*3+Tabla1[[#This Row],[Entry Price]]</f>
        <v>568.4</v>
      </c>
    </row>
    <row r="345" spans="1:17" hidden="1" x14ac:dyDescent="0.25">
      <c r="A345" t="str">
        <f t="shared" si="86"/>
        <v>T-344</v>
      </c>
      <c r="B345" s="1">
        <v>46188</v>
      </c>
      <c r="C345" t="s">
        <v>161</v>
      </c>
      <c r="D345" t="s">
        <v>28</v>
      </c>
      <c r="E345" t="s">
        <v>119</v>
      </c>
      <c r="F345">
        <v>128.4</v>
      </c>
      <c r="G345">
        <v>127.01</v>
      </c>
      <c r="H345">
        <v>8</v>
      </c>
      <c r="I345">
        <f t="shared" si="87"/>
        <v>11.120000000000005</v>
      </c>
      <c r="J345">
        <v>1</v>
      </c>
      <c r="K345">
        <f t="shared" si="88"/>
        <v>11.120000000000005</v>
      </c>
      <c r="L345" t="s">
        <v>72</v>
      </c>
      <c r="M345">
        <f>SUMIF(Executions!B:B,A345,Executions!H:H)</f>
        <v>-11.520000000000095</v>
      </c>
      <c r="N345">
        <f t="shared" si="82"/>
        <v>-1.0359712230215909</v>
      </c>
      <c r="O345">
        <f>Tabla1[[#This Row],[Initial Risk $]]/Tabla1[[#This Row],[Position Size (shares)]]+Tabla1[[#This Row],[Entry Price]]</f>
        <v>129.79000000000002</v>
      </c>
      <c r="P345">
        <f>Tabla1[[#This Row],[Initial Risk $]]/Tabla1[[#This Row],[Position Size (shares)]]*2+Tabla1[[#This Row],[Entry Price]]</f>
        <v>131.18</v>
      </c>
      <c r="Q345">
        <f>Tabla1[[#This Row],[Initial Risk $]]/Tabla1[[#This Row],[Position Size (shares)]]*3+Tabla1[[#This Row],[Entry Price]]</f>
        <v>132.57</v>
      </c>
    </row>
    <row r="346" spans="1:17" hidden="1" x14ac:dyDescent="0.25">
      <c r="A346" t="str">
        <f t="shared" si="86"/>
        <v>T-345</v>
      </c>
      <c r="B346" s="1">
        <v>46188</v>
      </c>
      <c r="C346" t="s">
        <v>233</v>
      </c>
      <c r="D346" t="s">
        <v>28</v>
      </c>
      <c r="E346" t="s">
        <v>119</v>
      </c>
      <c r="F346">
        <v>398.05</v>
      </c>
      <c r="G346">
        <v>392.05</v>
      </c>
      <c r="H346">
        <v>2</v>
      </c>
      <c r="I346">
        <f t="shared" si="87"/>
        <v>12</v>
      </c>
      <c r="J346">
        <v>1</v>
      </c>
      <c r="K346">
        <f t="shared" si="88"/>
        <v>12</v>
      </c>
      <c r="L346" t="s">
        <v>72</v>
      </c>
      <c r="M346">
        <f>SUMIF(Executions!B:B,A346,Executions!H:H)</f>
        <v>-11.960000000000036</v>
      </c>
      <c r="N346">
        <f t="shared" si="82"/>
        <v>-0.9966666666666697</v>
      </c>
      <c r="O346">
        <f>Tabla1[[#This Row],[Initial Risk $]]/Tabla1[[#This Row],[Position Size (shares)]]+Tabla1[[#This Row],[Entry Price]]</f>
        <v>404.05</v>
      </c>
      <c r="P346">
        <f>Tabla1[[#This Row],[Initial Risk $]]/Tabla1[[#This Row],[Position Size (shares)]]*2+Tabla1[[#This Row],[Entry Price]]</f>
        <v>410.05</v>
      </c>
      <c r="Q346">
        <f>Tabla1[[#This Row],[Initial Risk $]]/Tabla1[[#This Row],[Position Size (shares)]]*3+Tabla1[[#This Row],[Entry Price]]</f>
        <v>416.05</v>
      </c>
    </row>
    <row r="347" spans="1:17" hidden="1" x14ac:dyDescent="0.25">
      <c r="A347" t="str">
        <f t="shared" ref="A347:A353" si="89">"T-"&amp; TEXT(ROW()-1,"000")</f>
        <v>T-346</v>
      </c>
      <c r="B347" s="1">
        <v>46189</v>
      </c>
      <c r="C347" t="s">
        <v>550</v>
      </c>
      <c r="D347" t="s">
        <v>28</v>
      </c>
      <c r="E347" t="s">
        <v>58</v>
      </c>
      <c r="F347">
        <v>73.510000000000005</v>
      </c>
      <c r="G347">
        <v>73.069999999999993</v>
      </c>
      <c r="H347">
        <v>20</v>
      </c>
      <c r="I347">
        <f t="shared" ref="I347:I353" si="90">IF(D347="Long",(F347-G347)*H347,(G347-F347)*0)</f>
        <v>8.8000000000002387</v>
      </c>
      <c r="J347">
        <v>1</v>
      </c>
      <c r="K347">
        <f t="shared" ref="K347:K353" si="91">I347*J347</f>
        <v>8.8000000000002387</v>
      </c>
      <c r="L347" t="s">
        <v>72</v>
      </c>
      <c r="M347">
        <f>SUMIF(Executions!B:B,A347,Executions!H:H)</f>
        <v>31.999999999999886</v>
      </c>
      <c r="N347">
        <f t="shared" ref="N347:N353" si="92">M347/I347</f>
        <v>3.6363636363635248</v>
      </c>
      <c r="O347">
        <f>Tabla1[[#This Row],[Initial Risk $]]/Tabla1[[#This Row],[Position Size (shares)]]+Tabla1[[#This Row],[Entry Price]]</f>
        <v>73.950000000000017</v>
      </c>
      <c r="P347">
        <f>Tabla1[[#This Row],[Initial Risk $]]/Tabla1[[#This Row],[Position Size (shares)]]*2+Tabla1[[#This Row],[Entry Price]]</f>
        <v>74.390000000000029</v>
      </c>
      <c r="Q347" s="4">
        <f>Tabla1[[#This Row],[Initial Risk $]]/Tabla1[[#This Row],[Position Size (shares)]]*3+Tabla1[[#This Row],[Entry Price]]</f>
        <v>74.830000000000041</v>
      </c>
    </row>
    <row r="348" spans="1:17" hidden="1" x14ac:dyDescent="0.25">
      <c r="A348" t="str">
        <f t="shared" si="89"/>
        <v>T-347</v>
      </c>
      <c r="B348" s="1">
        <v>46189</v>
      </c>
      <c r="C348" t="s">
        <v>173</v>
      </c>
      <c r="D348" t="s">
        <v>28</v>
      </c>
      <c r="E348" t="s">
        <v>58</v>
      </c>
      <c r="F348">
        <v>132.91999999999999</v>
      </c>
      <c r="G348">
        <v>132.32</v>
      </c>
      <c r="H348">
        <v>7</v>
      </c>
      <c r="I348">
        <f t="shared" si="90"/>
        <v>4.1999999999999602</v>
      </c>
      <c r="J348">
        <v>1</v>
      </c>
      <c r="K348">
        <f t="shared" si="91"/>
        <v>4.1999999999999602</v>
      </c>
      <c r="L348" t="s">
        <v>72</v>
      </c>
      <c r="M348">
        <f>SUMIF(Executions!B:B,A348,Executions!H:H)</f>
        <v>-5.1099999999999284</v>
      </c>
      <c r="N348">
        <f t="shared" si="92"/>
        <v>-1.2166666666666612</v>
      </c>
      <c r="O348">
        <f>Tabla1[[#This Row],[Initial Risk $]]/Tabla1[[#This Row],[Position Size (shares)]]+Tabla1[[#This Row],[Entry Price]]</f>
        <v>133.51999999999998</v>
      </c>
      <c r="P348">
        <f>Tabla1[[#This Row],[Initial Risk $]]/Tabla1[[#This Row],[Position Size (shares)]]*2+Tabla1[[#This Row],[Entry Price]]</f>
        <v>134.11999999999998</v>
      </c>
      <c r="Q348" s="4">
        <f>Tabla1[[#This Row],[Initial Risk $]]/Tabla1[[#This Row],[Position Size (shares)]]*3+Tabla1[[#This Row],[Entry Price]]</f>
        <v>134.71999999999997</v>
      </c>
    </row>
    <row r="349" spans="1:17" hidden="1" x14ac:dyDescent="0.25">
      <c r="A349" t="str">
        <f t="shared" si="89"/>
        <v>T-348</v>
      </c>
      <c r="B349" s="1">
        <v>46189</v>
      </c>
      <c r="C349" t="s">
        <v>164</v>
      </c>
      <c r="D349" t="s">
        <v>28</v>
      </c>
      <c r="E349" t="s">
        <v>119</v>
      </c>
      <c r="F349">
        <v>209.61</v>
      </c>
      <c r="G349">
        <v>208.61</v>
      </c>
      <c r="H349">
        <v>4</v>
      </c>
      <c r="I349">
        <f t="shared" si="90"/>
        <v>4</v>
      </c>
      <c r="J349">
        <v>1</v>
      </c>
      <c r="K349">
        <f t="shared" si="91"/>
        <v>4</v>
      </c>
      <c r="L349" t="s">
        <v>72</v>
      </c>
      <c r="M349">
        <f>SUMIF(Executions!B:B,A349,Executions!H:H)</f>
        <v>-4.0400000000000773</v>
      </c>
      <c r="N349">
        <f t="shared" si="92"/>
        <v>-1.0100000000000193</v>
      </c>
      <c r="O349">
        <f>Tabla1[[#This Row],[Initial Risk $]]/Tabla1[[#This Row],[Position Size (shares)]]+Tabla1[[#This Row],[Entry Price]]</f>
        <v>210.61</v>
      </c>
      <c r="P349">
        <f>Tabla1[[#This Row],[Initial Risk $]]/Tabla1[[#This Row],[Position Size (shares)]]*2+Tabla1[[#This Row],[Entry Price]]</f>
        <v>211.61</v>
      </c>
      <c r="Q349" s="4">
        <f>Tabla1[[#This Row],[Initial Risk $]]/Tabla1[[#This Row],[Position Size (shares)]]*3+Tabla1[[#This Row],[Entry Price]]</f>
        <v>212.61</v>
      </c>
    </row>
    <row r="350" spans="1:17" hidden="1" x14ac:dyDescent="0.25">
      <c r="A350" t="str">
        <f t="shared" si="89"/>
        <v>T-349</v>
      </c>
      <c r="B350" s="1">
        <v>46189</v>
      </c>
      <c r="C350" t="s">
        <v>135</v>
      </c>
      <c r="D350" t="s">
        <v>28</v>
      </c>
      <c r="E350" t="s">
        <v>58</v>
      </c>
      <c r="F350">
        <v>422.39</v>
      </c>
      <c r="G350">
        <v>418.39</v>
      </c>
      <c r="H350">
        <v>2</v>
      </c>
      <c r="I350">
        <f t="shared" si="90"/>
        <v>8</v>
      </c>
      <c r="J350">
        <v>1</v>
      </c>
      <c r="K350">
        <f t="shared" si="91"/>
        <v>8</v>
      </c>
      <c r="L350" t="s">
        <v>72</v>
      </c>
      <c r="M350">
        <f>SUMIF(Executions!B:B,A350,Executions!H:H)</f>
        <v>-7.6599999999999682</v>
      </c>
      <c r="N350">
        <f t="shared" si="92"/>
        <v>-0.95749999999999602</v>
      </c>
      <c r="O350">
        <f>Tabla1[[#This Row],[Initial Risk $]]/Tabla1[[#This Row],[Position Size (shares)]]+Tabla1[[#This Row],[Entry Price]]</f>
        <v>426.39</v>
      </c>
      <c r="P350">
        <f>Tabla1[[#This Row],[Initial Risk $]]/Tabla1[[#This Row],[Position Size (shares)]]*2+Tabla1[[#This Row],[Entry Price]]</f>
        <v>430.39</v>
      </c>
      <c r="Q350" s="4">
        <f>Tabla1[[#This Row],[Initial Risk $]]/Tabla1[[#This Row],[Position Size (shares)]]*3+Tabla1[[#This Row],[Entry Price]]</f>
        <v>434.39</v>
      </c>
    </row>
    <row r="351" spans="1:17" hidden="1" x14ac:dyDescent="0.25">
      <c r="A351" t="str">
        <f t="shared" si="89"/>
        <v>T-350</v>
      </c>
      <c r="B351" s="1">
        <v>46189</v>
      </c>
      <c r="C351" t="s">
        <v>554</v>
      </c>
      <c r="D351" t="s">
        <v>28</v>
      </c>
      <c r="E351" t="s">
        <v>119</v>
      </c>
      <c r="F351">
        <v>705.67</v>
      </c>
      <c r="G351">
        <v>700.67</v>
      </c>
      <c r="H351">
        <v>2</v>
      </c>
      <c r="I351">
        <f t="shared" si="90"/>
        <v>10</v>
      </c>
      <c r="J351">
        <v>1</v>
      </c>
      <c r="K351">
        <f t="shared" si="91"/>
        <v>10</v>
      </c>
      <c r="L351" t="s">
        <v>72</v>
      </c>
      <c r="M351">
        <f>SUMIF(Executions!B:B,A351,Executions!H:H)</f>
        <v>-13.179999999999836</v>
      </c>
      <c r="N351">
        <f t="shared" si="92"/>
        <v>-1.3179999999999836</v>
      </c>
      <c r="O351">
        <f>Tabla1[[#This Row],[Initial Risk $]]/Tabla1[[#This Row],[Position Size (shares)]]+Tabla1[[#This Row],[Entry Price]]</f>
        <v>710.67</v>
      </c>
      <c r="P351">
        <f>Tabla1[[#This Row],[Initial Risk $]]/Tabla1[[#This Row],[Position Size (shares)]]*2+Tabla1[[#This Row],[Entry Price]]</f>
        <v>715.67</v>
      </c>
      <c r="Q351" s="4">
        <f>Tabla1[[#This Row],[Initial Risk $]]/Tabla1[[#This Row],[Position Size (shares)]]*3+Tabla1[[#This Row],[Entry Price]]</f>
        <v>720.67</v>
      </c>
    </row>
    <row r="352" spans="1:17" hidden="1" x14ac:dyDescent="0.25">
      <c r="A352" t="str">
        <f t="shared" si="89"/>
        <v>T-351</v>
      </c>
      <c r="B352" s="1">
        <v>46189</v>
      </c>
      <c r="C352" t="s">
        <v>557</v>
      </c>
      <c r="D352" t="s">
        <v>28</v>
      </c>
      <c r="E352" t="s">
        <v>119</v>
      </c>
      <c r="F352">
        <v>73.64</v>
      </c>
      <c r="G352">
        <v>73.290000000000006</v>
      </c>
      <c r="H352">
        <v>7</v>
      </c>
      <c r="I352">
        <f t="shared" si="90"/>
        <v>2.4499999999999602</v>
      </c>
      <c r="J352">
        <v>1</v>
      </c>
      <c r="K352">
        <f t="shared" si="91"/>
        <v>2.4499999999999602</v>
      </c>
      <c r="L352" t="s">
        <v>72</v>
      </c>
      <c r="M352">
        <f>SUMIF(Executions!B:B,A352,Executions!H:H)</f>
        <v>-2.5900000000000318</v>
      </c>
      <c r="N352">
        <f t="shared" si="92"/>
        <v>-1.0571428571428874</v>
      </c>
      <c r="O352">
        <f>Tabla1[[#This Row],[Initial Risk $]]/Tabla1[[#This Row],[Position Size (shares)]]+Tabla1[[#This Row],[Entry Price]]</f>
        <v>73.989999999999995</v>
      </c>
      <c r="P352">
        <f>Tabla1[[#This Row],[Initial Risk $]]/Tabla1[[#This Row],[Position Size (shares)]]*2+Tabla1[[#This Row],[Entry Price]]</f>
        <v>74.339999999999989</v>
      </c>
      <c r="Q352" s="4">
        <f>Tabla1[[#This Row],[Initial Risk $]]/Tabla1[[#This Row],[Position Size (shares)]]*3+Tabla1[[#This Row],[Entry Price]]</f>
        <v>74.689999999999984</v>
      </c>
    </row>
    <row r="353" spans="1:17" hidden="1" x14ac:dyDescent="0.25">
      <c r="A353" t="str">
        <f t="shared" si="89"/>
        <v>T-352</v>
      </c>
      <c r="B353" s="1">
        <v>46189</v>
      </c>
      <c r="C353" t="s">
        <v>207</v>
      </c>
      <c r="D353" t="s">
        <v>28</v>
      </c>
      <c r="E353" t="s">
        <v>119</v>
      </c>
      <c r="F353">
        <v>29.97</v>
      </c>
      <c r="G353">
        <v>28.57</v>
      </c>
      <c r="H353">
        <v>3</v>
      </c>
      <c r="I353">
        <f t="shared" si="90"/>
        <v>4.1999999999999957</v>
      </c>
      <c r="J353">
        <v>1</v>
      </c>
      <c r="K353">
        <f t="shared" si="91"/>
        <v>4.1999999999999957</v>
      </c>
      <c r="L353" t="s">
        <v>72</v>
      </c>
      <c r="M353">
        <f>SUMIF(Executions!B:B,A353,Executions!H:H)</f>
        <v>-4.1999999999999957</v>
      </c>
      <c r="N353">
        <f t="shared" si="92"/>
        <v>-1</v>
      </c>
      <c r="O353">
        <f>Tabla1[[#This Row],[Initial Risk $]]/Tabla1[[#This Row],[Position Size (shares)]]+Tabla1[[#This Row],[Entry Price]]</f>
        <v>31.369999999999997</v>
      </c>
      <c r="P353">
        <f>Tabla1[[#This Row],[Initial Risk $]]/Tabla1[[#This Row],[Position Size (shares)]]*2+Tabla1[[#This Row],[Entry Price]]</f>
        <v>32.769999999999996</v>
      </c>
      <c r="Q353" s="4">
        <f>Tabla1[[#This Row],[Initial Risk $]]/Tabla1[[#This Row],[Position Size (shares)]]*3+Tabla1[[#This Row],[Entry Price]]</f>
        <v>34.169999999999995</v>
      </c>
    </row>
    <row r="354" spans="1:17" hidden="1" x14ac:dyDescent="0.25">
      <c r="A354" t="str">
        <f t="shared" ref="A354:A362" si="93">"T-"&amp; TEXT(ROW()-1,"000")</f>
        <v>T-353</v>
      </c>
      <c r="B354" s="1">
        <v>46190</v>
      </c>
      <c r="C354" t="s">
        <v>560</v>
      </c>
      <c r="D354" t="s">
        <v>28</v>
      </c>
      <c r="E354" t="s">
        <v>58</v>
      </c>
      <c r="F354">
        <v>68.67</v>
      </c>
      <c r="G354">
        <v>68.44</v>
      </c>
      <c r="H354">
        <v>15</v>
      </c>
      <c r="I354">
        <f t="shared" ref="I354:I362" si="94">IF(D354="Long",(F354-G354)*H354,(G354-F354)*0)</f>
        <v>3.4500000000000597</v>
      </c>
      <c r="J354">
        <v>1</v>
      </c>
      <c r="K354">
        <f t="shared" ref="K354:K362" si="95">I354*J354</f>
        <v>3.4500000000000597</v>
      </c>
      <c r="L354" t="s">
        <v>72</v>
      </c>
      <c r="M354">
        <f>SUMIF(Executions!B:B,A354,Executions!H:H)</f>
        <v>-3.4500000000000597</v>
      </c>
      <c r="N354">
        <f t="shared" ref="N354:N362" si="96">M354/I354</f>
        <v>-1</v>
      </c>
      <c r="O354">
        <f>Tabla1[[#This Row],[Initial Risk $]]/Tabla1[[#This Row],[Position Size (shares)]]+Tabla1[[#This Row],[Entry Price]]</f>
        <v>68.900000000000006</v>
      </c>
      <c r="P354">
        <f>Tabla1[[#This Row],[Initial Risk $]]/Tabla1[[#This Row],[Position Size (shares)]]*2+Tabla1[[#This Row],[Entry Price]]</f>
        <v>69.13000000000001</v>
      </c>
      <c r="Q354" s="4">
        <f>Tabla1[[#This Row],[Initial Risk $]]/Tabla1[[#This Row],[Position Size (shares)]]*3+Tabla1[[#This Row],[Entry Price]]</f>
        <v>69.360000000000014</v>
      </c>
    </row>
    <row r="355" spans="1:17" hidden="1" x14ac:dyDescent="0.25">
      <c r="A355" t="str">
        <f t="shared" si="93"/>
        <v>T-354</v>
      </c>
      <c r="B355" s="1">
        <v>46190</v>
      </c>
      <c r="C355" t="s">
        <v>550</v>
      </c>
      <c r="D355" t="s">
        <v>28</v>
      </c>
      <c r="E355" t="s">
        <v>58</v>
      </c>
      <c r="F355">
        <v>74.8</v>
      </c>
      <c r="G355">
        <v>74.319999999999993</v>
      </c>
      <c r="H355">
        <v>15</v>
      </c>
      <c r="I355">
        <f t="shared" si="94"/>
        <v>7.2000000000000597</v>
      </c>
      <c r="J355">
        <v>1</v>
      </c>
      <c r="K355">
        <f t="shared" si="95"/>
        <v>7.2000000000000597</v>
      </c>
      <c r="L355" t="s">
        <v>72</v>
      </c>
      <c r="M355">
        <f>SUMIF(Executions!B:B,A355,Executions!H:H)</f>
        <v>25.799999999999983</v>
      </c>
      <c r="N355">
        <f t="shared" si="96"/>
        <v>3.5833333333333011</v>
      </c>
      <c r="O355">
        <f>Tabla1[[#This Row],[Initial Risk $]]/Tabla1[[#This Row],[Position Size (shares)]]+Tabla1[[#This Row],[Entry Price]]</f>
        <v>75.28</v>
      </c>
      <c r="P355">
        <f>Tabla1[[#This Row],[Initial Risk $]]/Tabla1[[#This Row],[Position Size (shares)]]*2+Tabla1[[#This Row],[Entry Price]]</f>
        <v>75.760000000000005</v>
      </c>
      <c r="Q355" s="4">
        <f>Tabla1[[#This Row],[Initial Risk $]]/Tabla1[[#This Row],[Position Size (shares)]]*3+Tabla1[[#This Row],[Entry Price]]</f>
        <v>76.240000000000009</v>
      </c>
    </row>
    <row r="356" spans="1:17" hidden="1" x14ac:dyDescent="0.25">
      <c r="A356" t="str">
        <f t="shared" si="93"/>
        <v>T-355</v>
      </c>
      <c r="B356" s="1">
        <v>46190</v>
      </c>
      <c r="C356" t="s">
        <v>561</v>
      </c>
      <c r="D356" t="s">
        <v>28</v>
      </c>
      <c r="E356" t="s">
        <v>58</v>
      </c>
      <c r="F356">
        <v>141.46</v>
      </c>
      <c r="G356">
        <v>140.46</v>
      </c>
      <c r="H356">
        <v>5</v>
      </c>
      <c r="I356">
        <f t="shared" si="94"/>
        <v>5</v>
      </c>
      <c r="J356">
        <v>1</v>
      </c>
      <c r="K356">
        <f t="shared" si="95"/>
        <v>5</v>
      </c>
      <c r="L356" t="s">
        <v>72</v>
      </c>
      <c r="M356">
        <f>SUMIF(Executions!B:B,A356,Executions!H:H)</f>
        <v>5.8499999999999375</v>
      </c>
      <c r="N356">
        <f t="shared" si="96"/>
        <v>1.1699999999999875</v>
      </c>
      <c r="O356">
        <f>Tabla1[[#This Row],[Initial Risk $]]/Tabla1[[#This Row],[Position Size (shares)]]+Tabla1[[#This Row],[Entry Price]]</f>
        <v>142.46</v>
      </c>
      <c r="P356">
        <f>Tabla1[[#This Row],[Initial Risk $]]/Tabla1[[#This Row],[Position Size (shares)]]*2+Tabla1[[#This Row],[Entry Price]]</f>
        <v>143.46</v>
      </c>
      <c r="Q356" s="4">
        <f>Tabla1[[#This Row],[Initial Risk $]]/Tabla1[[#This Row],[Position Size (shares)]]*3+Tabla1[[#This Row],[Entry Price]]</f>
        <v>144.46</v>
      </c>
    </row>
    <row r="357" spans="1:17" hidden="1" x14ac:dyDescent="0.25">
      <c r="A357" t="str">
        <f t="shared" si="93"/>
        <v>T-356</v>
      </c>
      <c r="B357" s="1">
        <v>46190</v>
      </c>
      <c r="C357" t="s">
        <v>564</v>
      </c>
      <c r="D357" t="s">
        <v>28</v>
      </c>
      <c r="E357" t="s">
        <v>58</v>
      </c>
      <c r="F357">
        <v>19.46</v>
      </c>
      <c r="G357">
        <v>19.260000000000002</v>
      </c>
      <c r="H357">
        <v>30</v>
      </c>
      <c r="I357">
        <f t="shared" si="94"/>
        <v>5.9999999999999787</v>
      </c>
      <c r="J357">
        <v>1</v>
      </c>
      <c r="K357">
        <f t="shared" si="95"/>
        <v>5.9999999999999787</v>
      </c>
      <c r="L357" t="s">
        <v>72</v>
      </c>
      <c r="M357">
        <f>SUMIF(Executions!B:B,A357,Executions!H:H)</f>
        <v>-6.3000000000000256</v>
      </c>
      <c r="N357">
        <f t="shared" si="96"/>
        <v>-1.050000000000008</v>
      </c>
      <c r="O357">
        <f>Tabla1[[#This Row],[Initial Risk $]]/Tabla1[[#This Row],[Position Size (shares)]]+Tabla1[[#This Row],[Entry Price]]</f>
        <v>19.66</v>
      </c>
      <c r="P357">
        <f>Tabla1[[#This Row],[Initial Risk $]]/Tabla1[[#This Row],[Position Size (shares)]]*2+Tabla1[[#This Row],[Entry Price]]</f>
        <v>19.86</v>
      </c>
      <c r="Q357" s="4">
        <f>Tabla1[[#This Row],[Initial Risk $]]/Tabla1[[#This Row],[Position Size (shares)]]*3+Tabla1[[#This Row],[Entry Price]]</f>
        <v>20.059999999999999</v>
      </c>
    </row>
    <row r="358" spans="1:17" hidden="1" x14ac:dyDescent="0.25">
      <c r="A358" t="str">
        <f t="shared" si="93"/>
        <v>T-357</v>
      </c>
      <c r="B358" s="1">
        <v>46190</v>
      </c>
      <c r="C358" t="s">
        <v>161</v>
      </c>
      <c r="D358" t="s">
        <v>28</v>
      </c>
      <c r="E358" t="s">
        <v>58</v>
      </c>
      <c r="F358">
        <v>119.62</v>
      </c>
      <c r="G358">
        <v>119.05</v>
      </c>
      <c r="H358">
        <v>8</v>
      </c>
      <c r="I358">
        <f t="shared" si="94"/>
        <v>4.5600000000000591</v>
      </c>
      <c r="J358">
        <v>1</v>
      </c>
      <c r="K358">
        <f t="shared" si="95"/>
        <v>4.5600000000000591</v>
      </c>
      <c r="L358" t="s">
        <v>72</v>
      </c>
      <c r="M358">
        <f>SUMIF(Executions!B:B,A358,Executions!H:H)</f>
        <v>13.839999999999918</v>
      </c>
      <c r="N358">
        <f t="shared" si="96"/>
        <v>3.0350877192981884</v>
      </c>
      <c r="O358">
        <f>Tabla1[[#This Row],[Initial Risk $]]/Tabla1[[#This Row],[Position Size (shares)]]+Tabla1[[#This Row],[Entry Price]]</f>
        <v>120.19000000000001</v>
      </c>
      <c r="P358">
        <f>Tabla1[[#This Row],[Initial Risk $]]/Tabla1[[#This Row],[Position Size (shares)]]*2+Tabla1[[#This Row],[Entry Price]]</f>
        <v>120.76000000000002</v>
      </c>
      <c r="Q358" s="4">
        <f>Tabla1[[#This Row],[Initial Risk $]]/Tabla1[[#This Row],[Position Size (shares)]]*3+Tabla1[[#This Row],[Entry Price]]</f>
        <v>121.33000000000003</v>
      </c>
    </row>
    <row r="359" spans="1:17" hidden="1" x14ac:dyDescent="0.25">
      <c r="A359" t="str">
        <f t="shared" si="93"/>
        <v>T-358</v>
      </c>
      <c r="B359" s="1">
        <v>46190</v>
      </c>
      <c r="C359" t="s">
        <v>567</v>
      </c>
      <c r="D359" t="s">
        <v>28</v>
      </c>
      <c r="E359" t="s">
        <v>119</v>
      </c>
      <c r="F359">
        <v>86.32</v>
      </c>
      <c r="G359">
        <v>85.82</v>
      </c>
      <c r="H359">
        <v>10</v>
      </c>
      <c r="I359">
        <f t="shared" si="94"/>
        <v>5</v>
      </c>
      <c r="J359">
        <v>1</v>
      </c>
      <c r="K359">
        <f t="shared" si="95"/>
        <v>5</v>
      </c>
      <c r="L359" t="s">
        <v>72</v>
      </c>
      <c r="M359">
        <f>SUMIF(Executions!B:B,A359,Executions!H:H)</f>
        <v>-5</v>
      </c>
      <c r="N359">
        <f t="shared" si="96"/>
        <v>-1</v>
      </c>
      <c r="O359">
        <f>Tabla1[[#This Row],[Initial Risk $]]/Tabla1[[#This Row],[Position Size (shares)]]+Tabla1[[#This Row],[Entry Price]]</f>
        <v>86.82</v>
      </c>
      <c r="P359">
        <f>Tabla1[[#This Row],[Initial Risk $]]/Tabla1[[#This Row],[Position Size (shares)]]*2+Tabla1[[#This Row],[Entry Price]]</f>
        <v>87.32</v>
      </c>
      <c r="Q359" s="4">
        <f>Tabla1[[#This Row],[Initial Risk $]]/Tabla1[[#This Row],[Position Size (shares)]]*3+Tabla1[[#This Row],[Entry Price]]</f>
        <v>87.82</v>
      </c>
    </row>
    <row r="360" spans="1:17" hidden="1" x14ac:dyDescent="0.25">
      <c r="A360" t="str">
        <f t="shared" si="93"/>
        <v>T-359</v>
      </c>
      <c r="B360" s="1">
        <v>46190</v>
      </c>
      <c r="C360" t="s">
        <v>550</v>
      </c>
      <c r="D360" t="s">
        <v>28</v>
      </c>
      <c r="E360" t="s">
        <v>119</v>
      </c>
      <c r="F360">
        <v>75.53</v>
      </c>
      <c r="G360">
        <v>75.33</v>
      </c>
      <c r="H360">
        <v>15</v>
      </c>
      <c r="I360">
        <f t="shared" si="94"/>
        <v>3.0000000000000426</v>
      </c>
      <c r="J360">
        <v>1</v>
      </c>
      <c r="K360">
        <f t="shared" si="95"/>
        <v>3.0000000000000426</v>
      </c>
      <c r="L360" t="s">
        <v>72</v>
      </c>
      <c r="M360">
        <f>SUMIF(Executions!B:B,A360,Executions!H:H)</f>
        <v>-3.1500000000001194</v>
      </c>
      <c r="N360">
        <f t="shared" si="96"/>
        <v>-1.0500000000000249</v>
      </c>
      <c r="O360">
        <f>Tabla1[[#This Row],[Initial Risk $]]/Tabla1[[#This Row],[Position Size (shares)]]+Tabla1[[#This Row],[Entry Price]]</f>
        <v>75.73</v>
      </c>
      <c r="P360">
        <f>Tabla1[[#This Row],[Initial Risk $]]/Tabla1[[#This Row],[Position Size (shares)]]*2+Tabla1[[#This Row],[Entry Price]]</f>
        <v>75.930000000000007</v>
      </c>
      <c r="Q360" s="4">
        <f>Tabla1[[#This Row],[Initial Risk $]]/Tabla1[[#This Row],[Position Size (shares)]]*3+Tabla1[[#This Row],[Entry Price]]</f>
        <v>76.13000000000001</v>
      </c>
    </row>
    <row r="361" spans="1:17" hidden="1" x14ac:dyDescent="0.25">
      <c r="A361" t="str">
        <f t="shared" si="93"/>
        <v>T-360</v>
      </c>
      <c r="B361" s="1">
        <v>46190</v>
      </c>
      <c r="C361" t="s">
        <v>570</v>
      </c>
      <c r="D361" t="s">
        <v>28</v>
      </c>
      <c r="E361" t="s">
        <v>119</v>
      </c>
      <c r="F361">
        <v>33.44</v>
      </c>
      <c r="G361">
        <v>33.24</v>
      </c>
      <c r="H361">
        <v>20</v>
      </c>
      <c r="I361">
        <f t="shared" si="94"/>
        <v>3.9999999999999147</v>
      </c>
      <c r="J361">
        <v>1</v>
      </c>
      <c r="K361">
        <f t="shared" si="95"/>
        <v>3.9999999999999147</v>
      </c>
      <c r="L361" t="s">
        <v>72</v>
      </c>
      <c r="M361">
        <f>SUMIF(Executions!B:B,A361,Executions!H:H)</f>
        <v>-4.0999999999999659</v>
      </c>
      <c r="N361">
        <f t="shared" si="96"/>
        <v>-1.0250000000000132</v>
      </c>
      <c r="O361">
        <f>Tabla1[[#This Row],[Initial Risk $]]/Tabla1[[#This Row],[Position Size (shares)]]+Tabla1[[#This Row],[Entry Price]]</f>
        <v>33.639999999999993</v>
      </c>
      <c r="P361">
        <f>Tabla1[[#This Row],[Initial Risk $]]/Tabla1[[#This Row],[Position Size (shares)]]*2+Tabla1[[#This Row],[Entry Price]]</f>
        <v>33.839999999999989</v>
      </c>
      <c r="Q361" s="4">
        <f>Tabla1[[#This Row],[Initial Risk $]]/Tabla1[[#This Row],[Position Size (shares)]]*3+Tabla1[[#This Row],[Entry Price]]</f>
        <v>34.039999999999985</v>
      </c>
    </row>
    <row r="362" spans="1:17" hidden="1" x14ac:dyDescent="0.25">
      <c r="A362" t="str">
        <f t="shared" si="93"/>
        <v>T-361</v>
      </c>
      <c r="B362" s="1">
        <v>46190</v>
      </c>
      <c r="C362" t="s">
        <v>445</v>
      </c>
      <c r="D362" t="s">
        <v>28</v>
      </c>
      <c r="E362" t="s">
        <v>119</v>
      </c>
      <c r="F362">
        <v>49.73</v>
      </c>
      <c r="G362">
        <v>49.48</v>
      </c>
      <c r="H362">
        <v>12</v>
      </c>
      <c r="I362">
        <f t="shared" si="94"/>
        <v>3</v>
      </c>
      <c r="J362">
        <v>1</v>
      </c>
      <c r="K362">
        <f t="shared" si="95"/>
        <v>3</v>
      </c>
      <c r="L362" t="s">
        <v>72</v>
      </c>
      <c r="M362">
        <f>SUMIF(Executions!B:B,A362,Executions!H:H)</f>
        <v>-2.6399999999999864</v>
      </c>
      <c r="N362">
        <f t="shared" si="96"/>
        <v>-0.87999999999999545</v>
      </c>
      <c r="O362">
        <f>Tabla1[[#This Row],[Initial Risk $]]/Tabla1[[#This Row],[Position Size (shares)]]+Tabla1[[#This Row],[Entry Price]]</f>
        <v>49.98</v>
      </c>
      <c r="P362">
        <f>Tabla1[[#This Row],[Initial Risk $]]/Tabla1[[#This Row],[Position Size (shares)]]*2+Tabla1[[#This Row],[Entry Price]]</f>
        <v>50.23</v>
      </c>
      <c r="Q362" s="4">
        <f>Tabla1[[#This Row],[Initial Risk $]]/Tabla1[[#This Row],[Position Size (shares)]]*3+Tabla1[[#This Row],[Entry Price]]</f>
        <v>50.48</v>
      </c>
    </row>
    <row r="363" spans="1:17" hidden="1" x14ac:dyDescent="0.25">
      <c r="A363" t="str">
        <f t="shared" ref="A363:A371" si="97">"T-"&amp; TEXT(ROW()-1,"000")</f>
        <v>T-362</v>
      </c>
      <c r="B363" s="1">
        <v>46191</v>
      </c>
      <c r="C363" t="s">
        <v>161</v>
      </c>
      <c r="D363" t="s">
        <v>28</v>
      </c>
      <c r="E363" t="s">
        <v>58</v>
      </c>
      <c r="F363">
        <v>133.24</v>
      </c>
      <c r="G363">
        <v>132.24</v>
      </c>
      <c r="H363">
        <v>8</v>
      </c>
      <c r="I363">
        <f t="shared" ref="I363:I371" si="98">IF(D363="Long",(F363-G363)*H363,(G363-F363)*0)</f>
        <v>8</v>
      </c>
      <c r="J363">
        <v>1</v>
      </c>
      <c r="K363">
        <f t="shared" ref="K363:K371" si="99">I363*J363</f>
        <v>8</v>
      </c>
      <c r="L363" t="s">
        <v>72</v>
      </c>
      <c r="M363">
        <f>SUMIF(Executions!B:B,A363,Executions!H:H)</f>
        <v>-8.8000000000001819</v>
      </c>
      <c r="N363">
        <f t="shared" ref="N363:N371" si="100">M363/I363</f>
        <v>-1.1000000000000227</v>
      </c>
      <c r="O363">
        <f>Tabla1[[#This Row],[Initial Risk $]]/Tabla1[[#This Row],[Position Size (shares)]]+Tabla1[[#This Row],[Entry Price]]</f>
        <v>134.24</v>
      </c>
      <c r="P363">
        <f>Tabla1[[#This Row],[Initial Risk $]]/Tabla1[[#This Row],[Position Size (shares)]]*2+Tabla1[[#This Row],[Entry Price]]</f>
        <v>135.24</v>
      </c>
      <c r="Q363" s="4">
        <f>Tabla1[[#This Row],[Initial Risk $]]/Tabla1[[#This Row],[Position Size (shares)]]*3+Tabla1[[#This Row],[Entry Price]]</f>
        <v>136.24</v>
      </c>
    </row>
    <row r="364" spans="1:17" hidden="1" x14ac:dyDescent="0.25">
      <c r="A364" t="str">
        <f t="shared" si="97"/>
        <v>T-363</v>
      </c>
      <c r="B364" s="1">
        <v>46191</v>
      </c>
      <c r="C364" t="s">
        <v>173</v>
      </c>
      <c r="D364" t="s">
        <v>28</v>
      </c>
      <c r="E364" t="s">
        <v>119</v>
      </c>
      <c r="F364">
        <v>128.15</v>
      </c>
      <c r="G364">
        <v>127.15</v>
      </c>
      <c r="H364">
        <v>5</v>
      </c>
      <c r="I364">
        <f t="shared" si="98"/>
        <v>5</v>
      </c>
      <c r="J364">
        <v>1</v>
      </c>
      <c r="K364">
        <f t="shared" si="99"/>
        <v>5</v>
      </c>
      <c r="L364" t="s">
        <v>72</v>
      </c>
      <c r="M364">
        <f>SUMIF(Executions!B:B,A364,Executions!H:H)</f>
        <v>-5.5499999999999972</v>
      </c>
      <c r="N364">
        <f t="shared" si="100"/>
        <v>-1.1099999999999994</v>
      </c>
      <c r="O364">
        <f>Tabla1[[#This Row],[Initial Risk $]]/Tabla1[[#This Row],[Position Size (shares)]]+Tabla1[[#This Row],[Entry Price]]</f>
        <v>129.15</v>
      </c>
      <c r="P364">
        <f>Tabla1[[#This Row],[Initial Risk $]]/Tabla1[[#This Row],[Position Size (shares)]]*2+Tabla1[[#This Row],[Entry Price]]</f>
        <v>130.15</v>
      </c>
      <c r="Q364" s="4">
        <f>Tabla1[[#This Row],[Initial Risk $]]/Tabla1[[#This Row],[Position Size (shares)]]*3+Tabla1[[#This Row],[Entry Price]]</f>
        <v>131.15</v>
      </c>
    </row>
    <row r="365" spans="1:17" hidden="1" x14ac:dyDescent="0.25">
      <c r="A365" t="str">
        <f t="shared" si="97"/>
        <v>T-364</v>
      </c>
      <c r="B365" s="1">
        <v>46191</v>
      </c>
      <c r="C365" t="s">
        <v>576</v>
      </c>
      <c r="D365" t="s">
        <v>28</v>
      </c>
      <c r="E365" t="s">
        <v>58</v>
      </c>
      <c r="F365">
        <v>17.649999999999999</v>
      </c>
      <c r="G365">
        <v>17.489999999999998</v>
      </c>
      <c r="H365">
        <v>50</v>
      </c>
      <c r="I365">
        <f t="shared" si="98"/>
        <v>8.0000000000000071</v>
      </c>
      <c r="J365">
        <v>1</v>
      </c>
      <c r="K365">
        <f t="shared" si="99"/>
        <v>8.0000000000000071</v>
      </c>
      <c r="L365" t="s">
        <v>72</v>
      </c>
      <c r="M365">
        <f>SUMIF(Executions!B:B,A365,Executions!H:H)</f>
        <v>-6.9999999999998508</v>
      </c>
      <c r="N365">
        <f t="shared" si="100"/>
        <v>-0.87499999999998057</v>
      </c>
      <c r="O365">
        <f>Tabla1[[#This Row],[Initial Risk $]]/Tabla1[[#This Row],[Position Size (shares)]]+Tabla1[[#This Row],[Entry Price]]</f>
        <v>17.809999999999999</v>
      </c>
      <c r="P365">
        <f>Tabla1[[#This Row],[Initial Risk $]]/Tabla1[[#This Row],[Position Size (shares)]]*2+Tabla1[[#This Row],[Entry Price]]</f>
        <v>17.97</v>
      </c>
      <c r="Q365" s="4">
        <f>Tabla1[[#This Row],[Initial Risk $]]/Tabla1[[#This Row],[Position Size (shares)]]*3+Tabla1[[#This Row],[Entry Price]]</f>
        <v>18.13</v>
      </c>
    </row>
    <row r="366" spans="1:17" hidden="1" x14ac:dyDescent="0.25">
      <c r="A366" t="str">
        <f t="shared" si="97"/>
        <v>T-365</v>
      </c>
      <c r="B366" s="1">
        <v>46191</v>
      </c>
      <c r="C366" t="s">
        <v>161</v>
      </c>
      <c r="D366" t="s">
        <v>28</v>
      </c>
      <c r="E366" t="s">
        <v>119</v>
      </c>
      <c r="F366">
        <v>130.99</v>
      </c>
      <c r="G366">
        <v>129.44999999999999</v>
      </c>
      <c r="H366">
        <v>8</v>
      </c>
      <c r="I366">
        <f t="shared" si="98"/>
        <v>12.320000000000164</v>
      </c>
      <c r="J366">
        <v>1</v>
      </c>
      <c r="K366">
        <f t="shared" si="99"/>
        <v>12.320000000000164</v>
      </c>
      <c r="L366" t="s">
        <v>72</v>
      </c>
      <c r="M366">
        <f>SUMIF(Executions!B:B,A366,Executions!H:H)</f>
        <v>-12.560000000000173</v>
      </c>
      <c r="N366">
        <f t="shared" si="100"/>
        <v>-1.0194805194805199</v>
      </c>
      <c r="O366">
        <f>Tabla1[[#This Row],[Initial Risk $]]/Tabla1[[#This Row],[Position Size (shares)]]+Tabla1[[#This Row],[Entry Price]]</f>
        <v>132.53000000000003</v>
      </c>
      <c r="P366">
        <f>Tabla1[[#This Row],[Initial Risk $]]/Tabla1[[#This Row],[Position Size (shares)]]*2+Tabla1[[#This Row],[Entry Price]]</f>
        <v>134.07000000000005</v>
      </c>
      <c r="Q366" s="4">
        <f>Tabla1[[#This Row],[Initial Risk $]]/Tabla1[[#This Row],[Position Size (shares)]]*3+Tabla1[[#This Row],[Entry Price]]</f>
        <v>135.61000000000007</v>
      </c>
    </row>
    <row r="367" spans="1:17" hidden="1" x14ac:dyDescent="0.25">
      <c r="A367" t="str">
        <f t="shared" si="97"/>
        <v>T-366</v>
      </c>
      <c r="B367" s="1">
        <v>46191</v>
      </c>
      <c r="C367" t="s">
        <v>317</v>
      </c>
      <c r="D367" t="s">
        <v>28</v>
      </c>
      <c r="E367" t="s">
        <v>119</v>
      </c>
      <c r="F367">
        <v>61.98</v>
      </c>
      <c r="G367">
        <v>61.35</v>
      </c>
      <c r="H367">
        <v>15</v>
      </c>
      <c r="I367">
        <f t="shared" si="98"/>
        <v>9.4499999999999318</v>
      </c>
      <c r="J367">
        <v>1</v>
      </c>
      <c r="K367">
        <f t="shared" si="99"/>
        <v>9.4499999999999318</v>
      </c>
      <c r="L367" t="s">
        <v>72</v>
      </c>
      <c r="M367">
        <f>SUMIF(Executions!B:B,A367,Executions!H:H)</f>
        <v>-8.6999999999999744</v>
      </c>
      <c r="N367">
        <f t="shared" si="100"/>
        <v>-0.92063492063492458</v>
      </c>
      <c r="O367">
        <f>Tabla1[[#This Row],[Initial Risk $]]/Tabla1[[#This Row],[Position Size (shares)]]+Tabla1[[#This Row],[Entry Price]]</f>
        <v>62.609999999999992</v>
      </c>
      <c r="P367">
        <f>Tabla1[[#This Row],[Initial Risk $]]/Tabla1[[#This Row],[Position Size (shares)]]*2+Tabla1[[#This Row],[Entry Price]]</f>
        <v>63.239999999999988</v>
      </c>
      <c r="Q367" s="4">
        <f>Tabla1[[#This Row],[Initial Risk $]]/Tabla1[[#This Row],[Position Size (shares)]]*3+Tabla1[[#This Row],[Entry Price]]</f>
        <v>63.869999999999983</v>
      </c>
    </row>
    <row r="368" spans="1:17" hidden="1" x14ac:dyDescent="0.25">
      <c r="A368" t="str">
        <f t="shared" si="97"/>
        <v>T-367</v>
      </c>
      <c r="B368" s="1">
        <v>46191</v>
      </c>
      <c r="C368" t="s">
        <v>161</v>
      </c>
      <c r="D368" t="s">
        <v>28</v>
      </c>
      <c r="E368" t="s">
        <v>119</v>
      </c>
      <c r="F368">
        <v>129.85</v>
      </c>
      <c r="G368">
        <v>128.85</v>
      </c>
      <c r="H368">
        <v>8</v>
      </c>
      <c r="I368">
        <f t="shared" si="98"/>
        <v>8</v>
      </c>
      <c r="J368">
        <v>1</v>
      </c>
      <c r="K368">
        <f t="shared" si="99"/>
        <v>8</v>
      </c>
      <c r="L368" t="s">
        <v>72</v>
      </c>
      <c r="M368">
        <f>SUMIF(Executions!B:B,A368,Executions!H:H)</f>
        <v>-8</v>
      </c>
      <c r="N368">
        <f t="shared" si="100"/>
        <v>-1</v>
      </c>
      <c r="O368">
        <f>Tabla1[[#This Row],[Initial Risk $]]/Tabla1[[#This Row],[Position Size (shares)]]+Tabla1[[#This Row],[Entry Price]]</f>
        <v>130.85</v>
      </c>
      <c r="P368">
        <f>Tabla1[[#This Row],[Initial Risk $]]/Tabla1[[#This Row],[Position Size (shares)]]*2+Tabla1[[#This Row],[Entry Price]]</f>
        <v>131.85</v>
      </c>
      <c r="Q368" s="4">
        <f>Tabla1[[#This Row],[Initial Risk $]]/Tabla1[[#This Row],[Position Size (shares)]]*3+Tabla1[[#This Row],[Entry Price]]</f>
        <v>132.85</v>
      </c>
    </row>
    <row r="369" spans="1:17" hidden="1" x14ac:dyDescent="0.25">
      <c r="A369" t="str">
        <f t="shared" si="97"/>
        <v>T-368</v>
      </c>
      <c r="B369" s="1">
        <v>46191</v>
      </c>
      <c r="C369" t="s">
        <v>173</v>
      </c>
      <c r="D369" t="s">
        <v>28</v>
      </c>
      <c r="E369" t="s">
        <v>119</v>
      </c>
      <c r="F369">
        <v>127.47</v>
      </c>
      <c r="G369">
        <v>126.47</v>
      </c>
      <c r="H369">
        <v>5</v>
      </c>
      <c r="I369">
        <f t="shared" si="98"/>
        <v>5</v>
      </c>
      <c r="J369">
        <v>1</v>
      </c>
      <c r="K369">
        <f t="shared" si="99"/>
        <v>5</v>
      </c>
      <c r="L369" t="s">
        <v>72</v>
      </c>
      <c r="M369">
        <f>SUMIF(Executions!B:B,A369,Executions!H:H)</f>
        <v>-6.1999999999999744</v>
      </c>
      <c r="N369">
        <f t="shared" si="100"/>
        <v>-1.2399999999999949</v>
      </c>
      <c r="O369">
        <f>Tabla1[[#This Row],[Initial Risk $]]/Tabla1[[#This Row],[Position Size (shares)]]+Tabla1[[#This Row],[Entry Price]]</f>
        <v>128.47</v>
      </c>
      <c r="P369">
        <f>Tabla1[[#This Row],[Initial Risk $]]/Tabla1[[#This Row],[Position Size (shares)]]*2+Tabla1[[#This Row],[Entry Price]]</f>
        <v>129.47</v>
      </c>
      <c r="Q369" s="4">
        <f>Tabla1[[#This Row],[Initial Risk $]]/Tabla1[[#This Row],[Position Size (shares)]]*3+Tabla1[[#This Row],[Entry Price]]</f>
        <v>130.47</v>
      </c>
    </row>
    <row r="370" spans="1:17" hidden="1" x14ac:dyDescent="0.25">
      <c r="A370" t="str">
        <f t="shared" si="97"/>
        <v>T-369</v>
      </c>
      <c r="B370" s="1">
        <v>46191</v>
      </c>
      <c r="C370" t="s">
        <v>582</v>
      </c>
      <c r="D370" t="s">
        <v>28</v>
      </c>
      <c r="E370" t="s">
        <v>49</v>
      </c>
      <c r="F370">
        <v>101.73</v>
      </c>
      <c r="G370">
        <v>100.73</v>
      </c>
      <c r="H370">
        <v>5</v>
      </c>
      <c r="I370">
        <f t="shared" si="98"/>
        <v>5</v>
      </c>
      <c r="J370">
        <v>1</v>
      </c>
      <c r="K370">
        <f t="shared" si="99"/>
        <v>5</v>
      </c>
      <c r="L370" t="s">
        <v>72</v>
      </c>
      <c r="M370">
        <f>SUMIF(Executions!B:B,A370,Executions!H:H)</f>
        <v>9.0999999999999659</v>
      </c>
      <c r="N370">
        <f t="shared" si="100"/>
        <v>1.8199999999999932</v>
      </c>
      <c r="O370">
        <f>Tabla1[[#This Row],[Initial Risk $]]/Tabla1[[#This Row],[Position Size (shares)]]+Tabla1[[#This Row],[Entry Price]]</f>
        <v>102.73</v>
      </c>
      <c r="P370">
        <f>Tabla1[[#This Row],[Initial Risk $]]/Tabla1[[#This Row],[Position Size (shares)]]*2+Tabla1[[#This Row],[Entry Price]]</f>
        <v>103.73</v>
      </c>
      <c r="Q370" s="4">
        <f>Tabla1[[#This Row],[Initial Risk $]]/Tabla1[[#This Row],[Position Size (shares)]]*3+Tabla1[[#This Row],[Entry Price]]</f>
        <v>104.73</v>
      </c>
    </row>
    <row r="371" spans="1:17" hidden="1" x14ac:dyDescent="0.25">
      <c r="A371" t="str">
        <f t="shared" si="97"/>
        <v>T-370</v>
      </c>
      <c r="B371" s="1">
        <v>46191</v>
      </c>
      <c r="C371" t="s">
        <v>317</v>
      </c>
      <c r="D371" t="s">
        <v>28</v>
      </c>
      <c r="E371" t="s">
        <v>58</v>
      </c>
      <c r="F371">
        <v>62.37</v>
      </c>
      <c r="G371">
        <v>61.51</v>
      </c>
      <c r="H371">
        <v>15</v>
      </c>
      <c r="I371">
        <f t="shared" si="98"/>
        <v>12.899999999999991</v>
      </c>
      <c r="J371">
        <v>1</v>
      </c>
      <c r="K371">
        <f t="shared" si="99"/>
        <v>12.899999999999991</v>
      </c>
      <c r="L371" t="s">
        <v>72</v>
      </c>
      <c r="M371">
        <f>SUMIF(Executions!B:B,A371,Executions!H:H)</f>
        <v>27.000000000000064</v>
      </c>
      <c r="N371">
        <f t="shared" si="100"/>
        <v>2.0930232558139599</v>
      </c>
      <c r="O371">
        <f>Tabla1[[#This Row],[Initial Risk $]]/Tabla1[[#This Row],[Position Size (shares)]]+Tabla1[[#This Row],[Entry Price]]</f>
        <v>63.23</v>
      </c>
      <c r="P371">
        <f>Tabla1[[#This Row],[Initial Risk $]]/Tabla1[[#This Row],[Position Size (shares)]]*2+Tabla1[[#This Row],[Entry Price]]</f>
        <v>64.09</v>
      </c>
      <c r="Q371" s="4">
        <f>Tabla1[[#This Row],[Initial Risk $]]/Tabla1[[#This Row],[Position Size (shares)]]*3+Tabla1[[#This Row],[Entry Price]]</f>
        <v>64.949999999999989</v>
      </c>
    </row>
    <row r="372" spans="1:17" hidden="1" x14ac:dyDescent="0.25">
      <c r="A372" t="str">
        <f t="shared" ref="A372:A379" si="101">"T-"&amp; TEXT(ROW()-1,"000")</f>
        <v>T-371</v>
      </c>
      <c r="B372" s="1">
        <v>46195</v>
      </c>
      <c r="C372" t="s">
        <v>589</v>
      </c>
      <c r="D372" t="s">
        <v>28</v>
      </c>
      <c r="E372" t="s">
        <v>58</v>
      </c>
      <c r="F372">
        <v>34.67</v>
      </c>
      <c r="G372">
        <v>34.299999999999997</v>
      </c>
      <c r="H372">
        <v>30</v>
      </c>
      <c r="I372">
        <f t="shared" ref="I372:I379" si="102">IF(D372="Long",(F372-G372)*H372,(G372-F372)*0)</f>
        <v>11.100000000000136</v>
      </c>
      <c r="J372">
        <v>1</v>
      </c>
      <c r="K372">
        <f t="shared" ref="K372:K379" si="103">I372*J372</f>
        <v>11.100000000000136</v>
      </c>
      <c r="L372" t="s">
        <v>72</v>
      </c>
      <c r="M372">
        <f>SUMIF(Executions!B:B,A372,Executions!H:H)</f>
        <v>10.949999999999953</v>
      </c>
      <c r="N372">
        <f t="shared" ref="N372:N379" si="104">M372/I372</f>
        <v>0.98648648648647008</v>
      </c>
      <c r="O372">
        <f>Tabla1[[#This Row],[Initial Risk $]]/Tabla1[[#This Row],[Position Size (shares)]]+Tabla1[[#This Row],[Entry Price]]</f>
        <v>35.040000000000006</v>
      </c>
      <c r="P372">
        <f>Tabla1[[#This Row],[Initial Risk $]]/Tabla1[[#This Row],[Position Size (shares)]]*2+Tabla1[[#This Row],[Entry Price]]</f>
        <v>35.410000000000011</v>
      </c>
      <c r="Q372" s="4">
        <f>Tabla1[[#This Row],[Initial Risk $]]/Tabla1[[#This Row],[Position Size (shares)]]*3+Tabla1[[#This Row],[Entry Price]]</f>
        <v>35.780000000000015</v>
      </c>
    </row>
    <row r="373" spans="1:17" hidden="1" x14ac:dyDescent="0.25">
      <c r="A373" t="str">
        <f t="shared" si="101"/>
        <v>T-372</v>
      </c>
      <c r="B373" s="1">
        <v>46195</v>
      </c>
      <c r="C373" t="s">
        <v>588</v>
      </c>
      <c r="D373" t="s">
        <v>28</v>
      </c>
      <c r="E373" t="s">
        <v>58</v>
      </c>
      <c r="F373">
        <v>109.7</v>
      </c>
      <c r="G373">
        <v>108.7</v>
      </c>
      <c r="H373">
        <v>8</v>
      </c>
      <c r="I373">
        <f t="shared" si="102"/>
        <v>8</v>
      </c>
      <c r="J373">
        <v>1</v>
      </c>
      <c r="K373">
        <f t="shared" si="103"/>
        <v>8</v>
      </c>
      <c r="L373" t="s">
        <v>72</v>
      </c>
      <c r="M373">
        <f>SUMIF(Executions!B:B,A373,Executions!H:H)</f>
        <v>-8.1599999999999682</v>
      </c>
      <c r="N373">
        <f t="shared" si="104"/>
        <v>-1.019999999999996</v>
      </c>
      <c r="O373">
        <f>Tabla1[[#This Row],[Initial Risk $]]/Tabla1[[#This Row],[Position Size (shares)]]+Tabla1[[#This Row],[Entry Price]]</f>
        <v>110.7</v>
      </c>
      <c r="P373">
        <f>Tabla1[[#This Row],[Initial Risk $]]/Tabla1[[#This Row],[Position Size (shares)]]*2+Tabla1[[#This Row],[Entry Price]]</f>
        <v>111.7</v>
      </c>
      <c r="Q373" s="4">
        <f>Tabla1[[#This Row],[Initial Risk $]]/Tabla1[[#This Row],[Position Size (shares)]]*3+Tabla1[[#This Row],[Entry Price]]</f>
        <v>112.7</v>
      </c>
    </row>
    <row r="374" spans="1:17" hidden="1" x14ac:dyDescent="0.25">
      <c r="A374" t="str">
        <f t="shared" si="101"/>
        <v>T-373</v>
      </c>
      <c r="B374" s="1">
        <v>46195</v>
      </c>
      <c r="C374" t="s">
        <v>561</v>
      </c>
      <c r="D374" t="s">
        <v>28</v>
      </c>
      <c r="E374" t="s">
        <v>58</v>
      </c>
      <c r="F374">
        <v>140.94999999999999</v>
      </c>
      <c r="G374">
        <v>139.94999999999999</v>
      </c>
      <c r="H374">
        <v>8</v>
      </c>
      <c r="I374">
        <f t="shared" si="102"/>
        <v>8</v>
      </c>
      <c r="J374">
        <v>1</v>
      </c>
      <c r="K374">
        <f t="shared" si="103"/>
        <v>8</v>
      </c>
      <c r="L374" t="s">
        <v>72</v>
      </c>
      <c r="M374">
        <f>SUMIF(Executions!B:B,A374,Executions!H:H)</f>
        <v>-8.0799999999999272</v>
      </c>
      <c r="N374">
        <f t="shared" si="104"/>
        <v>-1.0099999999999909</v>
      </c>
      <c r="O374">
        <f>Tabla1[[#This Row],[Initial Risk $]]/Tabla1[[#This Row],[Position Size (shares)]]+Tabla1[[#This Row],[Entry Price]]</f>
        <v>141.94999999999999</v>
      </c>
      <c r="P374">
        <f>Tabla1[[#This Row],[Initial Risk $]]/Tabla1[[#This Row],[Position Size (shares)]]*2+Tabla1[[#This Row],[Entry Price]]</f>
        <v>142.94999999999999</v>
      </c>
      <c r="Q374" s="4">
        <f>Tabla1[[#This Row],[Initial Risk $]]/Tabla1[[#This Row],[Position Size (shares)]]*3+Tabla1[[#This Row],[Entry Price]]</f>
        <v>143.94999999999999</v>
      </c>
    </row>
    <row r="375" spans="1:17" hidden="1" x14ac:dyDescent="0.25">
      <c r="A375" t="str">
        <f t="shared" si="101"/>
        <v>T-374</v>
      </c>
      <c r="B375" s="1">
        <v>46195</v>
      </c>
      <c r="C375" t="s">
        <v>135</v>
      </c>
      <c r="D375" t="s">
        <v>28</v>
      </c>
      <c r="E375" t="s">
        <v>58</v>
      </c>
      <c r="F375">
        <v>425.68</v>
      </c>
      <c r="G375">
        <v>418.68</v>
      </c>
      <c r="H375">
        <v>2</v>
      </c>
      <c r="I375">
        <f t="shared" si="102"/>
        <v>14</v>
      </c>
      <c r="J375">
        <v>1</v>
      </c>
      <c r="K375">
        <f t="shared" si="103"/>
        <v>14</v>
      </c>
      <c r="L375" t="s">
        <v>72</v>
      </c>
      <c r="M375">
        <f>SUMIF(Executions!B:B,A375,Executions!H:H)</f>
        <v>-12.440000000000055</v>
      </c>
      <c r="N375">
        <f t="shared" si="104"/>
        <v>-0.88857142857143245</v>
      </c>
      <c r="O375">
        <f>Tabla1[[#This Row],[Initial Risk $]]/Tabla1[[#This Row],[Position Size (shares)]]+Tabla1[[#This Row],[Entry Price]]</f>
        <v>432.68</v>
      </c>
      <c r="P375">
        <f>Tabla1[[#This Row],[Initial Risk $]]/Tabla1[[#This Row],[Position Size (shares)]]*2+Tabla1[[#This Row],[Entry Price]]</f>
        <v>439.68</v>
      </c>
      <c r="Q375" s="4">
        <f>Tabla1[[#This Row],[Initial Risk $]]/Tabla1[[#This Row],[Position Size (shares)]]*3+Tabla1[[#This Row],[Entry Price]]</f>
        <v>446.68</v>
      </c>
    </row>
    <row r="376" spans="1:17" hidden="1" x14ac:dyDescent="0.25">
      <c r="A376" t="str">
        <f t="shared" si="101"/>
        <v>T-375</v>
      </c>
      <c r="B376" s="1">
        <v>46195</v>
      </c>
      <c r="C376" t="s">
        <v>576</v>
      </c>
      <c r="D376" t="s">
        <v>28</v>
      </c>
      <c r="E376" t="s">
        <v>119</v>
      </c>
      <c r="F376">
        <v>17.690000000000001</v>
      </c>
      <c r="G376">
        <v>17.57</v>
      </c>
      <c r="H376">
        <v>50</v>
      </c>
      <c r="I376">
        <f t="shared" si="102"/>
        <v>6.0000000000000497</v>
      </c>
      <c r="J376">
        <v>1</v>
      </c>
      <c r="K376">
        <f t="shared" si="103"/>
        <v>6.0000000000000497</v>
      </c>
      <c r="L376" t="s">
        <v>72</v>
      </c>
      <c r="M376">
        <f>SUMIF(Executions!B:B,A376,Executions!H:H)</f>
        <v>-6.0000000000000497</v>
      </c>
      <c r="N376">
        <f t="shared" si="104"/>
        <v>-1</v>
      </c>
      <c r="O376">
        <f>Tabla1[[#This Row],[Initial Risk $]]/Tabla1[[#This Row],[Position Size (shares)]]+Tabla1[[#This Row],[Entry Price]]</f>
        <v>17.810000000000002</v>
      </c>
      <c r="P376">
        <f>Tabla1[[#This Row],[Initial Risk $]]/Tabla1[[#This Row],[Position Size (shares)]]*2+Tabla1[[#This Row],[Entry Price]]</f>
        <v>17.930000000000003</v>
      </c>
      <c r="Q376" s="4">
        <f>Tabla1[[#This Row],[Initial Risk $]]/Tabla1[[#This Row],[Position Size (shares)]]*3+Tabla1[[#This Row],[Entry Price]]</f>
        <v>18.050000000000004</v>
      </c>
    </row>
    <row r="377" spans="1:17" hidden="1" x14ac:dyDescent="0.25">
      <c r="A377" t="str">
        <f t="shared" si="101"/>
        <v>T-376</v>
      </c>
      <c r="B377" s="1">
        <v>46195</v>
      </c>
      <c r="C377" t="s">
        <v>161</v>
      </c>
      <c r="D377" t="s">
        <v>28</v>
      </c>
      <c r="E377" t="s">
        <v>58</v>
      </c>
      <c r="F377">
        <v>139.79</v>
      </c>
      <c r="G377">
        <v>137.79</v>
      </c>
      <c r="H377">
        <v>10</v>
      </c>
      <c r="I377">
        <f t="shared" si="102"/>
        <v>20</v>
      </c>
      <c r="J377">
        <v>1</v>
      </c>
      <c r="K377">
        <f t="shared" si="103"/>
        <v>20</v>
      </c>
      <c r="L377" t="s">
        <v>72</v>
      </c>
      <c r="M377">
        <f>SUMIF(Executions!B:B,A377,Executions!H:H)</f>
        <v>-20.099999999999909</v>
      </c>
      <c r="N377">
        <f t="shared" si="104"/>
        <v>-1.0049999999999955</v>
      </c>
      <c r="O377">
        <f>Tabla1[[#This Row],[Initial Risk $]]/Tabla1[[#This Row],[Position Size (shares)]]+Tabla1[[#This Row],[Entry Price]]</f>
        <v>141.79</v>
      </c>
      <c r="P377">
        <f>Tabla1[[#This Row],[Initial Risk $]]/Tabla1[[#This Row],[Position Size (shares)]]*2+Tabla1[[#This Row],[Entry Price]]</f>
        <v>143.79</v>
      </c>
      <c r="Q377" s="4">
        <f>Tabla1[[#This Row],[Initial Risk $]]/Tabla1[[#This Row],[Position Size (shares)]]*3+Tabla1[[#This Row],[Entry Price]]</f>
        <v>145.79</v>
      </c>
    </row>
    <row r="378" spans="1:17" hidden="1" x14ac:dyDescent="0.25">
      <c r="A378" t="str">
        <f t="shared" si="101"/>
        <v>T-377</v>
      </c>
      <c r="B378" s="1">
        <v>46195</v>
      </c>
      <c r="C378" t="s">
        <v>135</v>
      </c>
      <c r="D378" t="s">
        <v>28</v>
      </c>
      <c r="E378" t="s">
        <v>119</v>
      </c>
      <c r="F378">
        <v>418.3</v>
      </c>
      <c r="G378">
        <v>414.82</v>
      </c>
      <c r="H378">
        <v>4</v>
      </c>
      <c r="I378">
        <f t="shared" si="102"/>
        <v>13.920000000000073</v>
      </c>
      <c r="J378">
        <v>1</v>
      </c>
      <c r="K378">
        <f t="shared" si="103"/>
        <v>13.920000000000073</v>
      </c>
      <c r="L378" t="s">
        <v>72</v>
      </c>
      <c r="M378">
        <f>SUMIF(Executions!B:B,A378,Executions!H:H)</f>
        <v>-14.600000000000136</v>
      </c>
      <c r="N378">
        <f t="shared" si="104"/>
        <v>-1.048850574712648</v>
      </c>
      <c r="O378">
        <f>Tabla1[[#This Row],[Initial Risk $]]/Tabla1[[#This Row],[Position Size (shares)]]+Tabla1[[#This Row],[Entry Price]]</f>
        <v>421.78000000000003</v>
      </c>
      <c r="P378">
        <f>Tabla1[[#This Row],[Initial Risk $]]/Tabla1[[#This Row],[Position Size (shares)]]*2+Tabla1[[#This Row],[Entry Price]]</f>
        <v>425.26000000000005</v>
      </c>
      <c r="Q378" s="4">
        <f>Tabla1[[#This Row],[Initial Risk $]]/Tabla1[[#This Row],[Position Size (shares)]]*3+Tabla1[[#This Row],[Entry Price]]</f>
        <v>428.74000000000007</v>
      </c>
    </row>
    <row r="379" spans="1:17" hidden="1" x14ac:dyDescent="0.25">
      <c r="A379" t="str">
        <f t="shared" si="101"/>
        <v>T-378</v>
      </c>
      <c r="B379" s="1">
        <v>46195</v>
      </c>
      <c r="C379" t="s">
        <v>76</v>
      </c>
      <c r="D379" t="s">
        <v>28</v>
      </c>
      <c r="E379" t="s">
        <v>58</v>
      </c>
      <c r="F379">
        <v>9</v>
      </c>
      <c r="G379">
        <v>8.1999999999999993</v>
      </c>
      <c r="H379">
        <v>20</v>
      </c>
      <c r="I379">
        <f t="shared" si="102"/>
        <v>16.000000000000014</v>
      </c>
      <c r="J379">
        <v>1</v>
      </c>
      <c r="K379">
        <f t="shared" si="103"/>
        <v>16.000000000000014</v>
      </c>
      <c r="L379" t="s">
        <v>72</v>
      </c>
      <c r="M379">
        <f>SUMIF(Executions!B:B,A379,Executions!H:H)</f>
        <v>-2.1999999999999886</v>
      </c>
      <c r="N379">
        <f t="shared" si="104"/>
        <v>-0.13749999999999918</v>
      </c>
      <c r="O379">
        <f>Tabla1[[#This Row],[Initial Risk $]]/Tabla1[[#This Row],[Position Size (shares)]]+Tabla1[[#This Row],[Entry Price]]</f>
        <v>9.8000000000000007</v>
      </c>
      <c r="P379">
        <f>Tabla1[[#This Row],[Initial Risk $]]/Tabla1[[#This Row],[Position Size (shares)]]*2+Tabla1[[#This Row],[Entry Price]]</f>
        <v>10.600000000000001</v>
      </c>
      <c r="Q379" s="4">
        <f>Tabla1[[#This Row],[Initial Risk $]]/Tabla1[[#This Row],[Position Size (shares)]]*3+Tabla1[[#This Row],[Entry Price]]</f>
        <v>11.400000000000002</v>
      </c>
    </row>
    <row r="380" spans="1:17" hidden="1" x14ac:dyDescent="0.25">
      <c r="A380" t="str">
        <f t="shared" ref="A380:A386" si="105">"T-"&amp; TEXT(ROW()-1,"000")</f>
        <v>T-379</v>
      </c>
      <c r="B380" s="1">
        <v>46196</v>
      </c>
      <c r="C380" t="s">
        <v>120</v>
      </c>
      <c r="D380" t="s">
        <v>28</v>
      </c>
      <c r="E380" t="s">
        <v>58</v>
      </c>
      <c r="F380">
        <v>25.95</v>
      </c>
      <c r="G380">
        <v>25.76</v>
      </c>
      <c r="H380">
        <v>50</v>
      </c>
      <c r="I380">
        <f t="shared" ref="I380:I386" si="106">IF(D380="Long",(F380-G380)*H380,(G380-F380)*0)</f>
        <v>9.4999999999998863</v>
      </c>
      <c r="J380">
        <v>1</v>
      </c>
      <c r="K380">
        <f t="shared" ref="K380:K386" si="107">I380*J380</f>
        <v>9.4999999999998863</v>
      </c>
      <c r="L380" t="s">
        <v>72</v>
      </c>
      <c r="M380">
        <f>SUMIF(Executions!B:B,A380,Executions!H:H)</f>
        <v>-9.4999999999998863</v>
      </c>
      <c r="N380">
        <f t="shared" ref="N380:N386" si="108">M380/I380</f>
        <v>-1</v>
      </c>
      <c r="O380">
        <f>Tabla1[[#This Row],[Initial Risk $]]/Tabla1[[#This Row],[Position Size (shares)]]+Tabla1[[#This Row],[Entry Price]]</f>
        <v>26.139999999999997</v>
      </c>
      <c r="P380">
        <f>Tabla1[[#This Row],[Initial Risk $]]/Tabla1[[#This Row],[Position Size (shares)]]*2+Tabla1[[#This Row],[Entry Price]]</f>
        <v>26.329999999999995</v>
      </c>
      <c r="Q380" s="4">
        <f>Tabla1[[#This Row],[Initial Risk $]]/Tabla1[[#This Row],[Position Size (shares)]]*3+Tabla1[[#This Row],[Entry Price]]</f>
        <v>26.519999999999992</v>
      </c>
    </row>
    <row r="381" spans="1:17" hidden="1" x14ac:dyDescent="0.25">
      <c r="A381" t="str">
        <f t="shared" si="105"/>
        <v>T-380</v>
      </c>
      <c r="B381" s="1">
        <v>46196</v>
      </c>
      <c r="C381" t="s">
        <v>328</v>
      </c>
      <c r="D381" t="s">
        <v>28</v>
      </c>
      <c r="E381" t="s">
        <v>58</v>
      </c>
      <c r="F381">
        <v>11.18</v>
      </c>
      <c r="G381">
        <v>10.92</v>
      </c>
      <c r="H381">
        <v>50</v>
      </c>
      <c r="I381">
        <f t="shared" si="106"/>
        <v>12.999999999999989</v>
      </c>
      <c r="J381">
        <v>1</v>
      </c>
      <c r="K381">
        <f t="shared" si="107"/>
        <v>12.999999999999989</v>
      </c>
      <c r="L381" t="s">
        <v>72</v>
      </c>
      <c r="M381">
        <f>SUMIF(Executions!B:B,A381,Executions!H:H)</f>
        <v>-12.999999999999989</v>
      </c>
      <c r="N381">
        <f t="shared" si="108"/>
        <v>-1</v>
      </c>
      <c r="O381">
        <f>Tabla1[[#This Row],[Initial Risk $]]/Tabla1[[#This Row],[Position Size (shares)]]+Tabla1[[#This Row],[Entry Price]]</f>
        <v>11.44</v>
      </c>
      <c r="P381">
        <f>Tabla1[[#This Row],[Initial Risk $]]/Tabla1[[#This Row],[Position Size (shares)]]*2+Tabla1[[#This Row],[Entry Price]]</f>
        <v>11.7</v>
      </c>
      <c r="Q381" s="4">
        <f>Tabla1[[#This Row],[Initial Risk $]]/Tabla1[[#This Row],[Position Size (shares)]]*3+Tabla1[[#This Row],[Entry Price]]</f>
        <v>11.959999999999999</v>
      </c>
    </row>
    <row r="382" spans="1:17" hidden="1" x14ac:dyDescent="0.25">
      <c r="A382" t="str">
        <f t="shared" si="105"/>
        <v>T-381</v>
      </c>
      <c r="B382" s="1">
        <v>46196</v>
      </c>
      <c r="C382" t="s">
        <v>601</v>
      </c>
      <c r="D382" t="s">
        <v>28</v>
      </c>
      <c r="E382" t="s">
        <v>58</v>
      </c>
      <c r="F382">
        <v>15.6</v>
      </c>
      <c r="G382">
        <v>15.3</v>
      </c>
      <c r="H382">
        <v>50</v>
      </c>
      <c r="I382">
        <f t="shared" si="106"/>
        <v>14.999999999999947</v>
      </c>
      <c r="J382">
        <v>1</v>
      </c>
      <c r="K382">
        <f t="shared" si="107"/>
        <v>14.999999999999947</v>
      </c>
      <c r="L382" t="s">
        <v>72</v>
      </c>
      <c r="M382">
        <f>SUMIF(Executions!B:B,A382,Executions!H:H)</f>
        <v>-14.999999999999947</v>
      </c>
      <c r="N382">
        <f t="shared" si="108"/>
        <v>-1</v>
      </c>
      <c r="O382">
        <f>Tabla1[[#This Row],[Initial Risk $]]/Tabla1[[#This Row],[Position Size (shares)]]+Tabla1[[#This Row],[Entry Price]]</f>
        <v>15.899999999999999</v>
      </c>
      <c r="P382">
        <f>Tabla1[[#This Row],[Initial Risk $]]/Tabla1[[#This Row],[Position Size (shares)]]*2+Tabla1[[#This Row],[Entry Price]]</f>
        <v>16.199999999999996</v>
      </c>
      <c r="Q382" s="4">
        <f>Tabla1[[#This Row],[Initial Risk $]]/Tabla1[[#This Row],[Position Size (shares)]]*3+Tabla1[[#This Row],[Entry Price]]</f>
        <v>16.499999999999996</v>
      </c>
    </row>
    <row r="383" spans="1:17" hidden="1" x14ac:dyDescent="0.25">
      <c r="A383" t="str">
        <f t="shared" si="105"/>
        <v>T-382</v>
      </c>
      <c r="B383" s="1">
        <v>46196</v>
      </c>
      <c r="C383" t="s">
        <v>603</v>
      </c>
      <c r="D383" t="s">
        <v>28</v>
      </c>
      <c r="E383" t="s">
        <v>119</v>
      </c>
      <c r="F383">
        <v>25.92</v>
      </c>
      <c r="G383">
        <v>25.61</v>
      </c>
      <c r="H383">
        <v>100</v>
      </c>
      <c r="I383">
        <f t="shared" si="106"/>
        <v>31.000000000000227</v>
      </c>
      <c r="J383">
        <v>1</v>
      </c>
      <c r="K383">
        <f t="shared" si="107"/>
        <v>31.000000000000227</v>
      </c>
      <c r="L383" t="s">
        <v>72</v>
      </c>
      <c r="M383">
        <f>SUMIF(Executions!B:B,A383,Executions!H:H)</f>
        <v>0.99999999999980105</v>
      </c>
      <c r="N383">
        <f t="shared" si="108"/>
        <v>3.2258064516122377E-2</v>
      </c>
      <c r="O383">
        <f>Tabla1[[#This Row],[Initial Risk $]]/Tabla1[[#This Row],[Position Size (shares)]]+Tabla1[[#This Row],[Entry Price]]</f>
        <v>26.230000000000004</v>
      </c>
      <c r="P383">
        <f>Tabla1[[#This Row],[Initial Risk $]]/Tabla1[[#This Row],[Position Size (shares)]]*2+Tabla1[[#This Row],[Entry Price]]</f>
        <v>26.540000000000006</v>
      </c>
      <c r="Q383" s="4">
        <f>Tabla1[[#This Row],[Initial Risk $]]/Tabla1[[#This Row],[Position Size (shares)]]*3+Tabla1[[#This Row],[Entry Price]]</f>
        <v>26.850000000000009</v>
      </c>
    </row>
    <row r="384" spans="1:17" hidden="1" x14ac:dyDescent="0.25">
      <c r="A384" t="str">
        <f t="shared" si="105"/>
        <v>T-383</v>
      </c>
      <c r="B384" s="1">
        <v>46196</v>
      </c>
      <c r="C384" t="s">
        <v>328</v>
      </c>
      <c r="D384" t="s">
        <v>28</v>
      </c>
      <c r="E384" t="s">
        <v>119</v>
      </c>
      <c r="F384">
        <v>11.01</v>
      </c>
      <c r="G384">
        <v>10.95</v>
      </c>
      <c r="H384">
        <v>50</v>
      </c>
      <c r="I384">
        <f t="shared" si="106"/>
        <v>3.0000000000000249</v>
      </c>
      <c r="J384">
        <v>1</v>
      </c>
      <c r="K384">
        <f t="shared" si="107"/>
        <v>3.0000000000000249</v>
      </c>
      <c r="L384" t="s">
        <v>72</v>
      </c>
      <c r="M384">
        <f>SUMIF(Executions!B:B,A384,Executions!H:H)</f>
        <v>-3.0000000000000249</v>
      </c>
      <c r="N384">
        <f t="shared" si="108"/>
        <v>-1</v>
      </c>
      <c r="O384">
        <f>Tabla1[[#This Row],[Initial Risk $]]/Tabla1[[#This Row],[Position Size (shares)]]+Tabla1[[#This Row],[Entry Price]]</f>
        <v>11.07</v>
      </c>
      <c r="P384">
        <f>Tabla1[[#This Row],[Initial Risk $]]/Tabla1[[#This Row],[Position Size (shares)]]*2+Tabla1[[#This Row],[Entry Price]]</f>
        <v>11.13</v>
      </c>
      <c r="Q384" s="4">
        <f>Tabla1[[#This Row],[Initial Risk $]]/Tabla1[[#This Row],[Position Size (shares)]]*3+Tabla1[[#This Row],[Entry Price]]</f>
        <v>11.190000000000001</v>
      </c>
    </row>
    <row r="385" spans="1:17" hidden="1" x14ac:dyDescent="0.25">
      <c r="A385" t="str">
        <f t="shared" si="105"/>
        <v>T-384</v>
      </c>
      <c r="B385" s="1">
        <v>46196</v>
      </c>
      <c r="C385" t="s">
        <v>417</v>
      </c>
      <c r="D385" t="s">
        <v>28</v>
      </c>
      <c r="E385" t="s">
        <v>58</v>
      </c>
      <c r="F385">
        <v>467.84</v>
      </c>
      <c r="G385">
        <v>463</v>
      </c>
      <c r="H385">
        <v>2</v>
      </c>
      <c r="I385">
        <f t="shared" si="106"/>
        <v>9.67999999999995</v>
      </c>
      <c r="J385">
        <v>1</v>
      </c>
      <c r="K385">
        <f t="shared" si="107"/>
        <v>9.67999999999995</v>
      </c>
      <c r="L385" t="s">
        <v>72</v>
      </c>
      <c r="M385">
        <f>SUMIF(Executions!B:B,A385,Executions!H:H)</f>
        <v>2.7000000000000455</v>
      </c>
      <c r="N385">
        <f t="shared" si="108"/>
        <v>0.27892561983471686</v>
      </c>
      <c r="O385">
        <f>Tabla1[[#This Row],[Initial Risk $]]/Tabla1[[#This Row],[Position Size (shares)]]+Tabla1[[#This Row],[Entry Price]]</f>
        <v>472.67999999999995</v>
      </c>
      <c r="P385">
        <f>Tabla1[[#This Row],[Initial Risk $]]/Tabla1[[#This Row],[Position Size (shares)]]*2+Tabla1[[#This Row],[Entry Price]]</f>
        <v>477.51999999999992</v>
      </c>
      <c r="Q385" s="4">
        <f>Tabla1[[#This Row],[Initial Risk $]]/Tabla1[[#This Row],[Position Size (shares)]]*3+Tabla1[[#This Row],[Entry Price]]</f>
        <v>482.3599999999999</v>
      </c>
    </row>
    <row r="386" spans="1:17" hidden="1" x14ac:dyDescent="0.25">
      <c r="A386" t="str">
        <f t="shared" si="105"/>
        <v>T-385</v>
      </c>
      <c r="B386" s="1">
        <v>46196</v>
      </c>
      <c r="C386" t="s">
        <v>287</v>
      </c>
      <c r="D386" t="s">
        <v>28</v>
      </c>
      <c r="E386" t="s">
        <v>58</v>
      </c>
      <c r="F386">
        <v>13.56</v>
      </c>
      <c r="G386">
        <v>13.51</v>
      </c>
      <c r="H386">
        <v>50</v>
      </c>
      <c r="I386">
        <f t="shared" si="106"/>
        <v>2.5000000000000355</v>
      </c>
      <c r="J386">
        <v>1</v>
      </c>
      <c r="K386">
        <f t="shared" si="107"/>
        <v>2.5000000000000355</v>
      </c>
      <c r="L386" t="s">
        <v>72</v>
      </c>
      <c r="M386">
        <f>SUMIF(Executions!B:B,A386,Executions!H:H)</f>
        <v>-3.2500000000000639</v>
      </c>
      <c r="N386">
        <f t="shared" si="108"/>
        <v>-1.3000000000000071</v>
      </c>
      <c r="O386">
        <f>Tabla1[[#This Row],[Initial Risk $]]/Tabla1[[#This Row],[Position Size (shares)]]+Tabla1[[#This Row],[Entry Price]]</f>
        <v>13.610000000000001</v>
      </c>
      <c r="P386">
        <f>Tabla1[[#This Row],[Initial Risk $]]/Tabla1[[#This Row],[Position Size (shares)]]*2+Tabla1[[#This Row],[Entry Price]]</f>
        <v>13.660000000000002</v>
      </c>
      <c r="Q386" s="4">
        <f>Tabla1[[#This Row],[Initial Risk $]]/Tabla1[[#This Row],[Position Size (shares)]]*3+Tabla1[[#This Row],[Entry Price]]</f>
        <v>13.710000000000003</v>
      </c>
    </row>
    <row r="387" spans="1:17" hidden="1" x14ac:dyDescent="0.25">
      <c r="A387" t="str">
        <f t="shared" ref="A387:A395" si="109">"T-"&amp; TEXT(ROW()-1,"000")</f>
        <v>T-386</v>
      </c>
      <c r="B387" s="1">
        <v>46197</v>
      </c>
      <c r="C387" t="s">
        <v>609</v>
      </c>
      <c r="D387" t="s">
        <v>28</v>
      </c>
      <c r="E387" t="s">
        <v>119</v>
      </c>
      <c r="F387">
        <v>321.49</v>
      </c>
      <c r="G387">
        <v>318.19</v>
      </c>
      <c r="H387">
        <v>3</v>
      </c>
      <c r="I387">
        <f t="shared" ref="I387:I395" si="110">IF(D387="Long",(F387-G387)*H387,(G387-F387)*0)</f>
        <v>9.9000000000000341</v>
      </c>
      <c r="J387">
        <v>1</v>
      </c>
      <c r="K387">
        <f t="shared" ref="K387:K395" si="111">I387*J387</f>
        <v>9.9000000000000341</v>
      </c>
      <c r="L387" t="s">
        <v>72</v>
      </c>
      <c r="M387">
        <f>SUMIF(Executions!B:B,A387,Executions!H:H)</f>
        <v>19.319999999999993</v>
      </c>
      <c r="N387">
        <f t="shared" ref="N387:N395" si="112">M387/I387</f>
        <v>1.9515151515151441</v>
      </c>
      <c r="O387">
        <f>Tabla1[[#This Row],[Initial Risk $]]/Tabla1[[#This Row],[Position Size (shares)]]+Tabla1[[#This Row],[Entry Price]]</f>
        <v>324.79000000000002</v>
      </c>
      <c r="P387">
        <f>Tabla1[[#This Row],[Initial Risk $]]/Tabla1[[#This Row],[Position Size (shares)]]*2+Tabla1[[#This Row],[Entry Price]]</f>
        <v>328.09000000000003</v>
      </c>
      <c r="Q387" s="4">
        <f>Tabla1[[#This Row],[Initial Risk $]]/Tabla1[[#This Row],[Position Size (shares)]]*3+Tabla1[[#This Row],[Entry Price]]</f>
        <v>331.39000000000004</v>
      </c>
    </row>
    <row r="388" spans="1:17" hidden="1" x14ac:dyDescent="0.25">
      <c r="A388" t="str">
        <f t="shared" si="109"/>
        <v>T-387</v>
      </c>
      <c r="B388" s="1">
        <v>46197</v>
      </c>
      <c r="C388" t="s">
        <v>550</v>
      </c>
      <c r="D388" t="s">
        <v>28</v>
      </c>
      <c r="E388" t="s">
        <v>119</v>
      </c>
      <c r="F388">
        <v>74.63</v>
      </c>
      <c r="G388">
        <v>74.209999999999994</v>
      </c>
      <c r="H388">
        <v>20</v>
      </c>
      <c r="I388">
        <f t="shared" si="110"/>
        <v>8.4000000000000341</v>
      </c>
      <c r="J388">
        <v>1</v>
      </c>
      <c r="K388">
        <f t="shared" si="111"/>
        <v>8.4000000000000341</v>
      </c>
      <c r="L388" t="s">
        <v>72</v>
      </c>
      <c r="M388">
        <f>SUMIF(Executions!B:B,A388,Executions!H:H)</f>
        <v>4.3999999999999773</v>
      </c>
      <c r="N388">
        <f t="shared" si="112"/>
        <v>0.52380952380951895</v>
      </c>
      <c r="O388">
        <f>Tabla1[[#This Row],[Initial Risk $]]/Tabla1[[#This Row],[Position Size (shares)]]+Tabla1[[#This Row],[Entry Price]]</f>
        <v>75.05</v>
      </c>
      <c r="P388">
        <f>Tabla1[[#This Row],[Initial Risk $]]/Tabla1[[#This Row],[Position Size (shares)]]*2+Tabla1[[#This Row],[Entry Price]]</f>
        <v>75.47</v>
      </c>
      <c r="Q388" s="4">
        <f>Tabla1[[#This Row],[Initial Risk $]]/Tabla1[[#This Row],[Position Size (shares)]]*3+Tabla1[[#This Row],[Entry Price]]</f>
        <v>75.89</v>
      </c>
    </row>
    <row r="389" spans="1:17" hidden="1" x14ac:dyDescent="0.25">
      <c r="A389" t="str">
        <f t="shared" si="109"/>
        <v>T-388</v>
      </c>
      <c r="B389" s="1">
        <v>46197</v>
      </c>
      <c r="C389" t="s">
        <v>328</v>
      </c>
      <c r="D389" t="s">
        <v>28</v>
      </c>
      <c r="E389" t="s">
        <v>58</v>
      </c>
      <c r="F389">
        <v>10.17</v>
      </c>
      <c r="G389">
        <v>10.039999999999999</v>
      </c>
      <c r="H389">
        <v>60</v>
      </c>
      <c r="I389">
        <f t="shared" si="110"/>
        <v>7.8000000000000469</v>
      </c>
      <c r="J389">
        <v>1</v>
      </c>
      <c r="K389">
        <f t="shared" si="111"/>
        <v>7.8000000000000469</v>
      </c>
      <c r="L389" t="s">
        <v>72</v>
      </c>
      <c r="M389">
        <f>SUMIF(Executions!B:B,A389,Executions!H:H)</f>
        <v>-7.8000000000000469</v>
      </c>
      <c r="N389">
        <f t="shared" si="112"/>
        <v>-1</v>
      </c>
      <c r="O389">
        <f>Tabla1[[#This Row],[Initial Risk $]]/Tabla1[[#This Row],[Position Size (shares)]]+Tabla1[[#This Row],[Entry Price]]</f>
        <v>10.3</v>
      </c>
      <c r="P389">
        <f>Tabla1[[#This Row],[Initial Risk $]]/Tabla1[[#This Row],[Position Size (shares)]]*2+Tabla1[[#This Row],[Entry Price]]</f>
        <v>10.430000000000001</v>
      </c>
      <c r="Q389" s="4">
        <f>Tabla1[[#This Row],[Initial Risk $]]/Tabla1[[#This Row],[Position Size (shares)]]*3+Tabla1[[#This Row],[Entry Price]]</f>
        <v>10.560000000000002</v>
      </c>
    </row>
    <row r="390" spans="1:17" hidden="1" x14ac:dyDescent="0.25">
      <c r="A390" t="str">
        <f t="shared" si="109"/>
        <v>T-389</v>
      </c>
      <c r="B390" s="1">
        <v>46197</v>
      </c>
      <c r="C390" t="s">
        <v>612</v>
      </c>
      <c r="D390" t="s">
        <v>28</v>
      </c>
      <c r="E390" t="s">
        <v>58</v>
      </c>
      <c r="F390">
        <v>94.41</v>
      </c>
      <c r="G390">
        <v>93.81</v>
      </c>
      <c r="H390">
        <v>10</v>
      </c>
      <c r="I390">
        <f t="shared" si="110"/>
        <v>5.9999999999999432</v>
      </c>
      <c r="J390">
        <v>1</v>
      </c>
      <c r="K390">
        <f t="shared" si="111"/>
        <v>5.9999999999999432</v>
      </c>
      <c r="L390" t="s">
        <v>72</v>
      </c>
      <c r="M390">
        <f>SUMIF(Executions!B:B,A390,Executions!H:H)</f>
        <v>7.8000000000000114</v>
      </c>
      <c r="N390">
        <f t="shared" si="112"/>
        <v>1.3000000000000143</v>
      </c>
      <c r="O390">
        <f>Tabla1[[#This Row],[Initial Risk $]]/Tabla1[[#This Row],[Position Size (shares)]]+Tabla1[[#This Row],[Entry Price]]</f>
        <v>95.009999999999991</v>
      </c>
      <c r="P390">
        <f>Tabla1[[#This Row],[Initial Risk $]]/Tabla1[[#This Row],[Position Size (shares)]]*2+Tabla1[[#This Row],[Entry Price]]</f>
        <v>95.609999999999985</v>
      </c>
      <c r="Q390" s="4">
        <f>Tabla1[[#This Row],[Initial Risk $]]/Tabla1[[#This Row],[Position Size (shares)]]*3+Tabla1[[#This Row],[Entry Price]]</f>
        <v>96.20999999999998</v>
      </c>
    </row>
    <row r="391" spans="1:17" hidden="1" x14ac:dyDescent="0.25">
      <c r="A391" t="str">
        <f t="shared" si="109"/>
        <v>T-390</v>
      </c>
      <c r="B391" s="1">
        <v>46197</v>
      </c>
      <c r="C391" t="s">
        <v>370</v>
      </c>
      <c r="D391" t="s">
        <v>28</v>
      </c>
      <c r="E391" t="s">
        <v>58</v>
      </c>
      <c r="F391">
        <v>27.39</v>
      </c>
      <c r="G391">
        <v>27.22</v>
      </c>
      <c r="H391">
        <v>40</v>
      </c>
      <c r="I391">
        <f t="shared" si="110"/>
        <v>6.8000000000000682</v>
      </c>
      <c r="J391">
        <v>1</v>
      </c>
      <c r="K391">
        <f t="shared" si="111"/>
        <v>6.8000000000000682</v>
      </c>
      <c r="L391" t="s">
        <v>72</v>
      </c>
      <c r="M391">
        <f>SUMIF(Executions!B:B,A391,Executions!H:H)</f>
        <v>10</v>
      </c>
      <c r="N391">
        <f t="shared" si="112"/>
        <v>1.4705882352941029</v>
      </c>
      <c r="O391" s="4">
        <f>Tabla1[[#This Row],[Initial Risk $]]/Tabla1[[#This Row],[Position Size (shares)]]+Tabla1[[#This Row],[Entry Price]]</f>
        <v>27.560000000000002</v>
      </c>
      <c r="P391" s="4">
        <f>Tabla1[[#This Row],[Initial Risk $]]/Tabla1[[#This Row],[Position Size (shares)]]*2+Tabla1[[#This Row],[Entry Price]]</f>
        <v>27.730000000000004</v>
      </c>
      <c r="Q391" s="4">
        <f>Tabla1[[#This Row],[Initial Risk $]]/Tabla1[[#This Row],[Position Size (shares)]]*3+Tabla1[[#This Row],[Entry Price]]</f>
        <v>27.900000000000006</v>
      </c>
    </row>
    <row r="392" spans="1:17" hidden="1" x14ac:dyDescent="0.25">
      <c r="A392" t="str">
        <f t="shared" si="109"/>
        <v>T-391</v>
      </c>
      <c r="B392" s="1">
        <v>46197</v>
      </c>
      <c r="C392" t="s">
        <v>328</v>
      </c>
      <c r="D392" t="s">
        <v>28</v>
      </c>
      <c r="E392" t="s">
        <v>27</v>
      </c>
      <c r="F392">
        <v>9.92</v>
      </c>
      <c r="G392">
        <v>9.7899999999999991</v>
      </c>
      <c r="H392">
        <v>35</v>
      </c>
      <c r="I392">
        <f t="shared" si="110"/>
        <v>4.5500000000000274</v>
      </c>
      <c r="J392">
        <v>1</v>
      </c>
      <c r="K392">
        <f t="shared" si="111"/>
        <v>4.5500000000000274</v>
      </c>
      <c r="L392" t="s">
        <v>72</v>
      </c>
      <c r="M392">
        <f>SUMIF(Executions!B:B,A392,Executions!H:H)</f>
        <v>4.1999999999999726</v>
      </c>
      <c r="N392">
        <f t="shared" si="112"/>
        <v>0.92307692307691147</v>
      </c>
      <c r="O392" s="4">
        <f>Tabla1[[#This Row],[Initial Risk $]]/Tabla1[[#This Row],[Position Size (shares)]]+Tabla1[[#This Row],[Entry Price]]</f>
        <v>10.050000000000001</v>
      </c>
      <c r="P392" s="4">
        <f>Tabla1[[#This Row],[Initial Risk $]]/Tabla1[[#This Row],[Position Size (shares)]]*2+Tabla1[[#This Row],[Entry Price]]</f>
        <v>10.180000000000001</v>
      </c>
      <c r="Q392" s="4">
        <f>Tabla1[[#This Row],[Initial Risk $]]/Tabla1[[#This Row],[Position Size (shares)]]*3+Tabla1[[#This Row],[Entry Price]]</f>
        <v>10.310000000000002</v>
      </c>
    </row>
    <row r="393" spans="1:17" hidden="1" x14ac:dyDescent="0.25">
      <c r="A393" t="str">
        <f t="shared" si="109"/>
        <v>T-392</v>
      </c>
      <c r="B393" s="1">
        <v>46197</v>
      </c>
      <c r="C393" t="s">
        <v>561</v>
      </c>
      <c r="D393" t="s">
        <v>28</v>
      </c>
      <c r="E393" t="s">
        <v>119</v>
      </c>
      <c r="F393">
        <v>145.59</v>
      </c>
      <c r="G393">
        <v>144.79</v>
      </c>
      <c r="H393">
        <v>5</v>
      </c>
      <c r="I393">
        <f t="shared" si="110"/>
        <v>4.0000000000000568</v>
      </c>
      <c r="J393">
        <v>1</v>
      </c>
      <c r="K393">
        <f t="shared" si="111"/>
        <v>4.0000000000000568</v>
      </c>
      <c r="L393" t="s">
        <v>72</v>
      </c>
      <c r="M393">
        <f>SUMIF(Executions!B:B,A393,Executions!H:H)</f>
        <v>-2.6000000000000512</v>
      </c>
      <c r="N393">
        <f t="shared" si="112"/>
        <v>-0.65000000000000357</v>
      </c>
      <c r="O393" s="4">
        <f>Tabla1[[#This Row],[Initial Risk $]]/Tabla1[[#This Row],[Position Size (shares)]]+Tabla1[[#This Row],[Entry Price]]</f>
        <v>146.39000000000001</v>
      </c>
      <c r="P393" s="4">
        <f>Tabla1[[#This Row],[Initial Risk $]]/Tabla1[[#This Row],[Position Size (shares)]]*2+Tabla1[[#This Row],[Entry Price]]</f>
        <v>147.19000000000003</v>
      </c>
      <c r="Q393" s="4">
        <f>Tabla1[[#This Row],[Initial Risk $]]/Tabla1[[#This Row],[Position Size (shares)]]*3+Tabla1[[#This Row],[Entry Price]]</f>
        <v>147.99000000000004</v>
      </c>
    </row>
    <row r="394" spans="1:17" hidden="1" x14ac:dyDescent="0.25">
      <c r="A394" t="str">
        <f t="shared" si="109"/>
        <v>T-393</v>
      </c>
      <c r="B394" s="1">
        <v>46197</v>
      </c>
      <c r="C394" t="s">
        <v>557</v>
      </c>
      <c r="D394" t="s">
        <v>28</v>
      </c>
      <c r="E394" t="s">
        <v>119</v>
      </c>
      <c r="F394">
        <v>73.72</v>
      </c>
      <c r="G394">
        <v>73.22</v>
      </c>
      <c r="H394">
        <v>12</v>
      </c>
      <c r="I394">
        <f t="shared" si="110"/>
        <v>6</v>
      </c>
      <c r="J394">
        <v>1</v>
      </c>
      <c r="K394">
        <f t="shared" si="111"/>
        <v>6</v>
      </c>
      <c r="L394" t="s">
        <v>72</v>
      </c>
      <c r="M394">
        <f>SUMIF(Executions!B:B,A394,Executions!H:H)</f>
        <v>3.5999999999999659</v>
      </c>
      <c r="N394">
        <f t="shared" si="112"/>
        <v>0.59999999999999432</v>
      </c>
      <c r="O394" s="4">
        <f>Tabla1[[#This Row],[Initial Risk $]]/Tabla1[[#This Row],[Position Size (shares)]]+Tabla1[[#This Row],[Entry Price]]</f>
        <v>74.22</v>
      </c>
      <c r="P394" s="4">
        <f>Tabla1[[#This Row],[Initial Risk $]]/Tabla1[[#This Row],[Position Size (shares)]]*2+Tabla1[[#This Row],[Entry Price]]</f>
        <v>74.72</v>
      </c>
      <c r="Q394" s="4">
        <f>Tabla1[[#This Row],[Initial Risk $]]/Tabla1[[#This Row],[Position Size (shares)]]*3+Tabla1[[#This Row],[Entry Price]]</f>
        <v>75.22</v>
      </c>
    </row>
    <row r="395" spans="1:17" hidden="1" x14ac:dyDescent="0.25">
      <c r="A395" t="str">
        <f t="shared" si="109"/>
        <v>T-394</v>
      </c>
      <c r="B395" s="1">
        <v>46197</v>
      </c>
      <c r="C395" t="s">
        <v>620</v>
      </c>
      <c r="D395" t="s">
        <v>28</v>
      </c>
      <c r="E395" t="s">
        <v>58</v>
      </c>
      <c r="F395">
        <v>120.88</v>
      </c>
      <c r="G395">
        <v>120.38</v>
      </c>
      <c r="H395">
        <v>5</v>
      </c>
      <c r="I395">
        <f t="shared" si="110"/>
        <v>2.5</v>
      </c>
      <c r="J395">
        <v>1</v>
      </c>
      <c r="K395">
        <f t="shared" si="111"/>
        <v>2.5</v>
      </c>
      <c r="L395" t="s">
        <v>72</v>
      </c>
      <c r="M395">
        <f>SUMIF(Executions!B:B,A395,Executions!H:H)</f>
        <v>2.2500000000000142</v>
      </c>
      <c r="N395">
        <f t="shared" si="112"/>
        <v>0.90000000000000568</v>
      </c>
      <c r="O395" s="4">
        <f>Tabla1[[#This Row],[Initial Risk $]]/Tabla1[[#This Row],[Position Size (shares)]]+Tabla1[[#This Row],[Entry Price]]</f>
        <v>121.38</v>
      </c>
      <c r="P395" s="4">
        <f>Tabla1[[#This Row],[Initial Risk $]]/Tabla1[[#This Row],[Position Size (shares)]]*2+Tabla1[[#This Row],[Entry Price]]</f>
        <v>121.88</v>
      </c>
      <c r="Q395" s="4">
        <f>Tabla1[[#This Row],[Initial Risk $]]/Tabla1[[#This Row],[Position Size (shares)]]*3+Tabla1[[#This Row],[Entry Price]]</f>
        <v>122.38</v>
      </c>
    </row>
    <row r="396" spans="1:17" hidden="1" x14ac:dyDescent="0.25">
      <c r="A396" t="str">
        <f t="shared" ref="A396:A404" si="113">"T-"&amp; TEXT(ROW()-1,"000")</f>
        <v>T-395</v>
      </c>
      <c r="B396" s="1">
        <v>46198</v>
      </c>
      <c r="C396" t="s">
        <v>101</v>
      </c>
      <c r="D396" t="s">
        <v>28</v>
      </c>
      <c r="E396" t="s">
        <v>58</v>
      </c>
      <c r="F396">
        <v>10.17</v>
      </c>
      <c r="G396">
        <v>9.9700000000000006</v>
      </c>
      <c r="H396">
        <v>50</v>
      </c>
      <c r="I396">
        <f t="shared" ref="I396:I404" si="114">IF(D396="Long",(F396-G396)*H396,(G396-F396)*0)</f>
        <v>9.9999999999999645</v>
      </c>
      <c r="J396">
        <v>1</v>
      </c>
      <c r="K396">
        <f t="shared" ref="K396:K404" si="115">I396*J396</f>
        <v>9.9999999999999645</v>
      </c>
      <c r="L396" t="s">
        <v>72</v>
      </c>
      <c r="M396">
        <f>SUMIF(Executions!B:B,A396,Executions!H:H)</f>
        <v>-9.4999999999999751</v>
      </c>
      <c r="N396">
        <f t="shared" ref="N396:N404" si="116">M396/I396</f>
        <v>-0.95000000000000084</v>
      </c>
      <c r="O396" s="4">
        <f>Tabla1[[#This Row],[Initial Risk $]]/Tabla1[[#This Row],[Position Size (shares)]]+Tabla1[[#This Row],[Entry Price]]</f>
        <v>10.37</v>
      </c>
      <c r="P396" s="4">
        <f>Tabla1[[#This Row],[Initial Risk $]]/Tabla1[[#This Row],[Position Size (shares)]]*2+Tabla1[[#This Row],[Entry Price]]</f>
        <v>10.569999999999999</v>
      </c>
      <c r="Q396" s="4">
        <f>Tabla1[[#This Row],[Initial Risk $]]/Tabla1[[#This Row],[Position Size (shares)]]*3+Tabla1[[#This Row],[Entry Price]]</f>
        <v>10.769999999999998</v>
      </c>
    </row>
    <row r="397" spans="1:17" hidden="1" x14ac:dyDescent="0.25">
      <c r="A397" t="str">
        <f t="shared" si="113"/>
        <v>T-396</v>
      </c>
      <c r="B397" s="1">
        <v>46198</v>
      </c>
      <c r="C397" t="s">
        <v>550</v>
      </c>
      <c r="D397" t="s">
        <v>28</v>
      </c>
      <c r="E397" t="s">
        <v>58</v>
      </c>
      <c r="F397">
        <v>78.17</v>
      </c>
      <c r="G397">
        <v>77.44</v>
      </c>
      <c r="H397">
        <v>10</v>
      </c>
      <c r="I397">
        <f t="shared" si="114"/>
        <v>7.3000000000000398</v>
      </c>
      <c r="J397">
        <v>1</v>
      </c>
      <c r="K397">
        <f t="shared" si="115"/>
        <v>7.3000000000000398</v>
      </c>
      <c r="L397" t="s">
        <v>72</v>
      </c>
      <c r="M397">
        <f>SUMIF(Executions!B:B,A397,Executions!H:H)</f>
        <v>-9.6000000000000796</v>
      </c>
      <c r="N397">
        <f t="shared" si="116"/>
        <v>-1.3150684931506886</v>
      </c>
      <c r="O397" s="4">
        <f>Tabla1[[#This Row],[Initial Risk $]]/Tabla1[[#This Row],[Position Size (shares)]]+Tabla1[[#This Row],[Entry Price]]</f>
        <v>78.900000000000006</v>
      </c>
      <c r="P397" s="4">
        <f>Tabla1[[#This Row],[Initial Risk $]]/Tabla1[[#This Row],[Position Size (shares)]]*2+Tabla1[[#This Row],[Entry Price]]</f>
        <v>79.63000000000001</v>
      </c>
      <c r="Q397" s="4">
        <f>Tabla1[[#This Row],[Initial Risk $]]/Tabla1[[#This Row],[Position Size (shares)]]*3+Tabla1[[#This Row],[Entry Price]]</f>
        <v>80.360000000000014</v>
      </c>
    </row>
    <row r="398" spans="1:17" hidden="1" x14ac:dyDescent="0.25">
      <c r="A398" t="str">
        <f t="shared" si="113"/>
        <v>T-397</v>
      </c>
      <c r="B398" s="1">
        <v>46198</v>
      </c>
      <c r="C398" t="s">
        <v>348</v>
      </c>
      <c r="D398" t="s">
        <v>28</v>
      </c>
      <c r="E398" t="s">
        <v>119</v>
      </c>
      <c r="F398">
        <v>113.9</v>
      </c>
      <c r="G398">
        <v>112.9</v>
      </c>
      <c r="H398">
        <v>10</v>
      </c>
      <c r="I398">
        <f t="shared" si="114"/>
        <v>10</v>
      </c>
      <c r="J398">
        <v>1</v>
      </c>
      <c r="K398">
        <f t="shared" si="115"/>
        <v>10</v>
      </c>
      <c r="L398" t="s">
        <v>72</v>
      </c>
      <c r="M398">
        <f>SUMIF(Executions!B:B,A398,Executions!H:H)</f>
        <v>19.799999999999898</v>
      </c>
      <c r="N398">
        <f t="shared" si="116"/>
        <v>1.9799999999999898</v>
      </c>
      <c r="O398" s="4">
        <f>Tabla1[[#This Row],[Initial Risk $]]/Tabla1[[#This Row],[Position Size (shares)]]+Tabla1[[#This Row],[Entry Price]]</f>
        <v>114.9</v>
      </c>
      <c r="P398" s="4">
        <f>Tabla1[[#This Row],[Initial Risk $]]/Tabla1[[#This Row],[Position Size (shares)]]*2+Tabla1[[#This Row],[Entry Price]]</f>
        <v>115.9</v>
      </c>
      <c r="Q398" s="4">
        <f>Tabla1[[#This Row],[Initial Risk $]]/Tabla1[[#This Row],[Position Size (shares)]]*3+Tabla1[[#This Row],[Entry Price]]</f>
        <v>116.9</v>
      </c>
    </row>
    <row r="399" spans="1:17" hidden="1" x14ac:dyDescent="0.25">
      <c r="A399" t="str">
        <f t="shared" si="113"/>
        <v>T-398</v>
      </c>
      <c r="B399" s="1">
        <v>46198</v>
      </c>
      <c r="C399" t="s">
        <v>550</v>
      </c>
      <c r="D399" t="s">
        <v>28</v>
      </c>
      <c r="E399" t="s">
        <v>119</v>
      </c>
      <c r="F399">
        <v>77.39</v>
      </c>
      <c r="G399">
        <v>76.989999999999995</v>
      </c>
      <c r="H399">
        <v>10</v>
      </c>
      <c r="I399">
        <f t="shared" si="114"/>
        <v>4.0000000000000568</v>
      </c>
      <c r="J399">
        <v>1</v>
      </c>
      <c r="K399">
        <f t="shared" si="115"/>
        <v>4.0000000000000568</v>
      </c>
      <c r="L399" t="s">
        <v>72</v>
      </c>
      <c r="M399">
        <f>SUMIF(Executions!B:B,A399,Executions!H:H)</f>
        <v>7.3999999999999488</v>
      </c>
      <c r="N399">
        <f t="shared" si="116"/>
        <v>1.849999999999961</v>
      </c>
      <c r="O399" s="4">
        <f>Tabla1[[#This Row],[Initial Risk $]]/Tabla1[[#This Row],[Position Size (shares)]]+Tabla1[[#This Row],[Entry Price]]</f>
        <v>77.790000000000006</v>
      </c>
      <c r="P399" s="4">
        <f>Tabla1[[#This Row],[Initial Risk $]]/Tabla1[[#This Row],[Position Size (shares)]]*2+Tabla1[[#This Row],[Entry Price]]</f>
        <v>78.190000000000012</v>
      </c>
      <c r="Q399" s="4">
        <f>Tabla1[[#This Row],[Initial Risk $]]/Tabla1[[#This Row],[Position Size (shares)]]*3+Tabla1[[#This Row],[Entry Price]]</f>
        <v>78.590000000000018</v>
      </c>
    </row>
    <row r="400" spans="1:17" hidden="1" x14ac:dyDescent="0.25">
      <c r="A400" t="str">
        <f t="shared" si="113"/>
        <v>T-399</v>
      </c>
      <c r="B400" s="1">
        <v>46198</v>
      </c>
      <c r="C400" t="s">
        <v>628</v>
      </c>
      <c r="D400" t="s">
        <v>28</v>
      </c>
      <c r="E400" t="s">
        <v>27</v>
      </c>
      <c r="F400">
        <v>7.63</v>
      </c>
      <c r="G400">
        <v>7.42</v>
      </c>
      <c r="H400">
        <v>20</v>
      </c>
      <c r="I400">
        <f t="shared" si="114"/>
        <v>4.1999999999999993</v>
      </c>
      <c r="J400">
        <v>1</v>
      </c>
      <c r="K400">
        <f t="shared" si="115"/>
        <v>4.1999999999999993</v>
      </c>
      <c r="L400" t="s">
        <v>72</v>
      </c>
      <c r="M400">
        <f>SUMIF(Executions!B:B,A400,Executions!H:H)</f>
        <v>-4.1999999999999993</v>
      </c>
      <c r="N400">
        <f t="shared" si="116"/>
        <v>-1</v>
      </c>
      <c r="O400" s="4">
        <f>Tabla1[[#This Row],[Initial Risk $]]/Tabla1[[#This Row],[Position Size (shares)]]+Tabla1[[#This Row],[Entry Price]]</f>
        <v>7.84</v>
      </c>
      <c r="P400" s="4">
        <f>Tabla1[[#This Row],[Initial Risk $]]/Tabla1[[#This Row],[Position Size (shares)]]*2+Tabla1[[#This Row],[Entry Price]]</f>
        <v>8.0500000000000007</v>
      </c>
      <c r="Q400" s="4">
        <f>Tabla1[[#This Row],[Initial Risk $]]/Tabla1[[#This Row],[Position Size (shares)]]*3+Tabla1[[#This Row],[Entry Price]]</f>
        <v>8.26</v>
      </c>
    </row>
    <row r="401" spans="1:17" hidden="1" x14ac:dyDescent="0.25">
      <c r="A401" t="str">
        <f t="shared" si="113"/>
        <v>T-400</v>
      </c>
      <c r="B401" s="1">
        <v>46198</v>
      </c>
      <c r="C401" t="s">
        <v>255</v>
      </c>
      <c r="D401" t="s">
        <v>28</v>
      </c>
      <c r="E401" t="s">
        <v>119</v>
      </c>
      <c r="F401">
        <v>277.95</v>
      </c>
      <c r="G401">
        <v>276.29000000000002</v>
      </c>
      <c r="H401">
        <v>5</v>
      </c>
      <c r="I401">
        <f t="shared" si="114"/>
        <v>8.2999999999998408</v>
      </c>
      <c r="J401">
        <v>1</v>
      </c>
      <c r="K401">
        <f t="shared" si="115"/>
        <v>8.2999999999998408</v>
      </c>
      <c r="L401" t="s">
        <v>72</v>
      </c>
      <c r="M401">
        <f>SUMIF(Executions!B:B,A401,Executions!H:H)</f>
        <v>-8.4000000000000341</v>
      </c>
      <c r="N401">
        <f t="shared" si="116"/>
        <v>-1.0120481927711078</v>
      </c>
      <c r="O401" s="4">
        <f>Tabla1[[#This Row],[Initial Risk $]]/Tabla1[[#This Row],[Position Size (shares)]]+Tabla1[[#This Row],[Entry Price]]</f>
        <v>279.60999999999996</v>
      </c>
      <c r="P401" s="4">
        <f>Tabla1[[#This Row],[Initial Risk $]]/Tabla1[[#This Row],[Position Size (shares)]]*2+Tabla1[[#This Row],[Entry Price]]</f>
        <v>281.26999999999992</v>
      </c>
      <c r="Q401" s="4">
        <f>Tabla1[[#This Row],[Initial Risk $]]/Tabla1[[#This Row],[Position Size (shares)]]*3+Tabla1[[#This Row],[Entry Price]]</f>
        <v>282.92999999999989</v>
      </c>
    </row>
    <row r="402" spans="1:17" hidden="1" x14ac:dyDescent="0.25">
      <c r="A402" t="str">
        <f t="shared" si="113"/>
        <v>T-401</v>
      </c>
      <c r="B402" s="1">
        <v>46198</v>
      </c>
      <c r="C402" t="s">
        <v>164</v>
      </c>
      <c r="D402" t="s">
        <v>28</v>
      </c>
      <c r="E402" t="s">
        <v>58</v>
      </c>
      <c r="F402">
        <v>195.59</v>
      </c>
      <c r="G402">
        <v>194.54</v>
      </c>
      <c r="H402">
        <v>5</v>
      </c>
      <c r="I402">
        <f t="shared" si="114"/>
        <v>5.2500000000000568</v>
      </c>
      <c r="J402">
        <v>1</v>
      </c>
      <c r="K402">
        <f t="shared" si="115"/>
        <v>5.2500000000000568</v>
      </c>
      <c r="L402" t="s">
        <v>72</v>
      </c>
      <c r="M402">
        <f>SUMIF(Executions!B:B,A402,Executions!H:H)</f>
        <v>-5.3000000000000114</v>
      </c>
      <c r="N402">
        <f t="shared" si="116"/>
        <v>-1.0095238095238008</v>
      </c>
      <c r="O402" s="4">
        <f>Tabla1[[#This Row],[Initial Risk $]]/Tabla1[[#This Row],[Position Size (shares)]]+Tabla1[[#This Row],[Entry Price]]</f>
        <v>196.64000000000001</v>
      </c>
      <c r="P402" s="4">
        <f>Tabla1[[#This Row],[Initial Risk $]]/Tabla1[[#This Row],[Position Size (shares)]]*2+Tabla1[[#This Row],[Entry Price]]</f>
        <v>197.69000000000003</v>
      </c>
      <c r="Q402" s="4">
        <f>Tabla1[[#This Row],[Initial Risk $]]/Tabla1[[#This Row],[Position Size (shares)]]*3+Tabla1[[#This Row],[Entry Price]]</f>
        <v>198.74000000000004</v>
      </c>
    </row>
    <row r="403" spans="1:17" hidden="1" x14ac:dyDescent="0.25">
      <c r="A403" t="str">
        <f t="shared" si="113"/>
        <v>T-402</v>
      </c>
      <c r="B403" s="1">
        <v>46198</v>
      </c>
      <c r="C403" t="s">
        <v>631</v>
      </c>
      <c r="D403" t="s">
        <v>28</v>
      </c>
      <c r="E403" t="s">
        <v>58</v>
      </c>
      <c r="F403">
        <v>23.6</v>
      </c>
      <c r="G403">
        <v>23.39</v>
      </c>
      <c r="H403">
        <v>30</v>
      </c>
      <c r="I403">
        <f t="shared" si="114"/>
        <v>6.3000000000000256</v>
      </c>
      <c r="J403">
        <v>1</v>
      </c>
      <c r="K403">
        <f t="shared" si="115"/>
        <v>6.3000000000000256</v>
      </c>
      <c r="L403" t="s">
        <v>72</v>
      </c>
      <c r="M403">
        <f>SUMIF(Executions!B:B,A403,Executions!H:H)</f>
        <v>-1.8000000000000682</v>
      </c>
      <c r="N403">
        <f t="shared" si="116"/>
        <v>-0.28571428571429536</v>
      </c>
      <c r="O403" s="4">
        <f>Tabla1[[#This Row],[Initial Risk $]]/Tabla1[[#This Row],[Position Size (shares)]]+Tabla1[[#This Row],[Entry Price]]</f>
        <v>23.810000000000002</v>
      </c>
      <c r="P403" s="4">
        <f>Tabla1[[#This Row],[Initial Risk $]]/Tabla1[[#This Row],[Position Size (shares)]]*2+Tabla1[[#This Row],[Entry Price]]</f>
        <v>24.020000000000003</v>
      </c>
      <c r="Q403" s="4">
        <f>Tabla1[[#This Row],[Initial Risk $]]/Tabla1[[#This Row],[Position Size (shares)]]*3+Tabla1[[#This Row],[Entry Price]]</f>
        <v>24.230000000000004</v>
      </c>
    </row>
    <row r="404" spans="1:17" hidden="1" x14ac:dyDescent="0.25">
      <c r="A404" t="str">
        <f t="shared" si="113"/>
        <v>T-403</v>
      </c>
      <c r="B404" s="1">
        <v>46198</v>
      </c>
      <c r="C404" t="s">
        <v>632</v>
      </c>
      <c r="D404" t="s">
        <v>28</v>
      </c>
      <c r="E404" t="s">
        <v>58</v>
      </c>
      <c r="F404">
        <v>87.68</v>
      </c>
      <c r="G404">
        <v>87.19</v>
      </c>
      <c r="H404">
        <v>15</v>
      </c>
      <c r="I404">
        <f t="shared" si="114"/>
        <v>7.3500000000001364</v>
      </c>
      <c r="J404">
        <v>1</v>
      </c>
      <c r="K404">
        <f t="shared" si="115"/>
        <v>7.3500000000001364</v>
      </c>
      <c r="L404" t="s">
        <v>72</v>
      </c>
      <c r="M404">
        <f>SUMIF(Executions!B:B,A404,Executions!H:H)</f>
        <v>2.2499999999998721</v>
      </c>
      <c r="N404">
        <f t="shared" si="116"/>
        <v>0.30612244897956875</v>
      </c>
      <c r="O404" s="4">
        <f>Tabla1[[#This Row],[Initial Risk $]]/Tabla1[[#This Row],[Position Size (shares)]]+Tabla1[[#This Row],[Entry Price]]</f>
        <v>88.170000000000016</v>
      </c>
      <c r="P404" s="4">
        <f>Tabla1[[#This Row],[Initial Risk $]]/Tabla1[[#This Row],[Position Size (shares)]]*2+Tabla1[[#This Row],[Entry Price]]</f>
        <v>88.660000000000025</v>
      </c>
      <c r="Q404" s="4">
        <f>Tabla1[[#This Row],[Initial Risk $]]/Tabla1[[#This Row],[Position Size (shares)]]*3+Tabla1[[#This Row],[Entry Price]]</f>
        <v>89.150000000000034</v>
      </c>
    </row>
    <row r="405" spans="1:17" hidden="1" x14ac:dyDescent="0.25">
      <c r="A405" t="str">
        <f t="shared" ref="A405:A410" si="117">"T-"&amp; TEXT(ROW()-1,"000")</f>
        <v>T-404</v>
      </c>
      <c r="B405" s="1">
        <v>46199</v>
      </c>
      <c r="C405" t="s">
        <v>101</v>
      </c>
      <c r="D405" t="s">
        <v>28</v>
      </c>
      <c r="E405" t="s">
        <v>58</v>
      </c>
      <c r="F405">
        <v>10.39</v>
      </c>
      <c r="G405">
        <v>10.3</v>
      </c>
      <c r="H405">
        <v>60</v>
      </c>
      <c r="I405">
        <f t="shared" ref="I405:I410" si="118">IF(D405="Long",(F405-G405)*H405,(G405-F405)*0)</f>
        <v>5.3999999999999915</v>
      </c>
      <c r="J405">
        <v>1</v>
      </c>
      <c r="K405">
        <f t="shared" ref="K405:K410" si="119">I405*J405</f>
        <v>5.3999999999999915</v>
      </c>
      <c r="L405" t="s">
        <v>72</v>
      </c>
      <c r="M405">
        <f>SUMIF(Executions!B:B,A405,Executions!H:H)</f>
        <v>-9.6000000000000085</v>
      </c>
      <c r="N405">
        <f t="shared" ref="N405:N410" si="120">M405/I405</f>
        <v>-1.7777777777777821</v>
      </c>
      <c r="O405" s="4">
        <f>Tabla1[[#This Row],[Initial Risk $]]/Tabla1[[#This Row],[Position Size (shares)]]+Tabla1[[#This Row],[Entry Price]]</f>
        <v>10.48</v>
      </c>
      <c r="P405" s="4">
        <f>Tabla1[[#This Row],[Initial Risk $]]/Tabla1[[#This Row],[Position Size (shares)]]*2+Tabla1[[#This Row],[Entry Price]]</f>
        <v>10.57</v>
      </c>
      <c r="Q405" s="4">
        <f>Tabla1[[#This Row],[Initial Risk $]]/Tabla1[[#This Row],[Position Size (shares)]]*3+Tabla1[[#This Row],[Entry Price]]</f>
        <v>10.66</v>
      </c>
    </row>
    <row r="406" spans="1:17" hidden="1" x14ac:dyDescent="0.25">
      <c r="A406" t="str">
        <f t="shared" si="117"/>
        <v>T-405</v>
      </c>
      <c r="B406" s="1">
        <v>46199</v>
      </c>
      <c r="C406" t="s">
        <v>550</v>
      </c>
      <c r="D406" t="s">
        <v>28</v>
      </c>
      <c r="E406" t="s">
        <v>119</v>
      </c>
      <c r="F406">
        <v>76.89</v>
      </c>
      <c r="G406">
        <v>76.09</v>
      </c>
      <c r="H406">
        <v>10</v>
      </c>
      <c r="I406">
        <f t="shared" si="118"/>
        <v>7.9999999999999716</v>
      </c>
      <c r="J406">
        <v>1</v>
      </c>
      <c r="K406">
        <f t="shared" si="119"/>
        <v>7.9999999999999716</v>
      </c>
      <c r="L406" t="s">
        <v>72</v>
      </c>
      <c r="M406">
        <f>SUMIF(Executions!B:B,A406,Executions!H:H)</f>
        <v>28.400000000000034</v>
      </c>
      <c r="N406">
        <f t="shared" si="120"/>
        <v>3.5500000000000167</v>
      </c>
      <c r="O406" s="4">
        <f>Tabla1[[#This Row],[Initial Risk $]]/Tabla1[[#This Row],[Position Size (shares)]]+Tabla1[[#This Row],[Entry Price]]</f>
        <v>77.69</v>
      </c>
      <c r="P406" s="4">
        <f>Tabla1[[#This Row],[Initial Risk $]]/Tabla1[[#This Row],[Position Size (shares)]]*2+Tabla1[[#This Row],[Entry Price]]</f>
        <v>78.489999999999995</v>
      </c>
      <c r="Q406" s="4">
        <f>Tabla1[[#This Row],[Initial Risk $]]/Tabla1[[#This Row],[Position Size (shares)]]*3+Tabla1[[#This Row],[Entry Price]]</f>
        <v>79.289999999999992</v>
      </c>
    </row>
    <row r="407" spans="1:17" hidden="1" x14ac:dyDescent="0.25">
      <c r="A407" t="str">
        <f t="shared" si="117"/>
        <v>T-406</v>
      </c>
      <c r="B407" s="1">
        <v>46199</v>
      </c>
      <c r="C407" t="s">
        <v>95</v>
      </c>
      <c r="D407" t="s">
        <v>28</v>
      </c>
      <c r="E407" t="s">
        <v>49</v>
      </c>
      <c r="F407">
        <v>96.87</v>
      </c>
      <c r="G407">
        <v>96.4</v>
      </c>
      <c r="H407">
        <v>10</v>
      </c>
      <c r="I407">
        <f t="shared" si="118"/>
        <v>4.6999999999999886</v>
      </c>
      <c r="J407">
        <v>1</v>
      </c>
      <c r="K407">
        <f t="shared" si="119"/>
        <v>4.6999999999999886</v>
      </c>
      <c r="L407" t="s">
        <v>72</v>
      </c>
      <c r="M407">
        <f>SUMIF(Executions!B:B,A407,Executions!H:H)</f>
        <v>5.6999999999999318</v>
      </c>
      <c r="N407">
        <f t="shared" si="120"/>
        <v>1.2127659574467968</v>
      </c>
      <c r="O407" s="4">
        <f>Tabla1[[#This Row],[Initial Risk $]]/Tabla1[[#This Row],[Position Size (shares)]]+Tabla1[[#This Row],[Entry Price]]</f>
        <v>97.34</v>
      </c>
      <c r="P407" s="4">
        <f>Tabla1[[#This Row],[Initial Risk $]]/Tabla1[[#This Row],[Position Size (shares)]]*2+Tabla1[[#This Row],[Entry Price]]</f>
        <v>97.81</v>
      </c>
      <c r="Q407" s="4">
        <f>Tabla1[[#This Row],[Initial Risk $]]/Tabla1[[#This Row],[Position Size (shares)]]*3+Tabla1[[#This Row],[Entry Price]]</f>
        <v>98.28</v>
      </c>
    </row>
    <row r="408" spans="1:17" hidden="1" x14ac:dyDescent="0.25">
      <c r="A408" t="str">
        <f t="shared" si="117"/>
        <v>T-407</v>
      </c>
      <c r="B408" s="1">
        <v>46199</v>
      </c>
      <c r="C408" t="s">
        <v>638</v>
      </c>
      <c r="D408" t="s">
        <v>28</v>
      </c>
      <c r="E408" t="s">
        <v>119</v>
      </c>
      <c r="F408">
        <v>65.260000000000005</v>
      </c>
      <c r="G408">
        <v>65.010000000000005</v>
      </c>
      <c r="H408">
        <v>30</v>
      </c>
      <c r="I408">
        <f t="shared" si="118"/>
        <v>7.5</v>
      </c>
      <c r="J408">
        <v>1</v>
      </c>
      <c r="K408">
        <f t="shared" si="119"/>
        <v>7.5</v>
      </c>
      <c r="L408" t="s">
        <v>72</v>
      </c>
      <c r="M408">
        <f>SUMIF(Executions!B:B,A408,Executions!H:H)</f>
        <v>-8.4000000000000341</v>
      </c>
      <c r="N408">
        <f t="shared" si="120"/>
        <v>-1.1200000000000045</v>
      </c>
      <c r="O408" s="4">
        <f>Tabla1[[#This Row],[Initial Risk $]]/Tabla1[[#This Row],[Position Size (shares)]]+Tabla1[[#This Row],[Entry Price]]</f>
        <v>65.510000000000005</v>
      </c>
      <c r="P408" s="4">
        <f>Tabla1[[#This Row],[Initial Risk $]]/Tabla1[[#This Row],[Position Size (shares)]]*2+Tabla1[[#This Row],[Entry Price]]</f>
        <v>65.760000000000005</v>
      </c>
      <c r="Q408" s="4">
        <f>Tabla1[[#This Row],[Initial Risk $]]/Tabla1[[#This Row],[Position Size (shares)]]*3+Tabla1[[#This Row],[Entry Price]]</f>
        <v>66.010000000000005</v>
      </c>
    </row>
    <row r="409" spans="1:17" hidden="1" x14ac:dyDescent="0.25">
      <c r="A409" t="str">
        <f t="shared" si="117"/>
        <v>T-408</v>
      </c>
      <c r="B409" s="1">
        <v>46199</v>
      </c>
      <c r="C409" t="s">
        <v>271</v>
      </c>
      <c r="D409" t="s">
        <v>28</v>
      </c>
      <c r="E409" t="s">
        <v>119</v>
      </c>
      <c r="F409">
        <v>643.13</v>
      </c>
      <c r="G409">
        <v>641.13</v>
      </c>
      <c r="H409">
        <v>5</v>
      </c>
      <c r="I409">
        <f t="shared" si="118"/>
        <v>10</v>
      </c>
      <c r="J409">
        <v>1</v>
      </c>
      <c r="K409">
        <f t="shared" si="119"/>
        <v>10</v>
      </c>
      <c r="L409" t="s">
        <v>72</v>
      </c>
      <c r="M409">
        <f>SUMIF(Executions!B:B,A409,Executions!H:H)</f>
        <v>18.450000000000273</v>
      </c>
      <c r="N409">
        <f t="shared" si="120"/>
        <v>1.8450000000000273</v>
      </c>
      <c r="O409" s="4">
        <f>Tabla1[[#This Row],[Initial Risk $]]/Tabla1[[#This Row],[Position Size (shares)]]+Tabla1[[#This Row],[Entry Price]]</f>
        <v>645.13</v>
      </c>
      <c r="P409" s="4">
        <f>Tabla1[[#This Row],[Initial Risk $]]/Tabla1[[#This Row],[Position Size (shares)]]*2+Tabla1[[#This Row],[Entry Price]]</f>
        <v>647.13</v>
      </c>
      <c r="Q409" s="4">
        <f>Tabla1[[#This Row],[Initial Risk $]]/Tabla1[[#This Row],[Position Size (shares)]]*3+Tabla1[[#This Row],[Entry Price]]</f>
        <v>649.13</v>
      </c>
    </row>
    <row r="410" spans="1:17" hidden="1" x14ac:dyDescent="0.25">
      <c r="A410" t="str">
        <f t="shared" si="117"/>
        <v>T-409</v>
      </c>
      <c r="B410" s="1">
        <v>46199</v>
      </c>
      <c r="C410" t="s">
        <v>161</v>
      </c>
      <c r="D410" t="s">
        <v>28</v>
      </c>
      <c r="E410" t="s">
        <v>119</v>
      </c>
      <c r="F410">
        <v>128.86000000000001</v>
      </c>
      <c r="G410">
        <v>127.88</v>
      </c>
      <c r="H410">
        <v>4</v>
      </c>
      <c r="I410">
        <f t="shared" si="118"/>
        <v>3.9200000000000728</v>
      </c>
      <c r="J410">
        <v>1</v>
      </c>
      <c r="K410">
        <f t="shared" si="119"/>
        <v>3.9200000000000728</v>
      </c>
      <c r="L410" t="s">
        <v>72</v>
      </c>
      <c r="M410">
        <f>SUMIF(Executions!B:B,A410,Executions!H:H)</f>
        <v>-3.9600000000000364</v>
      </c>
      <c r="N410">
        <f t="shared" si="120"/>
        <v>-1.0102040816326436</v>
      </c>
      <c r="O410" s="4">
        <f>Tabla1[[#This Row],[Initial Risk $]]/Tabla1[[#This Row],[Position Size (shares)]]+Tabla1[[#This Row],[Entry Price]]</f>
        <v>129.84000000000003</v>
      </c>
      <c r="P410" s="4">
        <f>Tabla1[[#This Row],[Initial Risk $]]/Tabla1[[#This Row],[Position Size (shares)]]*2+Tabla1[[#This Row],[Entry Price]]</f>
        <v>130.82000000000005</v>
      </c>
      <c r="Q410" s="4">
        <f>Tabla1[[#This Row],[Initial Risk $]]/Tabla1[[#This Row],[Position Size (shares)]]*3+Tabla1[[#This Row],[Entry Price]]</f>
        <v>131.80000000000007</v>
      </c>
    </row>
    <row r="411" spans="1:17" hidden="1" x14ac:dyDescent="0.25">
      <c r="A411" t="str">
        <f t="shared" ref="A411:A418" si="121">"T-"&amp; TEXT(ROW()-1,"000")</f>
        <v>T-410</v>
      </c>
      <c r="B411" s="1">
        <v>46202</v>
      </c>
      <c r="C411" t="s">
        <v>101</v>
      </c>
      <c r="D411" t="s">
        <v>28</v>
      </c>
      <c r="E411" t="s">
        <v>58</v>
      </c>
      <c r="F411">
        <v>11.98</v>
      </c>
      <c r="G411">
        <v>11.78</v>
      </c>
      <c r="H411">
        <v>50</v>
      </c>
      <c r="I411">
        <f t="shared" ref="I411:I418" si="122">IF(D411="Long",(F411-G411)*H411,(G411-F411)*0)</f>
        <v>10.000000000000053</v>
      </c>
      <c r="J411">
        <v>1</v>
      </c>
      <c r="K411">
        <f t="shared" ref="K411:K418" si="123">I411*J411</f>
        <v>10.000000000000053</v>
      </c>
      <c r="L411" t="s">
        <v>72</v>
      </c>
      <c r="M411">
        <f>SUMIF(Executions!B:B,A411,Executions!H:H)</f>
        <v>8.9999999999999858</v>
      </c>
      <c r="N411">
        <f t="shared" ref="N411:N418" si="124">M411/I411</f>
        <v>0.8999999999999938</v>
      </c>
      <c r="O411" s="4">
        <f>Tabla1[[#This Row],[Initial Risk $]]/Tabla1[[#This Row],[Position Size (shares)]]+Tabla1[[#This Row],[Entry Price]]</f>
        <v>12.180000000000001</v>
      </c>
      <c r="P411" s="4">
        <f>Tabla1[[#This Row],[Initial Risk $]]/Tabla1[[#This Row],[Position Size (shares)]]*2+Tabla1[[#This Row],[Entry Price]]</f>
        <v>12.380000000000003</v>
      </c>
      <c r="Q411" s="4">
        <f>Tabla1[[#This Row],[Initial Risk $]]/Tabla1[[#This Row],[Position Size (shares)]]*3+Tabla1[[#This Row],[Entry Price]]</f>
        <v>12.580000000000004</v>
      </c>
    </row>
    <row r="412" spans="1:17" hidden="1" x14ac:dyDescent="0.25">
      <c r="A412" t="str">
        <f t="shared" si="121"/>
        <v>T-411</v>
      </c>
      <c r="B412" s="1">
        <v>46202</v>
      </c>
      <c r="C412" t="s">
        <v>271</v>
      </c>
      <c r="D412" t="s">
        <v>28</v>
      </c>
      <c r="E412" t="s">
        <v>49</v>
      </c>
      <c r="F412">
        <v>648.37</v>
      </c>
      <c r="G412">
        <v>642.79999999999995</v>
      </c>
      <c r="H412">
        <v>2</v>
      </c>
      <c r="I412">
        <f t="shared" si="122"/>
        <v>11.1400000000001</v>
      </c>
      <c r="J412">
        <v>1</v>
      </c>
      <c r="K412">
        <f t="shared" si="123"/>
        <v>11.1400000000001</v>
      </c>
      <c r="L412" t="s">
        <v>72</v>
      </c>
      <c r="M412">
        <f>SUMIF(Executions!B:B,A412,Executions!H:H)</f>
        <v>33.079999999999927</v>
      </c>
      <c r="N412">
        <f t="shared" si="124"/>
        <v>2.9694793536803976</v>
      </c>
      <c r="O412" s="4">
        <f>Tabla1[[#This Row],[Initial Risk $]]/Tabla1[[#This Row],[Position Size (shares)]]+Tabla1[[#This Row],[Entry Price]]</f>
        <v>653.94000000000005</v>
      </c>
      <c r="P412" s="4">
        <f>Tabla1[[#This Row],[Initial Risk $]]/Tabla1[[#This Row],[Position Size (shares)]]*2+Tabla1[[#This Row],[Entry Price]]</f>
        <v>659.5100000000001</v>
      </c>
      <c r="Q412" s="4">
        <f>Tabla1[[#This Row],[Initial Risk $]]/Tabla1[[#This Row],[Position Size (shares)]]*3+Tabla1[[#This Row],[Entry Price]]</f>
        <v>665.08000000000015</v>
      </c>
    </row>
    <row r="413" spans="1:17" hidden="1" x14ac:dyDescent="0.25">
      <c r="A413" t="str">
        <f t="shared" si="121"/>
        <v>T-412</v>
      </c>
      <c r="B413" s="1">
        <v>46202</v>
      </c>
      <c r="C413" t="s">
        <v>550</v>
      </c>
      <c r="D413" t="s">
        <v>28</v>
      </c>
      <c r="E413" t="s">
        <v>58</v>
      </c>
      <c r="F413">
        <v>80.52</v>
      </c>
      <c r="G413">
        <v>79.650000000000006</v>
      </c>
      <c r="H413">
        <v>15</v>
      </c>
      <c r="I413">
        <f t="shared" si="122"/>
        <v>13.049999999999855</v>
      </c>
      <c r="J413">
        <v>1</v>
      </c>
      <c r="K413">
        <f t="shared" si="123"/>
        <v>13.049999999999855</v>
      </c>
      <c r="L413" t="s">
        <v>72</v>
      </c>
      <c r="M413">
        <f>SUMIF(Executions!B:B,A413,Executions!H:H)</f>
        <v>-13.949999999999889</v>
      </c>
      <c r="N413">
        <f t="shared" si="124"/>
        <v>-1.0689655172413828</v>
      </c>
      <c r="O413" s="4">
        <f>Tabla1[[#This Row],[Initial Risk $]]/Tabla1[[#This Row],[Position Size (shares)]]+Tabla1[[#This Row],[Entry Price]]</f>
        <v>81.389999999999986</v>
      </c>
      <c r="P413" s="4">
        <f>Tabla1[[#This Row],[Initial Risk $]]/Tabla1[[#This Row],[Position Size (shares)]]*2+Tabla1[[#This Row],[Entry Price]]</f>
        <v>82.259999999999977</v>
      </c>
      <c r="Q413" s="4">
        <f>Tabla1[[#This Row],[Initial Risk $]]/Tabla1[[#This Row],[Position Size (shares)]]*3+Tabla1[[#This Row],[Entry Price]]</f>
        <v>83.129999999999967</v>
      </c>
    </row>
    <row r="414" spans="1:17" hidden="1" x14ac:dyDescent="0.25">
      <c r="A414" t="str">
        <f t="shared" si="121"/>
        <v>T-413</v>
      </c>
      <c r="B414" s="1">
        <v>46202</v>
      </c>
      <c r="C414" t="s">
        <v>271</v>
      </c>
      <c r="D414" t="s">
        <v>28</v>
      </c>
      <c r="E414" t="s">
        <v>119</v>
      </c>
      <c r="F414">
        <v>655</v>
      </c>
      <c r="G414">
        <v>651</v>
      </c>
      <c r="H414">
        <v>2</v>
      </c>
      <c r="I414">
        <f t="shared" si="122"/>
        <v>8</v>
      </c>
      <c r="J414">
        <v>1</v>
      </c>
      <c r="K414">
        <f t="shared" si="123"/>
        <v>8</v>
      </c>
      <c r="L414" t="s">
        <v>72</v>
      </c>
      <c r="M414">
        <f>SUMIF(Executions!B:B,A414,Executions!H:H)</f>
        <v>-8.1600000000000819</v>
      </c>
      <c r="N414">
        <f t="shared" si="124"/>
        <v>-1.0200000000000102</v>
      </c>
      <c r="O414" s="4">
        <f>Tabla1[[#This Row],[Initial Risk $]]/Tabla1[[#This Row],[Position Size (shares)]]+Tabla1[[#This Row],[Entry Price]]</f>
        <v>659</v>
      </c>
      <c r="P414" s="4">
        <f>Tabla1[[#This Row],[Initial Risk $]]/Tabla1[[#This Row],[Position Size (shares)]]*2+Tabla1[[#This Row],[Entry Price]]</f>
        <v>663</v>
      </c>
      <c r="Q414" s="4">
        <f>Tabla1[[#This Row],[Initial Risk $]]/Tabla1[[#This Row],[Position Size (shares)]]*3+Tabla1[[#This Row],[Entry Price]]</f>
        <v>667</v>
      </c>
    </row>
    <row r="415" spans="1:17" hidden="1" x14ac:dyDescent="0.25">
      <c r="A415" t="str">
        <f t="shared" si="121"/>
        <v>T-414</v>
      </c>
      <c r="B415" s="1">
        <v>46202</v>
      </c>
      <c r="C415" t="s">
        <v>474</v>
      </c>
      <c r="D415" t="s">
        <v>28</v>
      </c>
      <c r="E415" t="s">
        <v>58</v>
      </c>
      <c r="F415">
        <v>251.81</v>
      </c>
      <c r="G415">
        <v>250.81</v>
      </c>
      <c r="H415">
        <v>4</v>
      </c>
      <c r="I415">
        <f t="shared" si="122"/>
        <v>4</v>
      </c>
      <c r="J415">
        <v>1</v>
      </c>
      <c r="K415">
        <f t="shared" si="123"/>
        <v>4</v>
      </c>
      <c r="L415" t="s">
        <v>72</v>
      </c>
      <c r="M415">
        <f>SUMIF(Executions!B:B,A415,Executions!H:H)</f>
        <v>-3.8400000000000318</v>
      </c>
      <c r="N415">
        <f t="shared" si="124"/>
        <v>-0.96000000000000796</v>
      </c>
      <c r="O415" s="4">
        <f>Tabla1[[#This Row],[Initial Risk $]]/Tabla1[[#This Row],[Position Size (shares)]]+Tabla1[[#This Row],[Entry Price]]</f>
        <v>252.81</v>
      </c>
      <c r="P415" s="4">
        <f>Tabla1[[#This Row],[Initial Risk $]]/Tabla1[[#This Row],[Position Size (shares)]]*2+Tabla1[[#This Row],[Entry Price]]</f>
        <v>253.81</v>
      </c>
      <c r="Q415" s="4">
        <f>Tabla1[[#This Row],[Initial Risk $]]/Tabla1[[#This Row],[Position Size (shares)]]*3+Tabla1[[#This Row],[Entry Price]]</f>
        <v>254.81</v>
      </c>
    </row>
    <row r="416" spans="1:17" hidden="1" x14ac:dyDescent="0.25">
      <c r="A416" t="str">
        <f t="shared" si="121"/>
        <v>T-415</v>
      </c>
      <c r="B416" s="1">
        <v>46202</v>
      </c>
      <c r="C416" t="s">
        <v>550</v>
      </c>
      <c r="D416" t="s">
        <v>28</v>
      </c>
      <c r="E416" t="s">
        <v>119</v>
      </c>
      <c r="F416">
        <v>79.849999999999994</v>
      </c>
      <c r="G416">
        <v>78.95</v>
      </c>
      <c r="H416">
        <v>10</v>
      </c>
      <c r="I416">
        <f t="shared" si="122"/>
        <v>8.9999999999999147</v>
      </c>
      <c r="J416">
        <v>1</v>
      </c>
      <c r="K416">
        <f t="shared" si="123"/>
        <v>8.9999999999999147</v>
      </c>
      <c r="L416" t="s">
        <v>72</v>
      </c>
      <c r="M416">
        <f>SUMIF(Executions!B:B,A416,Executions!H:H)</f>
        <v>3.5000000000000853</v>
      </c>
      <c r="N416">
        <f t="shared" si="124"/>
        <v>0.38888888888890205</v>
      </c>
      <c r="O416" s="4">
        <f>Tabla1[[#This Row],[Initial Risk $]]/Tabla1[[#This Row],[Position Size (shares)]]+Tabla1[[#This Row],[Entry Price]]</f>
        <v>80.749999999999986</v>
      </c>
      <c r="P416" s="4">
        <f>Tabla1[[#This Row],[Initial Risk $]]/Tabla1[[#This Row],[Position Size (shares)]]*2+Tabla1[[#This Row],[Entry Price]]</f>
        <v>81.649999999999977</v>
      </c>
      <c r="Q416" s="4">
        <f>Tabla1[[#This Row],[Initial Risk $]]/Tabla1[[#This Row],[Position Size (shares)]]*3+Tabla1[[#This Row],[Entry Price]]</f>
        <v>82.549999999999969</v>
      </c>
    </row>
    <row r="417" spans="1:17" hidden="1" x14ac:dyDescent="0.25">
      <c r="A417" t="str">
        <f t="shared" si="121"/>
        <v>T-416</v>
      </c>
      <c r="B417" s="1">
        <v>46202</v>
      </c>
      <c r="C417" t="s">
        <v>101</v>
      </c>
      <c r="D417" t="s">
        <v>28</v>
      </c>
      <c r="E417" t="s">
        <v>119</v>
      </c>
      <c r="F417">
        <v>12.45</v>
      </c>
      <c r="G417">
        <v>12.21</v>
      </c>
      <c r="H417">
        <v>40</v>
      </c>
      <c r="I417">
        <f t="shared" si="122"/>
        <v>9.5999999999999375</v>
      </c>
      <c r="J417">
        <v>1</v>
      </c>
      <c r="K417">
        <f t="shared" si="123"/>
        <v>9.5999999999999375</v>
      </c>
      <c r="L417" t="s">
        <v>72</v>
      </c>
      <c r="M417">
        <f>SUMIF(Executions!B:B,A417,Executions!H:H)</f>
        <v>10.800000000000054</v>
      </c>
      <c r="N417">
        <f t="shared" si="124"/>
        <v>1.1250000000000129</v>
      </c>
      <c r="O417" s="4">
        <f>Tabla1[[#This Row],[Initial Risk $]]/Tabla1[[#This Row],[Position Size (shares)]]+Tabla1[[#This Row],[Entry Price]]</f>
        <v>12.689999999999998</v>
      </c>
      <c r="P417" s="4">
        <f>Tabla1[[#This Row],[Initial Risk $]]/Tabla1[[#This Row],[Position Size (shares)]]*2+Tabla1[[#This Row],[Entry Price]]</f>
        <v>12.929999999999996</v>
      </c>
      <c r="Q417" s="4">
        <f>Tabla1[[#This Row],[Initial Risk $]]/Tabla1[[#This Row],[Position Size (shares)]]*3+Tabla1[[#This Row],[Entry Price]]</f>
        <v>13.169999999999995</v>
      </c>
    </row>
    <row r="418" spans="1:17" hidden="1" x14ac:dyDescent="0.25">
      <c r="A418" t="str">
        <f t="shared" si="121"/>
        <v>T-417</v>
      </c>
      <c r="B418" s="1">
        <v>46202</v>
      </c>
      <c r="C418" t="s">
        <v>417</v>
      </c>
      <c r="D418" t="s">
        <v>28</v>
      </c>
      <c r="E418" t="s">
        <v>119</v>
      </c>
      <c r="F418">
        <v>496.71</v>
      </c>
      <c r="G418">
        <v>492.71</v>
      </c>
      <c r="H418">
        <v>2</v>
      </c>
      <c r="I418">
        <f t="shared" si="122"/>
        <v>8</v>
      </c>
      <c r="J418">
        <v>1</v>
      </c>
      <c r="K418">
        <f t="shared" si="123"/>
        <v>8</v>
      </c>
      <c r="L418" t="s">
        <v>72</v>
      </c>
      <c r="M418">
        <f>SUMIF(Executions!B:B,A418,Executions!H:H)</f>
        <v>-8.1599999999999682</v>
      </c>
      <c r="N418">
        <f t="shared" si="124"/>
        <v>-1.019999999999996</v>
      </c>
      <c r="O418" s="4">
        <f>Tabla1[[#This Row],[Initial Risk $]]/Tabla1[[#This Row],[Position Size (shares)]]+Tabla1[[#This Row],[Entry Price]]</f>
        <v>500.71</v>
      </c>
      <c r="P418" s="4">
        <f>Tabla1[[#This Row],[Initial Risk $]]/Tabla1[[#This Row],[Position Size (shares)]]*2+Tabla1[[#This Row],[Entry Price]]</f>
        <v>504.71</v>
      </c>
      <c r="Q418" s="4">
        <f>Tabla1[[#This Row],[Initial Risk $]]/Tabla1[[#This Row],[Position Size (shares)]]*3+Tabla1[[#This Row],[Entry Price]]</f>
        <v>508.71</v>
      </c>
    </row>
    <row r="419" spans="1:17" hidden="1" x14ac:dyDescent="0.25">
      <c r="A419" t="str">
        <f t="shared" ref="A419:A426" si="125">"T-"&amp; TEXT(ROW()-1,"000")</f>
        <v>T-418</v>
      </c>
      <c r="B419" s="1">
        <v>46203</v>
      </c>
      <c r="C419" t="s">
        <v>101</v>
      </c>
      <c r="D419" t="s">
        <v>28</v>
      </c>
      <c r="E419" t="s">
        <v>58</v>
      </c>
      <c r="F419">
        <v>13.22</v>
      </c>
      <c r="G419">
        <v>13.08</v>
      </c>
      <c r="H419">
        <v>50</v>
      </c>
      <c r="I419">
        <f t="shared" ref="I419:I426" si="126">IF(D419="Long",(F419-G419)*H419,(G419-F419)*0)</f>
        <v>7.0000000000000284</v>
      </c>
      <c r="J419">
        <v>1</v>
      </c>
      <c r="K419">
        <f t="shared" ref="K419:K426" si="127">I419*J419</f>
        <v>7.0000000000000284</v>
      </c>
      <c r="L419" t="s">
        <v>72</v>
      </c>
      <c r="M419">
        <f>SUMIF(Executions!B:B,A419,Executions!H:H)</f>
        <v>-7.5000000000000178</v>
      </c>
      <c r="N419">
        <f t="shared" ref="N419:N426" si="128">M419/I419</f>
        <v>-1.0714285714285696</v>
      </c>
      <c r="O419" s="4">
        <f>Tabla1[[#This Row],[Initial Risk $]]/Tabla1[[#This Row],[Position Size (shares)]]+Tabla1[[#This Row],[Entry Price]]</f>
        <v>13.360000000000001</v>
      </c>
      <c r="P419" s="4">
        <f>Tabla1[[#This Row],[Initial Risk $]]/Tabla1[[#This Row],[Position Size (shares)]]*2+Tabla1[[#This Row],[Entry Price]]</f>
        <v>13.500000000000002</v>
      </c>
      <c r="Q419" s="4">
        <f>Tabla1[[#This Row],[Initial Risk $]]/Tabla1[[#This Row],[Position Size (shares)]]*3+Tabla1[[#This Row],[Entry Price]]</f>
        <v>13.640000000000002</v>
      </c>
    </row>
    <row r="420" spans="1:17" hidden="1" x14ac:dyDescent="0.25">
      <c r="A420" t="str">
        <f t="shared" si="125"/>
        <v>T-419</v>
      </c>
      <c r="B420" s="1">
        <v>46203</v>
      </c>
      <c r="C420" t="s">
        <v>271</v>
      </c>
      <c r="D420" t="s">
        <v>28</v>
      </c>
      <c r="E420" t="s">
        <v>58</v>
      </c>
      <c r="F420">
        <v>706.41</v>
      </c>
      <c r="G420">
        <v>702.41</v>
      </c>
      <c r="H420">
        <v>2</v>
      </c>
      <c r="I420">
        <f t="shared" si="126"/>
        <v>8</v>
      </c>
      <c r="J420">
        <v>1</v>
      </c>
      <c r="K420">
        <f t="shared" si="127"/>
        <v>8</v>
      </c>
      <c r="L420" t="s">
        <v>72</v>
      </c>
      <c r="M420">
        <f>SUMIF(Executions!B:B,A420,Executions!H:H)</f>
        <v>45.290000000000077</v>
      </c>
      <c r="N420">
        <f t="shared" si="128"/>
        <v>5.6612500000000097</v>
      </c>
      <c r="O420" s="4">
        <f>Tabla1[[#This Row],[Initial Risk $]]/Tabla1[[#This Row],[Position Size (shares)]]+Tabla1[[#This Row],[Entry Price]]</f>
        <v>710.41</v>
      </c>
      <c r="P420" s="4">
        <f>Tabla1[[#This Row],[Initial Risk $]]/Tabla1[[#This Row],[Position Size (shares)]]*2+Tabla1[[#This Row],[Entry Price]]</f>
        <v>714.41</v>
      </c>
      <c r="Q420" s="4">
        <f>Tabla1[[#This Row],[Initial Risk $]]/Tabla1[[#This Row],[Position Size (shares)]]*3+Tabla1[[#This Row],[Entry Price]]</f>
        <v>718.41</v>
      </c>
    </row>
    <row r="421" spans="1:17" hidden="1" x14ac:dyDescent="0.25">
      <c r="A421" t="str">
        <f t="shared" si="125"/>
        <v>T-420</v>
      </c>
      <c r="B421" s="1">
        <v>46203</v>
      </c>
      <c r="C421" t="s">
        <v>652</v>
      </c>
      <c r="D421" t="s">
        <v>28</v>
      </c>
      <c r="E421" t="s">
        <v>58</v>
      </c>
      <c r="F421">
        <v>44.25</v>
      </c>
      <c r="G421">
        <v>44.13</v>
      </c>
      <c r="H421">
        <v>50</v>
      </c>
      <c r="I421">
        <f t="shared" si="126"/>
        <v>5.9999999999998721</v>
      </c>
      <c r="J421">
        <v>1</v>
      </c>
      <c r="K421">
        <f t="shared" si="127"/>
        <v>5.9999999999998721</v>
      </c>
      <c r="L421" t="s">
        <v>72</v>
      </c>
      <c r="M421">
        <f>SUMIF(Executions!B:B,A421,Executions!H:H)</f>
        <v>-5.9999999999998721</v>
      </c>
      <c r="N421">
        <f t="shared" si="128"/>
        <v>-1</v>
      </c>
      <c r="O421" s="4">
        <f>Tabla1[[#This Row],[Initial Risk $]]/Tabla1[[#This Row],[Position Size (shares)]]+Tabla1[[#This Row],[Entry Price]]</f>
        <v>44.37</v>
      </c>
      <c r="P421" s="4">
        <f>Tabla1[[#This Row],[Initial Risk $]]/Tabla1[[#This Row],[Position Size (shares)]]*2+Tabla1[[#This Row],[Entry Price]]</f>
        <v>44.489999999999995</v>
      </c>
      <c r="Q421" s="4">
        <f>Tabla1[[#This Row],[Initial Risk $]]/Tabla1[[#This Row],[Position Size (shares)]]*3+Tabla1[[#This Row],[Entry Price]]</f>
        <v>44.609999999999992</v>
      </c>
    </row>
    <row r="422" spans="1:17" hidden="1" x14ac:dyDescent="0.25">
      <c r="A422" t="str">
        <f t="shared" si="125"/>
        <v>T-421</v>
      </c>
      <c r="B422" s="1">
        <v>46203</v>
      </c>
      <c r="C422" t="s">
        <v>129</v>
      </c>
      <c r="D422" t="s">
        <v>28</v>
      </c>
      <c r="E422" t="s">
        <v>49</v>
      </c>
      <c r="F422">
        <v>90.9</v>
      </c>
      <c r="G422">
        <v>90.25</v>
      </c>
      <c r="H422">
        <v>10</v>
      </c>
      <c r="I422">
        <f t="shared" si="126"/>
        <v>6.5000000000000568</v>
      </c>
      <c r="J422">
        <v>1</v>
      </c>
      <c r="K422">
        <f t="shared" si="127"/>
        <v>6.5000000000000568</v>
      </c>
      <c r="L422" t="s">
        <v>72</v>
      </c>
      <c r="M422">
        <f>SUMIF(Executions!B:B,A422,Executions!H:H)</f>
        <v>8.9000000000000057</v>
      </c>
      <c r="N422">
        <f t="shared" si="128"/>
        <v>1.3692307692307581</v>
      </c>
      <c r="O422" s="4">
        <f>Tabla1[[#This Row],[Initial Risk $]]/Tabla1[[#This Row],[Position Size (shares)]]+Tabla1[[#This Row],[Entry Price]]</f>
        <v>91.550000000000011</v>
      </c>
      <c r="P422" s="4">
        <f>Tabla1[[#This Row],[Initial Risk $]]/Tabla1[[#This Row],[Position Size (shares)]]*2+Tabla1[[#This Row],[Entry Price]]</f>
        <v>92.200000000000017</v>
      </c>
      <c r="Q422" s="4">
        <f>Tabla1[[#This Row],[Initial Risk $]]/Tabla1[[#This Row],[Position Size (shares)]]*3+Tabla1[[#This Row],[Entry Price]]</f>
        <v>92.850000000000023</v>
      </c>
    </row>
    <row r="423" spans="1:17" hidden="1" x14ac:dyDescent="0.25">
      <c r="A423" t="str">
        <f t="shared" si="125"/>
        <v>T-422</v>
      </c>
      <c r="B423" s="1">
        <v>46203</v>
      </c>
      <c r="C423" t="s">
        <v>101</v>
      </c>
      <c r="D423" t="s">
        <v>28</v>
      </c>
      <c r="E423" t="s">
        <v>58</v>
      </c>
      <c r="F423">
        <v>13.27</v>
      </c>
      <c r="G423">
        <v>13.14</v>
      </c>
      <c r="H423">
        <v>50</v>
      </c>
      <c r="I423">
        <f t="shared" si="126"/>
        <v>6.4999999999999503</v>
      </c>
      <c r="J423">
        <v>1</v>
      </c>
      <c r="K423">
        <f t="shared" si="127"/>
        <v>6.4999999999999503</v>
      </c>
      <c r="L423" t="s">
        <v>72</v>
      </c>
      <c r="M423">
        <f>SUMIF(Executions!B:B,A423,Executions!H:H)</f>
        <v>-6.9999999999999396</v>
      </c>
      <c r="N423">
        <f t="shared" si="128"/>
        <v>-1.0769230769230758</v>
      </c>
      <c r="O423" s="4">
        <f>Tabla1[[#This Row],[Initial Risk $]]/Tabla1[[#This Row],[Position Size (shares)]]+Tabla1[[#This Row],[Entry Price]]</f>
        <v>13.399999999999999</v>
      </c>
      <c r="P423" s="4">
        <f>Tabla1[[#This Row],[Initial Risk $]]/Tabla1[[#This Row],[Position Size (shares)]]*2+Tabla1[[#This Row],[Entry Price]]</f>
        <v>13.529999999999998</v>
      </c>
      <c r="Q423" s="4">
        <f>Tabla1[[#This Row],[Initial Risk $]]/Tabla1[[#This Row],[Position Size (shares)]]*3+Tabla1[[#This Row],[Entry Price]]</f>
        <v>13.659999999999997</v>
      </c>
    </row>
    <row r="424" spans="1:17" hidden="1" x14ac:dyDescent="0.25">
      <c r="A424" t="str">
        <f t="shared" si="125"/>
        <v>T-423</v>
      </c>
      <c r="B424" s="1">
        <v>46203</v>
      </c>
      <c r="C424" t="s">
        <v>417</v>
      </c>
      <c r="D424" t="s">
        <v>28</v>
      </c>
      <c r="E424" t="s">
        <v>119</v>
      </c>
      <c r="F424">
        <v>504.44</v>
      </c>
      <c r="G424">
        <v>501.44</v>
      </c>
      <c r="H424">
        <v>2</v>
      </c>
      <c r="I424">
        <f t="shared" si="126"/>
        <v>6</v>
      </c>
      <c r="J424">
        <v>1</v>
      </c>
      <c r="K424">
        <f t="shared" si="127"/>
        <v>6</v>
      </c>
      <c r="L424" t="s">
        <v>72</v>
      </c>
      <c r="M424">
        <f>SUMIF(Executions!B:B,A424,Executions!H:H)</f>
        <v>-5.7000000000000455</v>
      </c>
      <c r="N424">
        <f t="shared" si="128"/>
        <v>-0.95000000000000762</v>
      </c>
      <c r="O424" s="4">
        <f>Tabla1[[#This Row],[Initial Risk $]]/Tabla1[[#This Row],[Position Size (shares)]]+Tabla1[[#This Row],[Entry Price]]</f>
        <v>507.44</v>
      </c>
      <c r="P424" s="4">
        <f>Tabla1[[#This Row],[Initial Risk $]]/Tabla1[[#This Row],[Position Size (shares)]]*2+Tabla1[[#This Row],[Entry Price]]</f>
        <v>510.44</v>
      </c>
      <c r="Q424" s="4">
        <f>Tabla1[[#This Row],[Initial Risk $]]/Tabla1[[#This Row],[Position Size (shares)]]*3+Tabla1[[#This Row],[Entry Price]]</f>
        <v>513.44000000000005</v>
      </c>
    </row>
    <row r="425" spans="1:17" hidden="1" x14ac:dyDescent="0.25">
      <c r="A425" t="str">
        <f t="shared" si="125"/>
        <v>T-424</v>
      </c>
      <c r="B425" s="1">
        <v>46203</v>
      </c>
      <c r="C425" t="s">
        <v>550</v>
      </c>
      <c r="D425" t="s">
        <v>28</v>
      </c>
      <c r="E425" t="s">
        <v>119</v>
      </c>
      <c r="F425">
        <v>81.73</v>
      </c>
      <c r="G425">
        <v>80.98</v>
      </c>
      <c r="H425">
        <v>10</v>
      </c>
      <c r="I425">
        <f t="shared" si="126"/>
        <v>7.5</v>
      </c>
      <c r="J425">
        <v>1</v>
      </c>
      <c r="K425">
        <f t="shared" si="127"/>
        <v>7.5</v>
      </c>
      <c r="L425" t="s">
        <v>72</v>
      </c>
      <c r="M425">
        <f>SUMIF(Executions!B:B,A425,Executions!H:H)</f>
        <v>-7.9999999999999716</v>
      </c>
      <c r="N425">
        <f t="shared" si="128"/>
        <v>-1.0666666666666629</v>
      </c>
      <c r="O425" s="4">
        <f>Tabla1[[#This Row],[Initial Risk $]]/Tabla1[[#This Row],[Position Size (shares)]]+Tabla1[[#This Row],[Entry Price]]</f>
        <v>82.48</v>
      </c>
      <c r="P425" s="4">
        <f>Tabla1[[#This Row],[Initial Risk $]]/Tabla1[[#This Row],[Position Size (shares)]]*2+Tabla1[[#This Row],[Entry Price]]</f>
        <v>83.23</v>
      </c>
      <c r="Q425" s="4">
        <f>Tabla1[[#This Row],[Initial Risk $]]/Tabla1[[#This Row],[Position Size (shares)]]*3+Tabla1[[#This Row],[Entry Price]]</f>
        <v>83.98</v>
      </c>
    </row>
    <row r="426" spans="1:17" hidden="1" x14ac:dyDescent="0.25">
      <c r="A426" t="str">
        <f t="shared" si="125"/>
        <v>T-425</v>
      </c>
      <c r="B426" s="1">
        <v>46203</v>
      </c>
      <c r="C426" t="s">
        <v>370</v>
      </c>
      <c r="D426" t="s">
        <v>28</v>
      </c>
      <c r="E426" t="s">
        <v>119</v>
      </c>
      <c r="F426">
        <v>29.94</v>
      </c>
      <c r="G426">
        <v>29.7</v>
      </c>
      <c r="H426">
        <v>12</v>
      </c>
      <c r="I426">
        <f t="shared" si="126"/>
        <v>2.8800000000000239</v>
      </c>
      <c r="J426">
        <v>1</v>
      </c>
      <c r="K426">
        <f t="shared" si="127"/>
        <v>2.8800000000000239</v>
      </c>
      <c r="L426" t="s">
        <v>72</v>
      </c>
      <c r="M426">
        <f>SUMIF(Executions!B:B,A426,Executions!H:H)</f>
        <v>4.4399999999999693</v>
      </c>
      <c r="N426">
        <f t="shared" si="128"/>
        <v>1.5416666666666432</v>
      </c>
      <c r="O426" s="4">
        <f>Tabla1[[#This Row],[Initial Risk $]]/Tabla1[[#This Row],[Position Size (shares)]]+Tabla1[[#This Row],[Entry Price]]</f>
        <v>30.180000000000003</v>
      </c>
      <c r="P426" s="4">
        <f>Tabla1[[#This Row],[Initial Risk $]]/Tabla1[[#This Row],[Position Size (shares)]]*2+Tabla1[[#This Row],[Entry Price]]</f>
        <v>30.420000000000005</v>
      </c>
      <c r="Q426" s="4">
        <f>Tabla1[[#This Row],[Initial Risk $]]/Tabla1[[#This Row],[Position Size (shares)]]*3+Tabla1[[#This Row],[Entry Price]]</f>
        <v>30.660000000000007</v>
      </c>
    </row>
    <row r="427" spans="1:17" x14ac:dyDescent="0.25">
      <c r="A427" t="str">
        <f t="shared" ref="A427:A434" si="129">"T-"&amp; TEXT(ROW()-1,"000")</f>
        <v>T-426</v>
      </c>
      <c r="B427" s="1">
        <v>46204</v>
      </c>
      <c r="C427" t="s">
        <v>417</v>
      </c>
      <c r="D427" t="s">
        <v>28</v>
      </c>
      <c r="E427" t="s">
        <v>58</v>
      </c>
      <c r="F427">
        <v>534</v>
      </c>
      <c r="G427">
        <v>530</v>
      </c>
      <c r="H427">
        <v>2</v>
      </c>
      <c r="I427">
        <f t="shared" ref="I427:I434" si="130">IF(D427="Long",(F427-G427)*H427,(G427-F427)*0)</f>
        <v>8</v>
      </c>
      <c r="J427">
        <v>1</v>
      </c>
      <c r="K427">
        <f t="shared" ref="K427:K434" si="131">I427*J427</f>
        <v>8</v>
      </c>
      <c r="L427" t="s">
        <v>72</v>
      </c>
      <c r="M427">
        <f>SUMIF(Executions!B:B,A427,Executions!H:H)</f>
        <v>42.949999999999932</v>
      </c>
      <c r="N427">
        <f t="shared" ref="N427:N434" si="132">M427/I427</f>
        <v>5.3687499999999915</v>
      </c>
      <c r="O427" s="4">
        <f>Tabla1[[#This Row],[Initial Risk $]]/Tabla1[[#This Row],[Position Size (shares)]]+Tabla1[[#This Row],[Entry Price]]</f>
        <v>538</v>
      </c>
      <c r="P427" s="4">
        <f>Tabla1[[#This Row],[Initial Risk $]]/Tabla1[[#This Row],[Position Size (shares)]]*2+Tabla1[[#This Row],[Entry Price]]</f>
        <v>542</v>
      </c>
      <c r="Q427" s="4">
        <f>Tabla1[[#This Row],[Initial Risk $]]/Tabla1[[#This Row],[Position Size (shares)]]*3+Tabla1[[#This Row],[Entry Price]]</f>
        <v>546</v>
      </c>
    </row>
    <row r="428" spans="1:17" hidden="1" x14ac:dyDescent="0.25">
      <c r="A428" t="str">
        <f t="shared" si="129"/>
        <v>T-427</v>
      </c>
      <c r="B428" s="1">
        <v>46204</v>
      </c>
      <c r="C428" t="s">
        <v>550</v>
      </c>
      <c r="D428" t="s">
        <v>28</v>
      </c>
      <c r="E428" t="s">
        <v>58</v>
      </c>
      <c r="F428">
        <v>82.97</v>
      </c>
      <c r="G428">
        <v>82.47</v>
      </c>
      <c r="H428">
        <v>10</v>
      </c>
      <c r="I428">
        <f t="shared" si="130"/>
        <v>5</v>
      </c>
      <c r="J428">
        <v>1</v>
      </c>
      <c r="K428">
        <f t="shared" si="131"/>
        <v>5</v>
      </c>
      <c r="L428" t="s">
        <v>72</v>
      </c>
      <c r="M428">
        <f>SUMIF(Executions!B:B,A428,Executions!H:H)</f>
        <v>-4.0000000000000568</v>
      </c>
      <c r="N428">
        <f t="shared" si="132"/>
        <v>-0.80000000000001137</v>
      </c>
      <c r="O428" s="4">
        <f>Tabla1[[#This Row],[Initial Risk $]]/Tabla1[[#This Row],[Position Size (shares)]]+Tabla1[[#This Row],[Entry Price]]</f>
        <v>83.47</v>
      </c>
      <c r="P428" s="4">
        <f>Tabla1[[#This Row],[Initial Risk $]]/Tabla1[[#This Row],[Position Size (shares)]]*2+Tabla1[[#This Row],[Entry Price]]</f>
        <v>83.97</v>
      </c>
      <c r="Q428" s="4">
        <f>Tabla1[[#This Row],[Initial Risk $]]/Tabla1[[#This Row],[Position Size (shares)]]*3+Tabla1[[#This Row],[Entry Price]]</f>
        <v>84.47</v>
      </c>
    </row>
    <row r="429" spans="1:17" x14ac:dyDescent="0.25">
      <c r="A429" t="str">
        <f t="shared" si="129"/>
        <v>T-428</v>
      </c>
      <c r="B429" s="1">
        <v>46204</v>
      </c>
      <c r="C429" t="s">
        <v>370</v>
      </c>
      <c r="D429" t="s">
        <v>28</v>
      </c>
      <c r="E429" t="s">
        <v>58</v>
      </c>
      <c r="F429">
        <v>31.83</v>
      </c>
      <c r="G429">
        <v>31.52</v>
      </c>
      <c r="H429">
        <v>28</v>
      </c>
      <c r="I429">
        <f t="shared" si="130"/>
        <v>8.6799999999999642</v>
      </c>
      <c r="J429">
        <v>1</v>
      </c>
      <c r="K429">
        <f t="shared" si="131"/>
        <v>8.6799999999999642</v>
      </c>
      <c r="L429" t="s">
        <v>72</v>
      </c>
      <c r="M429">
        <f>SUMIF(Executions!B:B,A429,Executions!H:H)</f>
        <v>13.160000000000068</v>
      </c>
      <c r="N429">
        <f t="shared" si="132"/>
        <v>1.5161290322580785</v>
      </c>
      <c r="O429" s="4">
        <f>Tabla1[[#This Row],[Initial Risk $]]/Tabla1[[#This Row],[Position Size (shares)]]+Tabla1[[#This Row],[Entry Price]]</f>
        <v>32.14</v>
      </c>
      <c r="P429" s="4">
        <f>Tabla1[[#This Row],[Initial Risk $]]/Tabla1[[#This Row],[Position Size (shares)]]*2+Tabla1[[#This Row],[Entry Price]]</f>
        <v>32.449999999999996</v>
      </c>
      <c r="Q429" s="4">
        <f>Tabla1[[#This Row],[Initial Risk $]]/Tabla1[[#This Row],[Position Size (shares)]]*3+Tabla1[[#This Row],[Entry Price]]</f>
        <v>32.759999999999991</v>
      </c>
    </row>
    <row r="430" spans="1:17" hidden="1" x14ac:dyDescent="0.25">
      <c r="A430" t="str">
        <f t="shared" si="129"/>
        <v>T-429</v>
      </c>
      <c r="B430" s="1">
        <v>46204</v>
      </c>
      <c r="C430" t="s">
        <v>161</v>
      </c>
      <c r="D430" t="s">
        <v>28</v>
      </c>
      <c r="E430" t="s">
        <v>119</v>
      </c>
      <c r="F430">
        <v>133.94999999999999</v>
      </c>
      <c r="G430">
        <v>133.15</v>
      </c>
      <c r="H430">
        <v>10</v>
      </c>
      <c r="I430">
        <f t="shared" si="130"/>
        <v>7.9999999999998295</v>
      </c>
      <c r="J430">
        <v>1</v>
      </c>
      <c r="K430">
        <f t="shared" si="131"/>
        <v>7.9999999999998295</v>
      </c>
      <c r="L430" t="s">
        <v>72</v>
      </c>
      <c r="M430">
        <f>SUMIF(Executions!B:B,A430,Executions!H:H)</f>
        <v>-7.8000000000000114</v>
      </c>
      <c r="N430">
        <f t="shared" si="132"/>
        <v>-0.97500000000002218</v>
      </c>
      <c r="O430" s="4">
        <f>Tabla1[[#This Row],[Initial Risk $]]/Tabla1[[#This Row],[Position Size (shares)]]+Tabla1[[#This Row],[Entry Price]]</f>
        <v>134.74999999999997</v>
      </c>
      <c r="P430" s="4">
        <f>Tabla1[[#This Row],[Initial Risk $]]/Tabla1[[#This Row],[Position Size (shares)]]*2+Tabla1[[#This Row],[Entry Price]]</f>
        <v>135.54999999999995</v>
      </c>
      <c r="Q430" s="4">
        <f>Tabla1[[#This Row],[Initial Risk $]]/Tabla1[[#This Row],[Position Size (shares)]]*3+Tabla1[[#This Row],[Entry Price]]</f>
        <v>136.34999999999994</v>
      </c>
    </row>
    <row r="431" spans="1:17" hidden="1" x14ac:dyDescent="0.25">
      <c r="A431" t="str">
        <f t="shared" si="129"/>
        <v>T-430</v>
      </c>
      <c r="B431" s="1">
        <v>46204</v>
      </c>
      <c r="C431" t="s">
        <v>271</v>
      </c>
      <c r="D431" t="s">
        <v>28</v>
      </c>
      <c r="E431" t="s">
        <v>119</v>
      </c>
      <c r="F431">
        <v>682.28</v>
      </c>
      <c r="G431">
        <v>677</v>
      </c>
      <c r="H431">
        <v>2</v>
      </c>
      <c r="I431">
        <f t="shared" si="130"/>
        <v>10.559999999999945</v>
      </c>
      <c r="J431">
        <v>1</v>
      </c>
      <c r="K431">
        <f t="shared" si="131"/>
        <v>10.559999999999945</v>
      </c>
      <c r="L431" t="s">
        <v>72</v>
      </c>
      <c r="M431">
        <f>SUMIF(Executions!B:B,A431,Executions!H:H)</f>
        <v>-10.960000000000036</v>
      </c>
      <c r="N431">
        <f t="shared" si="132"/>
        <v>-1.0378787878787967</v>
      </c>
      <c r="O431" s="4">
        <f>Tabla1[[#This Row],[Initial Risk $]]/Tabla1[[#This Row],[Position Size (shares)]]+Tabla1[[#This Row],[Entry Price]]</f>
        <v>687.56</v>
      </c>
      <c r="P431" s="4">
        <f>Tabla1[[#This Row],[Initial Risk $]]/Tabla1[[#This Row],[Position Size (shares)]]*2+Tabla1[[#This Row],[Entry Price]]</f>
        <v>692.83999999999992</v>
      </c>
      <c r="Q431" s="4">
        <f>Tabla1[[#This Row],[Initial Risk $]]/Tabla1[[#This Row],[Position Size (shares)]]*3+Tabla1[[#This Row],[Entry Price]]</f>
        <v>698.11999999999989</v>
      </c>
    </row>
    <row r="432" spans="1:17" x14ac:dyDescent="0.25">
      <c r="A432" t="str">
        <f t="shared" si="129"/>
        <v>T-431</v>
      </c>
      <c r="B432" s="1">
        <v>46204</v>
      </c>
      <c r="C432" t="s">
        <v>154</v>
      </c>
      <c r="D432" t="s">
        <v>28</v>
      </c>
      <c r="E432" t="s">
        <v>58</v>
      </c>
      <c r="F432">
        <v>356.95</v>
      </c>
      <c r="G432">
        <v>354.95</v>
      </c>
      <c r="H432">
        <v>3</v>
      </c>
      <c r="I432">
        <f t="shared" si="130"/>
        <v>6</v>
      </c>
      <c r="J432">
        <v>1</v>
      </c>
      <c r="K432">
        <f t="shared" si="131"/>
        <v>6</v>
      </c>
      <c r="L432" t="s">
        <v>72</v>
      </c>
      <c r="M432">
        <f>SUMIF(Executions!B:B,A432,Executions!H:H)</f>
        <v>-6</v>
      </c>
      <c r="N432">
        <f t="shared" si="132"/>
        <v>-1</v>
      </c>
      <c r="O432" s="4">
        <f>Tabla1[[#This Row],[Initial Risk $]]/Tabla1[[#This Row],[Position Size (shares)]]+Tabla1[[#This Row],[Entry Price]]</f>
        <v>358.95</v>
      </c>
      <c r="P432" s="4">
        <f>Tabla1[[#This Row],[Initial Risk $]]/Tabla1[[#This Row],[Position Size (shares)]]*2+Tabla1[[#This Row],[Entry Price]]</f>
        <v>360.95</v>
      </c>
      <c r="Q432" s="4">
        <f>Tabla1[[#This Row],[Initial Risk $]]/Tabla1[[#This Row],[Position Size (shares)]]*3+Tabla1[[#This Row],[Entry Price]]</f>
        <v>362.95</v>
      </c>
    </row>
    <row r="433" spans="1:17" x14ac:dyDescent="0.25">
      <c r="A433" t="str">
        <f t="shared" si="129"/>
        <v>T-432</v>
      </c>
      <c r="B433" s="1">
        <v>46204</v>
      </c>
      <c r="C433" t="s">
        <v>101</v>
      </c>
      <c r="D433" t="s">
        <v>28</v>
      </c>
      <c r="E433" t="s">
        <v>58</v>
      </c>
      <c r="F433">
        <v>13.09</v>
      </c>
      <c r="G433">
        <v>12.99</v>
      </c>
      <c r="H433">
        <v>70</v>
      </c>
      <c r="I433">
        <f t="shared" si="130"/>
        <v>6.9999999999999751</v>
      </c>
      <c r="J433">
        <v>1</v>
      </c>
      <c r="K433">
        <f t="shared" si="131"/>
        <v>6.9999999999999751</v>
      </c>
      <c r="L433" t="s">
        <v>72</v>
      </c>
      <c r="M433">
        <f>SUMIF(Executions!B:B,A433,Executions!H:H)</f>
        <v>-7.6999999999999602</v>
      </c>
      <c r="N433">
        <f t="shared" si="132"/>
        <v>-1.0999999999999983</v>
      </c>
      <c r="O433" s="4">
        <f>Tabla1[[#This Row],[Initial Risk $]]/Tabla1[[#This Row],[Position Size (shares)]]+Tabla1[[#This Row],[Entry Price]]</f>
        <v>13.19</v>
      </c>
      <c r="P433" s="4">
        <f>Tabla1[[#This Row],[Initial Risk $]]/Tabla1[[#This Row],[Position Size (shares)]]*2+Tabla1[[#This Row],[Entry Price]]</f>
        <v>13.29</v>
      </c>
      <c r="Q433" s="4">
        <f>Tabla1[[#This Row],[Initial Risk $]]/Tabla1[[#This Row],[Position Size (shares)]]*3+Tabla1[[#This Row],[Entry Price]]</f>
        <v>13.389999999999999</v>
      </c>
    </row>
    <row r="434" spans="1:17" x14ac:dyDescent="0.25">
      <c r="A434" t="str">
        <f t="shared" si="129"/>
        <v>T-433</v>
      </c>
      <c r="B434" s="1">
        <v>46204</v>
      </c>
      <c r="C434" t="s">
        <v>522</v>
      </c>
      <c r="D434" t="s">
        <v>28</v>
      </c>
      <c r="E434" t="s">
        <v>58</v>
      </c>
      <c r="F434">
        <v>167.08</v>
      </c>
      <c r="G434">
        <v>165.79</v>
      </c>
      <c r="H434">
        <v>2</v>
      </c>
      <c r="I434">
        <f t="shared" si="130"/>
        <v>2.5800000000000409</v>
      </c>
      <c r="J434">
        <v>1</v>
      </c>
      <c r="K434">
        <f t="shared" si="131"/>
        <v>2.5800000000000409</v>
      </c>
      <c r="L434" t="s">
        <v>72</v>
      </c>
      <c r="M434">
        <f>SUMIF(Executions!B:B,A434,Executions!H:H)</f>
        <v>1.6199999999999477</v>
      </c>
      <c r="N434">
        <f t="shared" si="132"/>
        <v>0.62790697674415585</v>
      </c>
      <c r="O434" s="4">
        <f>Tabla1[[#This Row],[Initial Risk $]]/Tabla1[[#This Row],[Position Size (shares)]]+Tabla1[[#This Row],[Entry Price]]</f>
        <v>168.37000000000003</v>
      </c>
      <c r="P434" s="4">
        <f>Tabla1[[#This Row],[Initial Risk $]]/Tabla1[[#This Row],[Position Size (shares)]]*2+Tabla1[[#This Row],[Entry Price]]</f>
        <v>169.66000000000005</v>
      </c>
      <c r="Q434" s="4">
        <f>Tabla1[[#This Row],[Initial Risk $]]/Tabla1[[#This Row],[Position Size (shares)]]*3+Tabla1[[#This Row],[Entry Price]]</f>
        <v>170.95000000000007</v>
      </c>
    </row>
    <row r="435" spans="1:17" x14ac:dyDescent="0.25">
      <c r="A435" t="str">
        <f>"T-"&amp; TEXT(ROW()-1,"000")</f>
        <v>T-434</v>
      </c>
      <c r="B435" s="1">
        <v>46205</v>
      </c>
      <c r="C435" t="s">
        <v>669</v>
      </c>
      <c r="D435" t="s">
        <v>28</v>
      </c>
      <c r="E435" t="s">
        <v>60</v>
      </c>
      <c r="F435">
        <v>99.46</v>
      </c>
      <c r="G435">
        <v>93.96</v>
      </c>
      <c r="H435">
        <v>2</v>
      </c>
      <c r="I435">
        <f>IF(D435="Long",(F435-G435)*H435,(G435-F435)*0)</f>
        <v>11</v>
      </c>
      <c r="J435">
        <v>1</v>
      </c>
      <c r="K435">
        <f>I435*J435</f>
        <v>11</v>
      </c>
      <c r="L435" t="s">
        <v>72</v>
      </c>
      <c r="M435">
        <f>SUMIF(Executions!B:B,A435,Executions!H:H)</f>
        <v>-8.0799999999999841</v>
      </c>
      <c r="N435">
        <f>M435/I435</f>
        <v>-0.73454545454545306</v>
      </c>
      <c r="O435" s="4">
        <f>Tabla1[[#This Row],[Initial Risk $]]/Tabla1[[#This Row],[Position Size (shares)]]+Tabla1[[#This Row],[Entry Price]]</f>
        <v>104.96</v>
      </c>
      <c r="P435" s="4">
        <f>Tabla1[[#This Row],[Initial Risk $]]/Tabla1[[#This Row],[Position Size (shares)]]*2+Tabla1[[#This Row],[Entry Price]]</f>
        <v>110.46</v>
      </c>
      <c r="Q435" s="4">
        <f>Tabla1[[#This Row],[Initial Risk $]]/Tabla1[[#This Row],[Position Size (shares)]]*3+Tabla1[[#This Row],[Entry Price]]</f>
        <v>115.96</v>
      </c>
    </row>
    <row r="436" spans="1:17" x14ac:dyDescent="0.25">
      <c r="A436" t="str">
        <f>"T-"&amp; TEXT(ROW()-1,"000")</f>
        <v>T-435</v>
      </c>
      <c r="B436" s="1">
        <v>46205</v>
      </c>
      <c r="C436" t="s">
        <v>173</v>
      </c>
      <c r="D436" t="s">
        <v>28</v>
      </c>
      <c r="E436" t="s">
        <v>58</v>
      </c>
      <c r="F436">
        <v>130.72</v>
      </c>
      <c r="G436">
        <v>129.87</v>
      </c>
      <c r="H436">
        <v>10</v>
      </c>
      <c r="I436">
        <f>IF(D436="Long",(F436-G436)*H436,(G436-F436)*0)</f>
        <v>8.4999999999999432</v>
      </c>
      <c r="J436">
        <v>1</v>
      </c>
      <c r="K436">
        <f>I436*J436</f>
        <v>8.4999999999999432</v>
      </c>
      <c r="L436" t="s">
        <v>72</v>
      </c>
      <c r="M436">
        <f>SUMIF(Executions!B:B,A436,Executions!H:H)</f>
        <v>0</v>
      </c>
      <c r="N436">
        <f>M436/I436</f>
        <v>0</v>
      </c>
      <c r="O436" s="4">
        <f>Tabla1[[#This Row],[Initial Risk $]]/Tabla1[[#This Row],[Position Size (shares)]]+Tabla1[[#This Row],[Entry Price]]</f>
        <v>131.57</v>
      </c>
      <c r="P436" s="4">
        <f>Tabla1[[#This Row],[Initial Risk $]]/Tabla1[[#This Row],[Position Size (shares)]]*2+Tabla1[[#This Row],[Entry Price]]</f>
        <v>132.41999999999999</v>
      </c>
      <c r="Q436" s="4">
        <f>Tabla1[[#This Row],[Initial Risk $]]/Tabla1[[#This Row],[Position Size (shares)]]*3+Tabla1[[#This Row],[Entry Price]]</f>
        <v>133.26999999999998</v>
      </c>
    </row>
    <row r="437" spans="1:17" x14ac:dyDescent="0.25">
      <c r="A437" t="str">
        <f>"T-"&amp; TEXT(ROW()-1,"000")</f>
        <v>T-436</v>
      </c>
      <c r="B437" s="1">
        <v>46205</v>
      </c>
      <c r="C437" t="s">
        <v>181</v>
      </c>
      <c r="D437" t="s">
        <v>28</v>
      </c>
      <c r="E437" t="s">
        <v>58</v>
      </c>
      <c r="F437">
        <v>11.64</v>
      </c>
      <c r="G437">
        <v>11.45</v>
      </c>
      <c r="H437">
        <v>40</v>
      </c>
      <c r="I437">
        <f>IF(D437="Long",(F437-G437)*H437,(G437-F437)*0)</f>
        <v>7.6000000000000512</v>
      </c>
      <c r="J437">
        <v>1</v>
      </c>
      <c r="K437">
        <f>I437*J437</f>
        <v>7.6000000000000512</v>
      </c>
      <c r="L437" t="s">
        <v>72</v>
      </c>
      <c r="M437">
        <f>SUMIF(Executions!B:B,A437,Executions!H:H)</f>
        <v>-8.0000000000000426</v>
      </c>
      <c r="N437">
        <f>M437/I437</f>
        <v>-1.052631578947367</v>
      </c>
      <c r="O437" s="4">
        <f>Tabla1[[#This Row],[Initial Risk $]]/Tabla1[[#This Row],[Position Size (shares)]]+Tabla1[[#This Row],[Entry Price]]</f>
        <v>11.830000000000002</v>
      </c>
      <c r="P437" s="4">
        <f>Tabla1[[#This Row],[Initial Risk $]]/Tabla1[[#This Row],[Position Size (shares)]]*2+Tabla1[[#This Row],[Entry Price]]</f>
        <v>12.020000000000003</v>
      </c>
      <c r="Q437" s="4">
        <f>Tabla1[[#This Row],[Initial Risk $]]/Tabla1[[#This Row],[Position Size (shares)]]*3+Tabla1[[#This Row],[Entry Price]]</f>
        <v>12.210000000000004</v>
      </c>
    </row>
    <row r="438" spans="1:17" x14ac:dyDescent="0.25">
      <c r="A438" t="str">
        <f>"T-"&amp; TEXT(ROW()-1,"000")</f>
        <v>T-437</v>
      </c>
      <c r="B438" s="1">
        <v>46205</v>
      </c>
      <c r="C438" t="s">
        <v>370</v>
      </c>
      <c r="D438" t="s">
        <v>28</v>
      </c>
      <c r="E438" t="s">
        <v>119</v>
      </c>
      <c r="F438">
        <v>32.24</v>
      </c>
      <c r="G438">
        <v>31.97</v>
      </c>
      <c r="H438">
        <v>40</v>
      </c>
      <c r="I438">
        <f>IF(D438="Long",(F438-G438)*H438,(G438-F438)*0)</f>
        <v>10.800000000000125</v>
      </c>
      <c r="J438">
        <v>1</v>
      </c>
      <c r="K438">
        <f>I438*J438</f>
        <v>10.800000000000125</v>
      </c>
      <c r="L438" t="s">
        <v>72</v>
      </c>
      <c r="M438">
        <f>SUMIF(Executions!B:B,A438,Executions!H:H)</f>
        <v>-12.000000000000028</v>
      </c>
      <c r="N438">
        <f>M438/I438</f>
        <v>-1.1111111111111009</v>
      </c>
      <c r="O438" s="4">
        <f>Tabla1[[#This Row],[Initial Risk $]]/Tabla1[[#This Row],[Position Size (shares)]]+Tabla1[[#This Row],[Entry Price]]</f>
        <v>32.510000000000005</v>
      </c>
      <c r="P438" s="4">
        <f>Tabla1[[#This Row],[Initial Risk $]]/Tabla1[[#This Row],[Position Size (shares)]]*2+Tabla1[[#This Row],[Entry Price]]</f>
        <v>32.780000000000008</v>
      </c>
      <c r="Q438" s="4">
        <f>Tabla1[[#This Row],[Initial Risk $]]/Tabla1[[#This Row],[Position Size (shares)]]*3+Tabla1[[#This Row],[Entry Price]]</f>
        <v>33.050000000000011</v>
      </c>
    </row>
    <row r="439" spans="1:17" x14ac:dyDescent="0.25">
      <c r="A439" t="str">
        <f>"T-"&amp; TEXT(ROW()-1,"000")</f>
        <v>T-438</v>
      </c>
      <c r="B439" s="1">
        <v>46205</v>
      </c>
      <c r="C439" t="s">
        <v>154</v>
      </c>
      <c r="D439" t="s">
        <v>28</v>
      </c>
      <c r="E439" t="s">
        <v>58</v>
      </c>
      <c r="F439">
        <v>359.43</v>
      </c>
      <c r="G439">
        <v>357.38</v>
      </c>
      <c r="H439">
        <v>3</v>
      </c>
      <c r="I439">
        <f>IF(D439="Long",(F439-G439)*H439,(G439-F439)*0)</f>
        <v>6.1500000000000341</v>
      </c>
      <c r="J439">
        <v>1</v>
      </c>
      <c r="K439">
        <f>I439*J439</f>
        <v>6.1500000000000341</v>
      </c>
      <c r="L439" t="s">
        <v>72</v>
      </c>
      <c r="M439">
        <f>SUMIF(Executions!B:B,A439,Executions!H:H)</f>
        <v>-3.1500000000000341</v>
      </c>
      <c r="N439">
        <f>M439/I439</f>
        <v>-0.51219512195122219</v>
      </c>
      <c r="O439" s="4">
        <f>Tabla1[[#This Row],[Initial Risk $]]/Tabla1[[#This Row],[Position Size (shares)]]+Tabla1[[#This Row],[Entry Price]]</f>
        <v>361.48</v>
      </c>
      <c r="P439" s="4">
        <f>Tabla1[[#This Row],[Initial Risk $]]/Tabla1[[#This Row],[Position Size (shares)]]*2+Tabla1[[#This Row],[Entry Price]]</f>
        <v>363.53000000000003</v>
      </c>
      <c r="Q439" s="4">
        <f>Tabla1[[#This Row],[Initial Risk $]]/Tabla1[[#This Row],[Position Size (shares)]]*3+Tabla1[[#This Row],[Entry Price]]</f>
        <v>365.58000000000004</v>
      </c>
    </row>
    <row r="440" spans="1:17" x14ac:dyDescent="0.25">
      <c r="A440" t="str">
        <f>"T-"&amp; TEXT(ROW()-1,"000")</f>
        <v>T-439</v>
      </c>
      <c r="B440" s="1">
        <v>46205</v>
      </c>
      <c r="C440" t="s">
        <v>417</v>
      </c>
      <c r="D440" t="s">
        <v>28</v>
      </c>
      <c r="E440" t="s">
        <v>27</v>
      </c>
      <c r="F440">
        <v>564.62</v>
      </c>
      <c r="G440">
        <v>559.62</v>
      </c>
      <c r="H440">
        <v>2</v>
      </c>
      <c r="I440">
        <f>IF(D440="Long",(F440-G440)*H440,(G440-F440)*0)</f>
        <v>10</v>
      </c>
      <c r="J440">
        <v>1</v>
      </c>
      <c r="K440">
        <f>I440*J440</f>
        <v>10</v>
      </c>
      <c r="L440" t="s">
        <v>72</v>
      </c>
      <c r="M440">
        <f>SUMIF(Executions!B:B,A440,Executions!H:H)</f>
        <v>-10.720000000000027</v>
      </c>
      <c r="N440">
        <f>M440/I440</f>
        <v>-1.0720000000000027</v>
      </c>
      <c r="O440" s="4">
        <f>Tabla1[[#This Row],[Initial Risk $]]/Tabla1[[#This Row],[Position Size (shares)]]+Tabla1[[#This Row],[Entry Price]]</f>
        <v>569.62</v>
      </c>
      <c r="P440" s="4">
        <f>Tabla1[[#This Row],[Initial Risk $]]/Tabla1[[#This Row],[Position Size (shares)]]*2+Tabla1[[#This Row],[Entry Price]]</f>
        <v>574.62</v>
      </c>
      <c r="Q440" s="4">
        <f>Tabla1[[#This Row],[Initial Risk $]]/Tabla1[[#This Row],[Position Size (shares)]]*3+Tabla1[[#This Row],[Entry Price]]</f>
        <v>579.62</v>
      </c>
    </row>
    <row r="441" spans="1:17" x14ac:dyDescent="0.25">
      <c r="A441" t="str">
        <f>"T-"&amp; TEXT(ROW()-1,"000")</f>
        <v>T-440</v>
      </c>
      <c r="B441" s="1">
        <v>46205</v>
      </c>
      <c r="C441" t="s">
        <v>181</v>
      </c>
      <c r="D441" t="s">
        <v>28</v>
      </c>
      <c r="E441" t="s">
        <v>119</v>
      </c>
      <c r="F441">
        <v>11.5</v>
      </c>
      <c r="G441">
        <v>11.39</v>
      </c>
      <c r="H441">
        <v>70</v>
      </c>
      <c r="I441">
        <f>IF(D441="Long",(F441-G441)*H441,(G441-F441)*0)</f>
        <v>7.6999999999999602</v>
      </c>
      <c r="J441">
        <v>1</v>
      </c>
      <c r="K441">
        <f>I441*J441</f>
        <v>7.6999999999999602</v>
      </c>
      <c r="L441" t="s">
        <v>636</v>
      </c>
      <c r="M441">
        <f>SUMIF(Executions!B:B,A441,Executions!H:H)</f>
        <v>15.400000000000045</v>
      </c>
      <c r="N441">
        <f>M441/I441</f>
        <v>2.000000000000016</v>
      </c>
      <c r="O441" s="4">
        <f>Tabla1[[#This Row],[Initial Risk $]]/Tabla1[[#This Row],[Position Size (shares)]]+Tabla1[[#This Row],[Entry Price]]</f>
        <v>11.61</v>
      </c>
      <c r="P441" s="4">
        <f>Tabla1[[#This Row],[Initial Risk $]]/Tabla1[[#This Row],[Position Size (shares)]]*2+Tabla1[[#This Row],[Entry Price]]</f>
        <v>11.719999999999999</v>
      </c>
      <c r="Q441" s="4">
        <f>Tabla1[[#This Row],[Initial Risk $]]/Tabla1[[#This Row],[Position Size (shares)]]*3+Tabla1[[#This Row],[Entry Price]]</f>
        <v>11.829999999999998</v>
      </c>
    </row>
    <row r="442" spans="1:17" x14ac:dyDescent="0.25">
      <c r="A442" t="str">
        <f>"T-"&amp; TEXT(ROW()-1,"000")</f>
        <v>T-441</v>
      </c>
      <c r="B442" s="1">
        <v>46205</v>
      </c>
      <c r="C442" t="s">
        <v>279</v>
      </c>
      <c r="D442" t="s">
        <v>28</v>
      </c>
      <c r="E442" t="s">
        <v>27</v>
      </c>
      <c r="F442">
        <v>1003.25</v>
      </c>
      <c r="G442">
        <v>975.25</v>
      </c>
      <c r="H442">
        <v>1</v>
      </c>
      <c r="I442">
        <f>IF(D442="Long",(F442-G442)*H442,(G442-F442)*0)</f>
        <v>28</v>
      </c>
      <c r="J442">
        <v>1</v>
      </c>
      <c r="K442">
        <f>I442*J442</f>
        <v>28</v>
      </c>
      <c r="L442" t="s">
        <v>72</v>
      </c>
      <c r="M442">
        <f>SUMIF(Executions!B:B,A442,Executions!H:H)</f>
        <v>-28.17999999999995</v>
      </c>
      <c r="N442">
        <f>M442/I442</f>
        <v>-1.0064285714285697</v>
      </c>
      <c r="O442" s="4">
        <f>Tabla1[[#This Row],[Initial Risk $]]/Tabla1[[#This Row],[Position Size (shares)]]+Tabla1[[#This Row],[Entry Price]]</f>
        <v>1031.25</v>
      </c>
      <c r="P442" s="4">
        <f>Tabla1[[#This Row],[Initial Risk $]]/Tabla1[[#This Row],[Position Size (shares)]]*2+Tabla1[[#This Row],[Entry Price]]</f>
        <v>1059.25</v>
      </c>
      <c r="Q442" s="4">
        <f>Tabla1[[#This Row],[Initial Risk $]]/Tabla1[[#This Row],[Position Size (shares)]]*3+Tabla1[[#This Row],[Entry Price]]</f>
        <v>1087.25</v>
      </c>
    </row>
    <row r="443" spans="1:17" x14ac:dyDescent="0.25">
      <c r="A443" t="str">
        <f>"T-"&amp; TEXT(ROW()-1,"000")</f>
        <v>T-442</v>
      </c>
      <c r="B443" s="1">
        <v>46205</v>
      </c>
      <c r="C443" t="s">
        <v>417</v>
      </c>
      <c r="D443" t="s">
        <v>28</v>
      </c>
      <c r="E443" t="s">
        <v>27</v>
      </c>
      <c r="F443">
        <v>536.14</v>
      </c>
      <c r="G443">
        <v>528.14</v>
      </c>
      <c r="H443">
        <v>1</v>
      </c>
      <c r="I443">
        <f>IF(D443="Long",(F443-G443)*H443,(G443-F443)*0)</f>
        <v>8</v>
      </c>
      <c r="J443">
        <v>1</v>
      </c>
      <c r="K443">
        <f>I443*J443</f>
        <v>8</v>
      </c>
      <c r="L443" t="s">
        <v>72</v>
      </c>
      <c r="M443">
        <f>SUMIF(Executions!B:B,A443,Executions!H:H)</f>
        <v>-8.2100000000000364</v>
      </c>
      <c r="N443">
        <f>M443/I443</f>
        <v>-1.0262500000000045</v>
      </c>
      <c r="O443" s="4">
        <f>Tabla1[[#This Row],[Initial Risk $]]/Tabla1[[#This Row],[Position Size (shares)]]+Tabla1[[#This Row],[Entry Price]]</f>
        <v>544.14</v>
      </c>
      <c r="P443" s="4">
        <f>Tabla1[[#This Row],[Initial Risk $]]/Tabla1[[#This Row],[Position Size (shares)]]*2+Tabla1[[#This Row],[Entry Price]]</f>
        <v>552.14</v>
      </c>
      <c r="Q443" s="4">
        <f>Tabla1[[#This Row],[Initial Risk $]]/Tabla1[[#This Row],[Position Size (shares)]]*3+Tabla1[[#This Row],[Entry Price]]</f>
        <v>560.14</v>
      </c>
    </row>
  </sheetData>
  <conditionalFormatting sqref="M2:M443">
    <cfRule type="cellIs" dxfId="3" priority="1" operator="equal">
      <formula>0</formula>
    </cfRule>
    <cfRule type="cellIs" dxfId="2" priority="2" operator="lessThan">
      <formula>0</formula>
    </cfRule>
    <cfRule type="cellIs" dxfId="1" priority="3" operator="greaterThan">
      <formula>K2</formula>
    </cfRule>
    <cfRule type="cellIs" dxfId="0" priority="4" operator="lessThan">
      <formula>K2</formula>
    </cfRule>
  </conditionalFormatting>
  <dataValidations count="3">
    <dataValidation type="list" allowBlank="1" showInputMessage="1" showErrorMessage="1" sqref="E1 E444: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E3:E443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466"/>
  <sheetViews>
    <sheetView tabSelected="1" workbookViewId="0">
      <pane ySplit="1" topLeftCell="A452" activePane="bottomLeft" state="frozen"/>
      <selection pane="bottomLeft" activeCell="H458" sqref="H458:H466"/>
    </sheetView>
  </sheetViews>
  <sheetFormatPr baseColWidth="10" defaultRowHeight="15" x14ac:dyDescent="0.25"/>
  <cols>
    <col min="5" max="5" width="10.28515625" bestFit="1" customWidth="1"/>
    <col min="6" max="6" width="17.140625" customWidth="1"/>
    <col min="7" max="7" width="16.140625" customWidth="1"/>
    <col min="9" max="9" width="16.42578125" customWidth="1"/>
  </cols>
  <sheetData>
    <row r="1" spans="1:9" x14ac:dyDescent="0.25">
      <c r="A1" t="s">
        <v>7</v>
      </c>
      <c r="B1" t="s">
        <v>0</v>
      </c>
      <c r="C1" t="s">
        <v>1</v>
      </c>
      <c r="D1" t="s">
        <v>2</v>
      </c>
      <c r="E1" t="s">
        <v>30</v>
      </c>
      <c r="F1" t="s">
        <v>38</v>
      </c>
      <c r="G1" t="s">
        <v>32</v>
      </c>
      <c r="H1" t="s">
        <v>8</v>
      </c>
      <c r="I1" t="s">
        <v>9</v>
      </c>
    </row>
    <row r="2" spans="1:9" x14ac:dyDescent="0.25">
      <c r="A2">
        <f>ROW()-1</f>
        <v>1</v>
      </c>
      <c r="B2" t="s">
        <v>70</v>
      </c>
      <c r="C2" s="1">
        <v>46077</v>
      </c>
      <c r="D2" t="str">
        <f>VLOOKUP(B2,Trades!A$1:M100361,3,FALSE)</f>
        <v>ONDS</v>
      </c>
      <c r="E2" t="s">
        <v>61</v>
      </c>
      <c r="F2">
        <v>9.81</v>
      </c>
      <c r="G2">
        <v>18</v>
      </c>
      <c r="H2">
        <f>IF(VLOOKUP(B2,Trades!A:M,4,FALSE)="Long",(F2-VLOOKUP(B2,Trades!A:M,6,FALSE))*G2,(VLOOKUP(B2,Trades!A:M,6,FALSE)-F2)*G2)</f>
        <v>-23.399999999999981</v>
      </c>
      <c r="I2">
        <f>H2/VLOOKUP(B2,Trades!A$1:$M$100361,9,FALSE)</f>
        <v>-1</v>
      </c>
    </row>
    <row r="3" spans="1:9" x14ac:dyDescent="0.25">
      <c r="A3">
        <f t="shared" ref="A3:A72" si="0">ROW()-1</f>
        <v>2</v>
      </c>
      <c r="B3" t="s">
        <v>75</v>
      </c>
      <c r="C3" s="1">
        <v>46077</v>
      </c>
      <c r="D3" t="str">
        <f>VLOOKUP(B3,Trades!A$1:M100362,3,FALSE)</f>
        <v>NG</v>
      </c>
      <c r="E3" t="s">
        <v>61</v>
      </c>
      <c r="F3">
        <v>11.765000000000001</v>
      </c>
      <c r="G3">
        <v>18</v>
      </c>
      <c r="H3">
        <f>IF(VLOOKUP(B3,Trades!A:M,4,FALSE)="Long",(F3-VLOOKUP(B3,Trades!A:M,6,FALSE))*G3,(VLOOKUP(B3,Trades!A:M,6,FALSE)-F3)*G3)</f>
        <v>25.110000000000024</v>
      </c>
      <c r="I3">
        <f>H3/VLOOKUP(B3,Trades!A$1:$M$100361,9,FALSE)</f>
        <v>0.75815217391304424</v>
      </c>
    </row>
    <row r="4" spans="1:9" x14ac:dyDescent="0.25">
      <c r="A4">
        <f t="shared" si="0"/>
        <v>3</v>
      </c>
      <c r="B4" t="s">
        <v>77</v>
      </c>
      <c r="C4" s="1">
        <v>46078</v>
      </c>
      <c r="D4" t="str">
        <f>VLOOKUP(B4,Trades!A$1:M100363,3,FALSE)</f>
        <v>DNN</v>
      </c>
      <c r="E4" t="s">
        <v>61</v>
      </c>
      <c r="F4">
        <v>4.29</v>
      </c>
      <c r="G4">
        <v>61</v>
      </c>
      <c r="H4">
        <f>IF(VLOOKUP(B4,Trades!A:M,4,FALSE)="Long",(F4-VLOOKUP(B4,Trades!A:M,6,FALSE))*G4,(VLOOKUP(B4,Trades!A:M,6,FALSE)-F4)*G4)</f>
        <v>6.7100000000000195</v>
      </c>
      <c r="I4">
        <f>H4/VLOOKUP(B4,Trades!A$1:$M$100361,9,FALSE)</f>
        <v>0.30555555555555652</v>
      </c>
    </row>
    <row r="5" spans="1:9" x14ac:dyDescent="0.25">
      <c r="A5">
        <f t="shared" si="0"/>
        <v>4</v>
      </c>
      <c r="B5" t="s">
        <v>96</v>
      </c>
      <c r="C5" s="1">
        <v>46083</v>
      </c>
      <c r="D5" t="str">
        <f>VLOOKUP(B5,Trades!A$1:M100364,3,FALSE)</f>
        <v>MNST</v>
      </c>
      <c r="E5" t="s">
        <v>61</v>
      </c>
      <c r="F5">
        <v>82.37</v>
      </c>
      <c r="G5">
        <v>12</v>
      </c>
      <c r="H5">
        <f>IF(VLOOKUP(B5,Trades!A:M,4,FALSE)="Long",(F5-VLOOKUP(B5,Trades!A:M,6,FALSE))*G5,(VLOOKUP(B5,Trades!A:M,6,FALSE)-F5)*G5)</f>
        <v>80.400000000000034</v>
      </c>
      <c r="I5">
        <f>H5/VLOOKUP(B5,Trades!A$1:$M$100361,9,FALSE)</f>
        <v>2.6587301587301639</v>
      </c>
    </row>
    <row r="6" spans="1:9" x14ac:dyDescent="0.25">
      <c r="A6">
        <f t="shared" si="0"/>
        <v>5</v>
      </c>
      <c r="B6" t="s">
        <v>75</v>
      </c>
      <c r="C6" s="1">
        <v>46084</v>
      </c>
      <c r="D6" t="str">
        <f>VLOOKUP(B6,Trades!A$1:M100365,3,FALSE)</f>
        <v>NG</v>
      </c>
      <c r="E6" t="s">
        <v>61</v>
      </c>
      <c r="F6">
        <v>12.27</v>
      </c>
      <c r="G6">
        <v>18</v>
      </c>
      <c r="H6">
        <f>IF(VLOOKUP(B6,Trades!A:M,4,FALSE)="Long",(F6-VLOOKUP(B6,Trades!A:M,6,FALSE))*G6,(VLOOKUP(B6,Trades!A:M,6,FALSE)-F6)*G6)</f>
        <v>34.200000000000003</v>
      </c>
      <c r="I6">
        <f>H6/VLOOKUP(B6,Trades!A$1:$M$100361,9,FALSE)</f>
        <v>1.0326086956521741</v>
      </c>
    </row>
    <row r="7" spans="1:9" x14ac:dyDescent="0.25">
      <c r="A7">
        <f t="shared" si="0"/>
        <v>6</v>
      </c>
      <c r="B7" t="s">
        <v>99</v>
      </c>
      <c r="C7" s="1">
        <v>46084</v>
      </c>
      <c r="D7" t="str">
        <f>VLOOKUP(B7,Trades!A$1:M100366,3,FALSE)</f>
        <v>TJX</v>
      </c>
      <c r="E7" t="s">
        <v>61</v>
      </c>
      <c r="F7">
        <v>156.24</v>
      </c>
      <c r="G7">
        <v>6</v>
      </c>
      <c r="H7">
        <f>IF(VLOOKUP(B7,Trades!A:M,4,FALSE)="Long",(F7-VLOOKUP(B7,Trades!A:M,6,FALSE))*G7,(VLOOKUP(B7,Trades!A:M,6,FALSE)-F7)*G7)</f>
        <v>24.42000000000013</v>
      </c>
      <c r="I7">
        <f>H7/VLOOKUP(B7,Trades!A$1:$M$100361,9,FALSE)</f>
        <v>2.4082840236686551</v>
      </c>
    </row>
    <row r="8" spans="1:9" x14ac:dyDescent="0.25">
      <c r="A8">
        <f t="shared" si="0"/>
        <v>7</v>
      </c>
      <c r="B8" t="s">
        <v>104</v>
      </c>
      <c r="C8" s="1">
        <v>46085</v>
      </c>
      <c r="D8" t="str">
        <f>VLOOKUP(B8,Trades!A$1:M100367,3,FALSE)</f>
        <v>ATEC</v>
      </c>
      <c r="E8" t="s">
        <v>61</v>
      </c>
      <c r="F8">
        <v>12.832000000000001</v>
      </c>
      <c r="G8">
        <v>19</v>
      </c>
      <c r="H8">
        <f>IF(VLOOKUP(B8,Trades!A:M,4,FALSE)="Long",(F8-VLOOKUP(B8,Trades!A:M,6,FALSE))*G8,(VLOOKUP(B8,Trades!A:M,6,FALSE)-F8)*G8)</f>
        <v>-10.601999999999997</v>
      </c>
      <c r="I8">
        <f>H8/VLOOKUP(B8,Trades!A$1:$M$100361,9,FALSE)</f>
        <v>-0.55799999999999983</v>
      </c>
    </row>
    <row r="9" spans="1:9" x14ac:dyDescent="0.25">
      <c r="A9">
        <f t="shared" si="0"/>
        <v>8</v>
      </c>
      <c r="B9" t="s">
        <v>106</v>
      </c>
      <c r="C9" s="1">
        <v>46087</v>
      </c>
      <c r="D9" t="str">
        <f>VLOOKUP(B9,Trades!A$1:M100368,3,FALSE)</f>
        <v>LULU</v>
      </c>
      <c r="E9" t="s">
        <v>61</v>
      </c>
      <c r="F9">
        <v>166.62</v>
      </c>
      <c r="G9">
        <v>2</v>
      </c>
      <c r="H9">
        <f>IF(VLOOKUP(B9,Trades!A:M,4,FALSE)="Long",(F9-VLOOKUP(B9,Trades!A:M,6,FALSE))*G9,(VLOOKUP(B9,Trades!A:M,6,FALSE)-F9)*G9)</f>
        <v>-21.71999999999997</v>
      </c>
      <c r="I9">
        <f>H9/VLOOKUP(B9,Trades!A$1:$M$100361,9,FALSE)</f>
        <v>-1.0197183098591558</v>
      </c>
    </row>
    <row r="10" spans="1:9" x14ac:dyDescent="0.25">
      <c r="A10">
        <f t="shared" si="0"/>
        <v>9</v>
      </c>
      <c r="B10" t="s">
        <v>107</v>
      </c>
      <c r="C10" s="1">
        <v>46087</v>
      </c>
      <c r="D10" t="str">
        <f>VLOOKUP(B10,Trades!A$1:M100369,3,FALSE)</f>
        <v>UUUU</v>
      </c>
      <c r="E10" t="s">
        <v>61</v>
      </c>
      <c r="F10">
        <v>18.824999999999999</v>
      </c>
      <c r="G10">
        <v>7</v>
      </c>
      <c r="H10">
        <f>IF(VLOOKUP(B10,Trades!A:M,4,FALSE)="Long",(F10-VLOOKUP(B10,Trades!A:M,6,FALSE))*G10,(VLOOKUP(B10,Trades!A:M,6,FALSE)-F10)*G10)</f>
        <v>-25.445000000000011</v>
      </c>
      <c r="I10">
        <f>H10/VLOOKUP(B10,Trades!A$1:$M$100361,9,FALSE)</f>
        <v>-1.1688102893890682</v>
      </c>
    </row>
    <row r="11" spans="1:9" x14ac:dyDescent="0.25">
      <c r="A11">
        <f t="shared" si="0"/>
        <v>10</v>
      </c>
      <c r="B11" t="s">
        <v>108</v>
      </c>
      <c r="C11" s="1">
        <v>46087</v>
      </c>
      <c r="D11" t="str">
        <f>VLOOKUP(B11,Trades!A$1:M100370,3,FALSE)</f>
        <v>OKLO</v>
      </c>
      <c r="E11" t="s">
        <v>61</v>
      </c>
      <c r="F11">
        <v>58.43</v>
      </c>
      <c r="G11">
        <v>3</v>
      </c>
      <c r="H11">
        <f>IF(VLOOKUP(B11,Trades!A:M,4,FALSE)="Long",(F11-VLOOKUP(B11,Trades!A:M,6,FALSE))*G11,(VLOOKUP(B11,Trades!A:M,6,FALSE)-F11)*G11)</f>
        <v>-28.16999999999998</v>
      </c>
      <c r="I11">
        <f>H11/VLOOKUP(B11,Trades!A$1:$M$100361,9,FALSE)</f>
        <v>-1.007510729613734</v>
      </c>
    </row>
    <row r="12" spans="1:9" x14ac:dyDescent="0.25">
      <c r="A12">
        <f t="shared" si="0"/>
        <v>11</v>
      </c>
      <c r="B12" t="s">
        <v>109</v>
      </c>
      <c r="C12" s="1">
        <v>46090</v>
      </c>
      <c r="D12" t="str">
        <f>VLOOKUP(B12,Trades!A$1:M100371,3,FALSE)</f>
        <v>TMDX</v>
      </c>
      <c r="E12" t="s">
        <v>61</v>
      </c>
      <c r="F12">
        <v>125.27</v>
      </c>
      <c r="G12">
        <v>3</v>
      </c>
      <c r="H12">
        <f>IF(VLOOKUP(B12,Trades!A:M,4,FALSE)="Long",(F12-VLOOKUP(B12,Trades!A:M,6,FALSE))*G12,(VLOOKUP(B12,Trades!A:M,6,FALSE)-F12)*G12)</f>
        <v>-35.010000000000005</v>
      </c>
      <c r="I12">
        <f>H12/VLOOKUP(B12,Trades!A$1:$M$100361,9,FALSE)</f>
        <v>-1.2080745341614914</v>
      </c>
    </row>
    <row r="13" spans="1:9" x14ac:dyDescent="0.25">
      <c r="A13">
        <f t="shared" si="0"/>
        <v>12</v>
      </c>
      <c r="B13" t="s">
        <v>113</v>
      </c>
      <c r="C13" s="1">
        <v>46093</v>
      </c>
      <c r="D13" t="str">
        <f>VLOOKUP(B13,Trades!A$1:M100372,3,FALSE)</f>
        <v>APPS</v>
      </c>
      <c r="E13" t="s">
        <v>61</v>
      </c>
      <c r="F13">
        <v>3.68</v>
      </c>
      <c r="G13">
        <v>42</v>
      </c>
      <c r="H13">
        <f>IF(VLOOKUP(B13,Trades!A:M,4,FALSE)="Long",(F13-VLOOKUP(B13,Trades!A:M,6,FALSE))*G13,(VLOOKUP(B13,Trades!A:M,6,FALSE)-F13)*G13)</f>
        <v>-24.779999999999976</v>
      </c>
      <c r="I13">
        <f>H13/VLOOKUP(B13,Trades!A$1:$M$100361,9,FALSE)</f>
        <v>-1.1346153846153844</v>
      </c>
    </row>
    <row r="14" spans="1:9" x14ac:dyDescent="0.25">
      <c r="A14">
        <f t="shared" si="0"/>
        <v>13</v>
      </c>
      <c r="B14" t="s">
        <v>114</v>
      </c>
      <c r="C14" s="1">
        <v>46098</v>
      </c>
      <c r="D14" t="str">
        <f>VLOOKUP(B14,Trades!A$1:M100373,3,FALSE)</f>
        <v>IHS</v>
      </c>
      <c r="E14" t="s">
        <v>61</v>
      </c>
      <c r="F14">
        <v>8.18</v>
      </c>
      <c r="G14">
        <v>50</v>
      </c>
      <c r="H14">
        <f>IF(VLOOKUP(B14,Trades!A:M,4,FALSE)="Long",(F14-VLOOKUP(B14,Trades!A:M,6,FALSE))*G14,(VLOOKUP(B14,Trades!A:M,6,FALSE)-F14)*G14)</f>
        <v>0.99999999999997868</v>
      </c>
      <c r="I14">
        <f>H14/VLOOKUP(B14,Trades!A$1:$M$100361,9,FALSE)</f>
        <v>6.2499999999998612E-2</v>
      </c>
    </row>
    <row r="15" spans="1:9" x14ac:dyDescent="0.25">
      <c r="A15">
        <f t="shared" si="0"/>
        <v>14</v>
      </c>
      <c r="B15" t="s">
        <v>121</v>
      </c>
      <c r="C15" s="1">
        <v>46099</v>
      </c>
      <c r="D15" t="str">
        <f>VLOOKUP(B15,Trades!A$1:M100374,3,FALSE)</f>
        <v>QBTS</v>
      </c>
      <c r="E15" t="s">
        <v>61</v>
      </c>
      <c r="F15">
        <v>16.91</v>
      </c>
      <c r="G15">
        <v>8</v>
      </c>
      <c r="H15">
        <f>IF(VLOOKUP(B15,Trades!A:M,4,FALSE)="Long",(F15-VLOOKUP(B15,Trades!A:M,6,FALSE))*G15,(VLOOKUP(B15,Trades!A:M,6,FALSE)-F15)*G15)</f>
        <v>-31.359999999999985</v>
      </c>
      <c r="I15">
        <f>H15/VLOOKUP(B15,Trades!A$1:$M$100361,9,FALSE)</f>
        <v>-1</v>
      </c>
    </row>
    <row r="16" spans="1:9" x14ac:dyDescent="0.25">
      <c r="A16">
        <f t="shared" si="0"/>
        <v>15</v>
      </c>
      <c r="B16" t="s">
        <v>122</v>
      </c>
      <c r="C16" s="1">
        <v>46100</v>
      </c>
      <c r="D16" t="str">
        <f>VLOOKUP(B16,Trades!A$1:M100375,3,FALSE)</f>
        <v>AVBP</v>
      </c>
      <c r="E16" t="s">
        <v>61</v>
      </c>
      <c r="F16">
        <v>22.49</v>
      </c>
      <c r="G16">
        <v>4</v>
      </c>
      <c r="H16">
        <f>IF(VLOOKUP(B16,Trades!A:M,4,FALSE)="Long",(F16-VLOOKUP(B16,Trades!A:M,6,FALSE))*G16,(VLOOKUP(B16,Trades!A:M,6,FALSE)-F16)*G16)</f>
        <v>-9.5600000000000023</v>
      </c>
      <c r="I16">
        <f>H16/VLOOKUP(B16,Trades!A$1:$M$100361,9,FALSE)</f>
        <v>-0.92996108949416356</v>
      </c>
    </row>
    <row r="17" spans="1:9" x14ac:dyDescent="0.25">
      <c r="A17">
        <f t="shared" si="0"/>
        <v>16</v>
      </c>
      <c r="B17" t="s">
        <v>124</v>
      </c>
      <c r="C17" s="1">
        <v>46101</v>
      </c>
      <c r="D17" t="str">
        <f>VLOOKUP(B17,Trades!A$1:M100376,3,FALSE)</f>
        <v>BDX</v>
      </c>
      <c r="E17" t="s">
        <v>61</v>
      </c>
      <c r="F17">
        <v>155.91</v>
      </c>
      <c r="G17">
        <v>3</v>
      </c>
      <c r="H17">
        <f>IF(VLOOKUP(B17,Trades!A:M,4,FALSE)="Long",(F17-VLOOKUP(B17,Trades!A:M,6,FALSE))*G17,(VLOOKUP(B17,Trades!A:M,6,FALSE)-F17)*G17)</f>
        <v>-19.70999999999998</v>
      </c>
      <c r="I17">
        <f>H17/VLOOKUP(B17,Trades!A$1:$M$100361,9,FALSE)</f>
        <v>-1.0613893376413563</v>
      </c>
    </row>
    <row r="18" spans="1:9" x14ac:dyDescent="0.25">
      <c r="A18">
        <f t="shared" si="0"/>
        <v>17</v>
      </c>
      <c r="B18" t="s">
        <v>126</v>
      </c>
      <c r="C18" s="1">
        <v>46105</v>
      </c>
      <c r="D18" t="str">
        <f>VLOOKUP(B18,Trades!A$1:M100377,3,FALSE)</f>
        <v>KTOS</v>
      </c>
      <c r="E18" t="s">
        <v>61</v>
      </c>
      <c r="F18">
        <v>80.77</v>
      </c>
      <c r="G18">
        <v>3</v>
      </c>
      <c r="H18">
        <f>IF(VLOOKUP(B18,Trades!A:M,4,FALSE)="Long",(F18-VLOOKUP(B18,Trades!A:M,6,FALSE))*G18,(VLOOKUP(B18,Trades!A:M,6,FALSE)-F18)*G18)</f>
        <v>-23.430000000000007</v>
      </c>
      <c r="I18">
        <f>H18/VLOOKUP(B18,Trades!A$1:$M$100361,9,FALSE)</f>
        <v>-1.0235910878112722</v>
      </c>
    </row>
    <row r="19" spans="1:9" x14ac:dyDescent="0.25">
      <c r="A19">
        <f t="shared" si="0"/>
        <v>18</v>
      </c>
      <c r="B19" t="s">
        <v>127</v>
      </c>
      <c r="C19" s="1">
        <v>46105</v>
      </c>
      <c r="D19" t="str">
        <f>VLOOKUP(B19,Trades!A$1:M100378,3,FALSE)</f>
        <v>MNST</v>
      </c>
      <c r="E19" t="s">
        <v>61</v>
      </c>
      <c r="F19">
        <v>72.959999999999994</v>
      </c>
      <c r="G19">
        <v>20</v>
      </c>
      <c r="H19">
        <f>IF(VLOOKUP(B19,Trades!A:M,4,FALSE)="Long",(F19-VLOOKUP(B19,Trades!A:M,6,FALSE))*G19,(VLOOKUP(B19,Trades!A:M,6,FALSE)-F19)*G19)</f>
        <v>-83.800000000000239</v>
      </c>
      <c r="I19">
        <f>H19/VLOOKUP(B19,Trades!A$1:$M$100361,9,FALSE)</f>
        <v>-1.4753521126760587</v>
      </c>
    </row>
    <row r="20" spans="1:9" x14ac:dyDescent="0.25">
      <c r="A20">
        <f t="shared" si="0"/>
        <v>19</v>
      </c>
      <c r="B20" t="s">
        <v>131</v>
      </c>
      <c r="C20" s="1">
        <v>46106</v>
      </c>
      <c r="D20" t="str">
        <f>VLOOKUP(B20,Trades!A$1:M100379,3,FALSE)</f>
        <v>AMD</v>
      </c>
      <c r="E20" t="s">
        <v>61</v>
      </c>
      <c r="F20">
        <v>219.5</v>
      </c>
      <c r="G20">
        <v>2</v>
      </c>
      <c r="H20">
        <f>IF(VLOOKUP(B20,Trades!A:M,4,FALSE)="Long",(F20-VLOOKUP(B20,Trades!A:M,6,FALSE))*G20,(VLOOKUP(B20,Trades!A:M,6,FALSE)-F20)*G20)</f>
        <v>3.9800000000000182</v>
      </c>
      <c r="I20">
        <f>H20/VLOOKUP(B20,Trades!A$1:$M$100361,9,FALSE)</f>
        <v>1.3266666666666727</v>
      </c>
    </row>
    <row r="21" spans="1:9" x14ac:dyDescent="0.25">
      <c r="A21">
        <f t="shared" si="0"/>
        <v>20</v>
      </c>
      <c r="B21" t="s">
        <v>132</v>
      </c>
      <c r="C21" s="1">
        <v>46106</v>
      </c>
      <c r="D21" t="str">
        <f>VLOOKUP(B21,Trades!A$1:M100380,3,FALSE)</f>
        <v>FROG</v>
      </c>
      <c r="E21" t="s">
        <v>61</v>
      </c>
      <c r="F21">
        <v>47.87</v>
      </c>
      <c r="G21">
        <v>2</v>
      </c>
      <c r="H21">
        <f>IF(VLOOKUP(B21,Trades!A:M,4,FALSE)="Long",(F21-VLOOKUP(B21,Trades!A:M,6,FALSE))*G21,(VLOOKUP(B21,Trades!A:M,6,FALSE)-F21)*G21)</f>
        <v>2.5799999999999983</v>
      </c>
      <c r="I21">
        <f>H21/VLOOKUP(B21,Trades!A$1:$M$100361,9,FALSE)</f>
        <v>1.323076923076925</v>
      </c>
    </row>
    <row r="22" spans="1:9" x14ac:dyDescent="0.25">
      <c r="A22">
        <f t="shared" si="0"/>
        <v>21</v>
      </c>
      <c r="B22" t="s">
        <v>134</v>
      </c>
      <c r="C22" s="1">
        <v>46107</v>
      </c>
      <c r="D22" t="str">
        <f>VLOOKUP(B22,Trades!A$1:M100381,3,FALSE)</f>
        <v>BBY</v>
      </c>
      <c r="E22" t="s">
        <v>61</v>
      </c>
      <c r="F22">
        <v>63.71</v>
      </c>
      <c r="G22">
        <v>3</v>
      </c>
      <c r="H22">
        <f>IF(VLOOKUP(B22,Trades!A:M,4,FALSE)="Long",(F22-VLOOKUP(B22,Trades!A:M,6,FALSE))*G22,(VLOOKUP(B22,Trades!A:M,6,FALSE)-F22)*G22)</f>
        <v>-2.5500000000000043</v>
      </c>
      <c r="I22">
        <f>H22/VLOOKUP(B22,Trades!A$1:$M$100361,9,FALSE)</f>
        <v>-0.97701149425287004</v>
      </c>
    </row>
    <row r="23" spans="1:9" x14ac:dyDescent="0.25">
      <c r="A23">
        <f t="shared" si="0"/>
        <v>22</v>
      </c>
      <c r="B23" t="s">
        <v>137</v>
      </c>
      <c r="C23" s="1">
        <v>46107</v>
      </c>
      <c r="D23" t="str">
        <f>VLOOKUP(B23,Trades!A$1:M100382,3,FALSE)</f>
        <v>ARM</v>
      </c>
      <c r="E23" t="s">
        <v>61</v>
      </c>
      <c r="F23">
        <v>157.15</v>
      </c>
      <c r="G23">
        <v>2</v>
      </c>
      <c r="H23">
        <f>IF(VLOOKUP(B23,Trades!A:M,4,FALSE)="Long",(F23-VLOOKUP(B23,Trades!A:M,6,FALSE))*G23,(VLOOKUP(B23,Trades!A:M,6,FALSE)-F23)*G23)</f>
        <v>-4.8799999999999955</v>
      </c>
      <c r="I23">
        <f>H23/VLOOKUP(B23,Trades!A$1:$M$100361,9,FALSE)</f>
        <v>-0.97211155378486314</v>
      </c>
    </row>
    <row r="24" spans="1:9" x14ac:dyDescent="0.25">
      <c r="A24">
        <f t="shared" si="0"/>
        <v>23</v>
      </c>
      <c r="B24" t="s">
        <v>139</v>
      </c>
      <c r="C24" s="1">
        <v>46107</v>
      </c>
      <c r="D24" t="str">
        <f>VLOOKUP(B24,Trades!A$1:M100383,3,FALSE)</f>
        <v>ARM</v>
      </c>
      <c r="E24" t="s">
        <v>61</v>
      </c>
      <c r="F24">
        <v>155.78</v>
      </c>
      <c r="G24">
        <v>2</v>
      </c>
      <c r="H24">
        <f>IF(VLOOKUP(B24,Trades!A:M,4,FALSE)="Long",(F24-VLOOKUP(B24,Trades!A:M,6,FALSE))*G24,(VLOOKUP(B24,Trades!A:M,6,FALSE)-F24)*G24)</f>
        <v>-3.3799999999999955</v>
      </c>
      <c r="I24">
        <f>H24/VLOOKUP(B24,Trades!A$1:$M$100361,9,FALSE)</f>
        <v>-0.69262295081967185</v>
      </c>
    </row>
    <row r="25" spans="1:9" x14ac:dyDescent="0.25">
      <c r="A25">
        <f t="shared" si="0"/>
        <v>24</v>
      </c>
      <c r="B25" t="s">
        <v>140</v>
      </c>
      <c r="C25" s="1">
        <v>46108</v>
      </c>
      <c r="D25" t="str">
        <f>VLOOKUP(B25,Trades!A$1:M100384,3,FALSE)</f>
        <v>ROKU</v>
      </c>
      <c r="E25" t="s">
        <v>61</v>
      </c>
      <c r="F25">
        <v>87.72</v>
      </c>
      <c r="G25">
        <v>3</v>
      </c>
      <c r="H25">
        <f>IF(VLOOKUP(B25,Trades!A:M,4,FALSE)="Long",(F25-VLOOKUP(B25,Trades!A:M,6,FALSE))*G25,(VLOOKUP(B25,Trades!A:M,6,FALSE)-F25)*G25)</f>
        <v>-14.309999999999988</v>
      </c>
      <c r="I25">
        <f>H25/VLOOKUP(B25,Trades!A$1:$M$100361,9,FALSE)</f>
        <v>-0.87362637362637385</v>
      </c>
    </row>
    <row r="26" spans="1:9" x14ac:dyDescent="0.25">
      <c r="A26">
        <f t="shared" si="0"/>
        <v>25</v>
      </c>
      <c r="B26" t="s">
        <v>142</v>
      </c>
      <c r="C26" s="1">
        <v>46108</v>
      </c>
      <c r="D26" t="str">
        <f>VLOOKUP(B26,Trades!A$1:M100385,3,FALSE)</f>
        <v>LGN</v>
      </c>
      <c r="E26" t="s">
        <v>61</v>
      </c>
      <c r="F26">
        <v>53.26</v>
      </c>
      <c r="G26">
        <v>4</v>
      </c>
      <c r="H26">
        <f>IF(VLOOKUP(B26,Trades!A:M,4,FALSE)="Long",(F26-VLOOKUP(B26,Trades!A:M,6,FALSE))*G26,(VLOOKUP(B26,Trades!A:M,6,FALSE)-F26)*G26)</f>
        <v>-4.7199999999999989</v>
      </c>
      <c r="I26">
        <f>H26/VLOOKUP(B26,Trades!A$1:$M$100361,9,FALSE)</f>
        <v>-1.1683168316831702</v>
      </c>
    </row>
    <row r="27" spans="1:9" x14ac:dyDescent="0.25">
      <c r="A27">
        <f t="shared" si="0"/>
        <v>26</v>
      </c>
      <c r="B27" t="s">
        <v>144</v>
      </c>
      <c r="C27" s="1">
        <v>46108</v>
      </c>
      <c r="D27" t="str">
        <f>VLOOKUP(B27,Trades!A$1:M100386,3,FALSE)</f>
        <v>AGX</v>
      </c>
      <c r="E27" t="s">
        <v>61</v>
      </c>
      <c r="F27">
        <v>530.64</v>
      </c>
      <c r="G27">
        <v>2</v>
      </c>
      <c r="H27">
        <f>IF(VLOOKUP(B27,Trades!A:M,4,FALSE)="Long",(F27-VLOOKUP(B27,Trades!A:M,6,FALSE))*G27,(VLOOKUP(B27,Trades!A:M,6,FALSE)-F27)*G27)</f>
        <v>-26.839999999999918</v>
      </c>
      <c r="I27">
        <f>H27/VLOOKUP(B27,Trades!A$1:$M$100361,9,FALSE)</f>
        <v>-1.6110444177671159</v>
      </c>
    </row>
    <row r="28" spans="1:9" x14ac:dyDescent="0.25">
      <c r="A28">
        <f t="shared" si="0"/>
        <v>27</v>
      </c>
      <c r="B28" t="s">
        <v>146</v>
      </c>
      <c r="C28" s="1">
        <v>46108</v>
      </c>
      <c r="D28" t="str">
        <f>VLOOKUP(B28,Trades!A$1:M100387,3,FALSE)</f>
        <v>NRT</v>
      </c>
      <c r="E28" t="s">
        <v>61</v>
      </c>
      <c r="F28">
        <v>9.14</v>
      </c>
      <c r="G28">
        <v>27</v>
      </c>
      <c r="H28">
        <f>IF(VLOOKUP(B28,Trades!A:M,4,FALSE)="Long",(F28-VLOOKUP(B28,Trades!A:M,6,FALSE))*G28,(VLOOKUP(B28,Trades!A:M,6,FALSE)-F28)*G28)</f>
        <v>4.0500000000000096</v>
      </c>
      <c r="I28">
        <f>H28/VLOOKUP(B28,Trades!A$1:$M$100361,9,FALSE)</f>
        <v>0.18072289156626545</v>
      </c>
    </row>
    <row r="29" spans="1:9" x14ac:dyDescent="0.25">
      <c r="A29">
        <f t="shared" si="0"/>
        <v>28</v>
      </c>
      <c r="B29" t="s">
        <v>148</v>
      </c>
      <c r="C29" s="1">
        <v>46111</v>
      </c>
      <c r="D29" t="str">
        <f>VLOOKUP(B29,Trades!A$1:M100388,3,FALSE)</f>
        <v>XLE</v>
      </c>
      <c r="E29" t="s">
        <v>61</v>
      </c>
      <c r="F29">
        <v>61.86</v>
      </c>
      <c r="G29">
        <v>12</v>
      </c>
      <c r="H29">
        <f>IF(VLOOKUP(B29,Trades!A:M,4,FALSE)="Long",(F29-VLOOKUP(B29,Trades!A:M,6,FALSE))*G29,(VLOOKUP(B29,Trades!A:M,6,FALSE)-F29)*G29)</f>
        <v>36.119999999999976</v>
      </c>
      <c r="I29">
        <f>H29/VLOOKUP(B29,Trades!A$1:$M$100361,9,FALSE)</f>
        <v>5.6086956521739113</v>
      </c>
    </row>
    <row r="30" spans="1:9" x14ac:dyDescent="0.25">
      <c r="A30">
        <f t="shared" si="0"/>
        <v>29</v>
      </c>
      <c r="B30" t="s">
        <v>149</v>
      </c>
      <c r="C30" s="1">
        <v>46112</v>
      </c>
      <c r="D30" t="str">
        <f>VLOOKUP(B30,Trades!A$1:M100389,3,FALSE)</f>
        <v>AA</v>
      </c>
      <c r="E30" t="s">
        <v>61</v>
      </c>
      <c r="F30">
        <v>65.58</v>
      </c>
      <c r="G30">
        <v>3</v>
      </c>
      <c r="H30">
        <f>IF(VLOOKUP(B30,Trades!A:M,4,FALSE)="Long",(F30-VLOOKUP(B30,Trades!A:M,6,FALSE))*G30,(VLOOKUP(B30,Trades!A:M,6,FALSE)-F30)*G30)</f>
        <v>7.9799999999999898</v>
      </c>
      <c r="I30">
        <f>H30/VLOOKUP(B30,Trades!A$1:$M$100361,9,FALSE)</f>
        <v>2.6599999999999966</v>
      </c>
    </row>
    <row r="31" spans="1:9" x14ac:dyDescent="0.25">
      <c r="A31">
        <f t="shared" si="0"/>
        <v>30</v>
      </c>
      <c r="B31" t="s">
        <v>152</v>
      </c>
      <c r="C31" s="1">
        <v>46112</v>
      </c>
      <c r="D31" t="str">
        <f>VLOOKUP(B31,Trades!A$1:M100390,3,FALSE)</f>
        <v>CENX</v>
      </c>
      <c r="E31" t="s">
        <v>61</v>
      </c>
      <c r="F31">
        <v>57.55</v>
      </c>
      <c r="G31">
        <v>4</v>
      </c>
      <c r="H31">
        <f>IF(VLOOKUP(B31,Trades!A:M,4,FALSE)="Long",(F31-VLOOKUP(B31,Trades!A:M,6,FALSE))*G31,(VLOOKUP(B31,Trades!A:M,6,FALSE)-F31)*G31)</f>
        <v>-3.9200000000000159</v>
      </c>
      <c r="I31">
        <f>H31/VLOOKUP(B31,Trades!A$1:$M$100361,9,FALSE)</f>
        <v>-0.98000000000000398</v>
      </c>
    </row>
    <row r="32" spans="1:9" x14ac:dyDescent="0.25">
      <c r="A32">
        <f t="shared" si="0"/>
        <v>31</v>
      </c>
      <c r="B32" t="s">
        <v>155</v>
      </c>
      <c r="C32" s="1">
        <v>46113</v>
      </c>
      <c r="D32" t="str">
        <f>VLOOKUP(B32,Trades!A$1:M100391,3,FALSE)</f>
        <v>GOOG</v>
      </c>
      <c r="E32" t="s">
        <v>61</v>
      </c>
      <c r="F32">
        <v>294.67</v>
      </c>
      <c r="G32">
        <v>2</v>
      </c>
      <c r="H32">
        <f>IF(VLOOKUP(B32,Trades!A:M,4,FALSE)="Long",(F32-VLOOKUP(B32,Trades!A:M,6,FALSE))*G32,(VLOOKUP(B32,Trades!A:M,6,FALSE)-F32)*G32)</f>
        <v>4.32000000000005</v>
      </c>
      <c r="I32">
        <f>H32/VLOOKUP(B32,Trades!A$1:$M$100361,9,FALSE)</f>
        <v>1.4496644295302092</v>
      </c>
    </row>
    <row r="33" spans="1:9" x14ac:dyDescent="0.25">
      <c r="A33">
        <f t="shared" si="0"/>
        <v>32</v>
      </c>
      <c r="B33" t="s">
        <v>156</v>
      </c>
      <c r="C33" s="1">
        <v>46113</v>
      </c>
      <c r="D33" t="str">
        <f>VLOOKUP(B33,Trades!A$1:M100392,3,FALSE)</f>
        <v>TSN</v>
      </c>
      <c r="E33" t="s">
        <v>61</v>
      </c>
      <c r="F33">
        <v>64.06</v>
      </c>
      <c r="G33">
        <v>3</v>
      </c>
      <c r="H33">
        <f>IF(VLOOKUP(B33,Trades!A:M,4,FALSE)="Long",(F33-VLOOKUP(B33,Trades!A:M,6,FALSE))*G33,(VLOOKUP(B33,Trades!A:M,6,FALSE)-F33)*G33)</f>
        <v>3.1500000000000128</v>
      </c>
      <c r="I33">
        <f>H33/VLOOKUP(B33,Trades!A$1:$M$100361,9,FALSE)</f>
        <v>0.80152671755725813</v>
      </c>
    </row>
    <row r="34" spans="1:9" x14ac:dyDescent="0.25">
      <c r="A34">
        <f t="shared" si="0"/>
        <v>33</v>
      </c>
      <c r="B34" t="s">
        <v>158</v>
      </c>
      <c r="C34" s="1">
        <v>46114</v>
      </c>
      <c r="D34" t="str">
        <f>VLOOKUP(B34,Trades!A$1:M100393,3,FALSE)</f>
        <v>XOM</v>
      </c>
      <c r="E34" t="s">
        <v>61</v>
      </c>
      <c r="F34">
        <v>163.58000000000001</v>
      </c>
      <c r="G34">
        <v>2</v>
      </c>
      <c r="H34">
        <f>IF(VLOOKUP(B34,Trades!A:M,4,FALSE)="Long",(F34-VLOOKUP(B34,Trades!A:M,6,FALSE))*G34,(VLOOKUP(B34,Trades!A:M,6,FALSE)-F34)*G34)</f>
        <v>-4</v>
      </c>
      <c r="I34">
        <f>H34/VLOOKUP(B34,Trades!A$1:$M$100361,9,FALSE)</f>
        <v>-1</v>
      </c>
    </row>
    <row r="35" spans="1:9" x14ac:dyDescent="0.25">
      <c r="A35">
        <f t="shared" si="0"/>
        <v>34</v>
      </c>
      <c r="B35" t="s">
        <v>160</v>
      </c>
      <c r="C35" s="1">
        <v>46118</v>
      </c>
      <c r="D35" t="str">
        <f>VLOOKUP(B35,Trades!A$1:M100394,3,FALSE)</f>
        <v>BDX</v>
      </c>
      <c r="E35" t="s">
        <v>61</v>
      </c>
      <c r="F35">
        <v>152.93</v>
      </c>
      <c r="G35">
        <v>3</v>
      </c>
      <c r="H35">
        <f>IF(VLOOKUP(B35,Trades!A:M,4,FALSE)="Long",(F35-VLOOKUP(B35,Trades!A:M,6,FALSE))*G35,(VLOOKUP(B35,Trades!A:M,6,FALSE)-F35)*G35)</f>
        <v>-11.04000000000002</v>
      </c>
      <c r="I35">
        <f>H35/VLOOKUP(B35,Trades!A$1:$M$100361,9,FALSE)</f>
        <v>-1.0222222222222177</v>
      </c>
    </row>
    <row r="36" spans="1:9" x14ac:dyDescent="0.25">
      <c r="A36">
        <f t="shared" si="0"/>
        <v>35</v>
      </c>
      <c r="B36" t="s">
        <v>162</v>
      </c>
      <c r="C36" s="1">
        <v>46118</v>
      </c>
      <c r="D36" t="str">
        <f>VLOOKUP(B36,Trades!A$1:M100395,3,FALSE)</f>
        <v>INTC</v>
      </c>
      <c r="E36" t="s">
        <v>61</v>
      </c>
      <c r="F36">
        <v>50.62</v>
      </c>
      <c r="G36">
        <v>4</v>
      </c>
      <c r="H36">
        <f>IF(VLOOKUP(B36,Trades!A:M,4,FALSE)="Long",(F36-VLOOKUP(B36,Trades!A:M,6,FALSE))*G36,(VLOOKUP(B36,Trades!A:M,6,FALSE)-F36)*G36)</f>
        <v>-4.4000000000000057</v>
      </c>
      <c r="I36">
        <f>H36/VLOOKUP(B36,Trades!A$1:$M$100361,9,FALSE)</f>
        <v>-1</v>
      </c>
    </row>
    <row r="37" spans="1:9" x14ac:dyDescent="0.25">
      <c r="A37">
        <f t="shared" si="0"/>
        <v>36</v>
      </c>
      <c r="B37" t="s">
        <v>163</v>
      </c>
      <c r="C37" s="1">
        <v>46118</v>
      </c>
      <c r="D37" t="str">
        <f>VLOOKUP(B37,Trades!A$1:M100396,3,FALSE)</f>
        <v>INTC</v>
      </c>
      <c r="E37" t="s">
        <v>61</v>
      </c>
      <c r="F37">
        <v>49.98</v>
      </c>
      <c r="G37">
        <v>4</v>
      </c>
      <c r="H37">
        <f>IF(VLOOKUP(B37,Trades!A:M,4,FALSE)="Long",(F37-VLOOKUP(B37,Trades!A:M,6,FALSE))*G37,(VLOOKUP(B37,Trades!A:M,6,FALSE)-F37)*G37)</f>
        <v>-2.960000000000008</v>
      </c>
      <c r="I37">
        <f>H37/VLOOKUP(B37,Trades!A$1:$M$100361,9,FALSE)</f>
        <v>-1.0422535211267621</v>
      </c>
    </row>
    <row r="38" spans="1:9" x14ac:dyDescent="0.25">
      <c r="A38">
        <f t="shared" si="0"/>
        <v>37</v>
      </c>
      <c r="B38" t="s">
        <v>165</v>
      </c>
      <c r="C38" s="1">
        <v>46120</v>
      </c>
      <c r="D38" t="str">
        <f>VLOOKUP(B38,Trades!A$1:M100397,3,FALSE)</f>
        <v>NVDA</v>
      </c>
      <c r="E38" t="s">
        <v>61</v>
      </c>
      <c r="F38">
        <v>181.68</v>
      </c>
      <c r="G38">
        <v>3</v>
      </c>
      <c r="H38">
        <f>IF(VLOOKUP(B38,Trades!A:M,4,FALSE)="Long",(F38-VLOOKUP(B38,Trades!A:M,6,FALSE))*G38,(VLOOKUP(B38,Trades!A:M,6,FALSE)-F38)*G38)</f>
        <v>-9.0299999999999727</v>
      </c>
      <c r="I38">
        <f>H38/VLOOKUP(B38,Trades!A$1:$M$100361,9,FALSE)</f>
        <v>-1.0033333333333303</v>
      </c>
    </row>
    <row r="39" spans="1:9" x14ac:dyDescent="0.25">
      <c r="A39">
        <f t="shared" si="0"/>
        <v>38</v>
      </c>
      <c r="B39" t="s">
        <v>166</v>
      </c>
      <c r="C39" s="1">
        <v>46120</v>
      </c>
      <c r="D39" t="str">
        <f>VLOOKUP(B39,Trades!A$1:M100398,3,FALSE)</f>
        <v>NVDA</v>
      </c>
      <c r="E39" t="s">
        <v>61</v>
      </c>
      <c r="F39">
        <v>181.08</v>
      </c>
      <c r="G39">
        <v>3</v>
      </c>
      <c r="H39">
        <f>IF(VLOOKUP(B39,Trades!A:M,4,FALSE)="Long",(F39-VLOOKUP(B39,Trades!A:M,6,FALSE))*G39,(VLOOKUP(B39,Trades!A:M,6,FALSE)-F39)*G39)</f>
        <v>-3.1499999999999488</v>
      </c>
      <c r="I39">
        <f>H39/VLOOKUP(B39,Trades!A$1:$M$100361,9,FALSE)</f>
        <v>-1.0096153846153759</v>
      </c>
    </row>
    <row r="40" spans="1:9" x14ac:dyDescent="0.25">
      <c r="A40">
        <f t="shared" si="0"/>
        <v>39</v>
      </c>
      <c r="B40" t="s">
        <v>168</v>
      </c>
      <c r="C40" s="1">
        <v>46121</v>
      </c>
      <c r="D40" t="str">
        <f>VLOOKUP(B40,Trades!A$1:M100399,3,FALSE)</f>
        <v>ROST</v>
      </c>
      <c r="E40" t="s">
        <v>61</v>
      </c>
      <c r="F40">
        <v>223.51</v>
      </c>
      <c r="G40">
        <v>2</v>
      </c>
      <c r="H40">
        <f>IF(VLOOKUP(B40,Trades!A:M,4,FALSE)="Long",(F40-VLOOKUP(B40,Trades!A:M,6,FALSE))*G40,(VLOOKUP(B40,Trades!A:M,6,FALSE)-F40)*G40)</f>
        <v>15.620000000000005</v>
      </c>
      <c r="I40">
        <f>H40/VLOOKUP(B40,Trades!A$1:$M$100361,9,FALSE)</f>
        <v>1.1570370370370373</v>
      </c>
    </row>
    <row r="41" spans="1:9" x14ac:dyDescent="0.25">
      <c r="A41">
        <f t="shared" si="0"/>
        <v>40</v>
      </c>
      <c r="B41" t="s">
        <v>170</v>
      </c>
      <c r="C41" s="1">
        <v>46121</v>
      </c>
      <c r="D41" t="str">
        <f>VLOOKUP(B41,Trades!A$1:M100400,3,FALSE)</f>
        <v>NVDA</v>
      </c>
      <c r="E41" t="s">
        <v>61</v>
      </c>
      <c r="F41">
        <v>188.46</v>
      </c>
      <c r="G41">
        <v>3</v>
      </c>
      <c r="H41">
        <f>IF(VLOOKUP(B41,Trades!A:M,4,FALSE)="Long",(F41-VLOOKUP(B41,Trades!A:M,6,FALSE))*G41,(VLOOKUP(B41,Trades!A:M,6,FALSE)-F41)*G41)</f>
        <v>20.670000000000044</v>
      </c>
      <c r="I41">
        <f>H41/VLOOKUP(B41,Trades!A$1:$M$100361,9,FALSE)</f>
        <v>4.9214285714285619</v>
      </c>
    </row>
    <row r="42" spans="1:9" x14ac:dyDescent="0.25">
      <c r="A42">
        <f t="shared" si="0"/>
        <v>41</v>
      </c>
      <c r="B42" t="s">
        <v>171</v>
      </c>
      <c r="C42" s="1">
        <v>46121</v>
      </c>
      <c r="D42" t="str">
        <f>VLOOKUP(B42,Trades!A$1:M100401,3,FALSE)</f>
        <v>LEXX</v>
      </c>
      <c r="E42" t="s">
        <v>61</v>
      </c>
      <c r="F42">
        <v>0.88</v>
      </c>
      <c r="G42">
        <v>50</v>
      </c>
      <c r="H42">
        <f>IF(VLOOKUP(B42,Trades!A:M,4,FALSE)="Long",(F42-VLOOKUP(B42,Trades!A:M,6,FALSE))*G42,(VLOOKUP(B42,Trades!A:M,6,FALSE)-F42)*G42)</f>
        <v>-6</v>
      </c>
      <c r="I42">
        <f>H42/VLOOKUP(B42,Trades!A$1:$M$100361,9,FALSE)</f>
        <v>-1.1257035647279545</v>
      </c>
    </row>
    <row r="43" spans="1:9" x14ac:dyDescent="0.25">
      <c r="A43">
        <f t="shared" si="0"/>
        <v>42</v>
      </c>
      <c r="B43" t="s">
        <v>172</v>
      </c>
      <c r="C43" s="1">
        <v>46125</v>
      </c>
      <c r="D43" t="str">
        <f>VLOOKUP(B43,Trades!A$1:M100402,3,FALSE)</f>
        <v>AMD</v>
      </c>
      <c r="E43" t="s">
        <v>61</v>
      </c>
      <c r="F43">
        <v>243.02</v>
      </c>
      <c r="G43">
        <v>2</v>
      </c>
      <c r="H43">
        <f>IF(VLOOKUP(B43,Trades!A:M,4,FALSE)="Long",(F43-VLOOKUP(B43,Trades!A:M,6,FALSE))*G43,(VLOOKUP(B43,Trades!A:M,6,FALSE)-F43)*G43)</f>
        <v>-6.0600000000000023</v>
      </c>
      <c r="I43">
        <f>H43/VLOOKUP(B43,Trades!A$1:$M$100361,9,FALSE)</f>
        <v>-1.0100000000000005</v>
      </c>
    </row>
    <row r="44" spans="1:9" x14ac:dyDescent="0.25">
      <c r="A44">
        <f t="shared" si="0"/>
        <v>43</v>
      </c>
      <c r="B44" t="s">
        <v>175</v>
      </c>
      <c r="C44" s="1">
        <v>46126</v>
      </c>
      <c r="D44" t="str">
        <f>VLOOKUP(B44,Trades!A$1:M100403,3,FALSE)</f>
        <v>NVDA</v>
      </c>
      <c r="E44" t="s">
        <v>61</v>
      </c>
      <c r="F44">
        <v>193.51</v>
      </c>
      <c r="G44">
        <v>2</v>
      </c>
      <c r="H44">
        <f>IF(VLOOKUP(B44,Trades!A:M,4,FALSE)="Long",(F44-VLOOKUP(B44,Trades!A:M,6,FALSE))*G44,(VLOOKUP(B44,Trades!A:M,6,FALSE)-F44)*G44)</f>
        <v>5.2799999999999727</v>
      </c>
      <c r="I44">
        <f>H44/VLOOKUP(B44,Trades!A$1:$M$100361,9,FALSE)</f>
        <v>1.7718120805368929</v>
      </c>
    </row>
    <row r="45" spans="1:9" x14ac:dyDescent="0.25">
      <c r="A45">
        <f t="shared" si="0"/>
        <v>44</v>
      </c>
      <c r="B45" t="s">
        <v>176</v>
      </c>
      <c r="C45" s="1">
        <v>46126</v>
      </c>
      <c r="D45" t="str">
        <f>VLOOKUP(B45,Trades!A$1:M100404,3,FALSE)</f>
        <v>NUE</v>
      </c>
      <c r="E45" t="s">
        <v>61</v>
      </c>
      <c r="F45">
        <v>189.82</v>
      </c>
      <c r="G45">
        <v>2</v>
      </c>
      <c r="H45">
        <f>IF(VLOOKUP(B45,Trades!A:M,4,FALSE)="Long",(F45-VLOOKUP(B45,Trades!A:M,6,FALSE))*G45,(VLOOKUP(B45,Trades!A:M,6,FALSE)-F45)*G45)</f>
        <v>45.740000000000009</v>
      </c>
      <c r="I45">
        <f>H45/VLOOKUP(B45,Trades!A$1:$M$100361,9,FALSE)</f>
        <v>3.1763888888888947</v>
      </c>
    </row>
    <row r="46" spans="1:9" x14ac:dyDescent="0.25">
      <c r="A46">
        <f t="shared" si="0"/>
        <v>45</v>
      </c>
      <c r="B46" t="s">
        <v>178</v>
      </c>
      <c r="C46" s="1">
        <v>46127</v>
      </c>
      <c r="D46" t="str">
        <f>VLOOKUP(B46,Trades!A$1:M100405,3,FALSE)</f>
        <v>NVDA</v>
      </c>
      <c r="E46" t="s">
        <v>61</v>
      </c>
      <c r="F46">
        <v>196.2</v>
      </c>
      <c r="G46">
        <v>2</v>
      </c>
      <c r="H46">
        <f>IF(VLOOKUP(B46,Trades!A:M,4,FALSE)="Long",(F46-VLOOKUP(B46,Trades!A:M,6,FALSE))*G46,(VLOOKUP(B46,Trades!A:M,6,FALSE)-F46)*G46)</f>
        <v>-3.0200000000000387</v>
      </c>
      <c r="I46">
        <f>H46/VLOOKUP(B46,Trades!A$1:$M$100361,9,FALSE)</f>
        <v>-1.0272108843537555</v>
      </c>
    </row>
    <row r="47" spans="1:9" x14ac:dyDescent="0.25">
      <c r="A47">
        <f t="shared" si="0"/>
        <v>46</v>
      </c>
      <c r="B47" t="s">
        <v>180</v>
      </c>
      <c r="C47" s="1">
        <v>46128</v>
      </c>
      <c r="D47" t="str">
        <f>VLOOKUP(B47,Trades!A$1:M100406,3,FALSE)</f>
        <v>SNOW</v>
      </c>
      <c r="E47" t="s">
        <v>61</v>
      </c>
      <c r="F47">
        <v>146.69</v>
      </c>
      <c r="G47">
        <v>2</v>
      </c>
      <c r="H47">
        <f>IF(VLOOKUP(B47,Trades!A:M,4,FALSE)="Long",(F47-VLOOKUP(B47,Trades!A:M,6,FALSE))*G47,(VLOOKUP(B47,Trades!A:M,6,FALSE)-F47)*G47)</f>
        <v>-4.1999999999999886</v>
      </c>
      <c r="I47">
        <f>H47/VLOOKUP(B47,Trades!A$1:$M$100361,9,FALSE)</f>
        <v>-0.66666666666666663</v>
      </c>
    </row>
    <row r="48" spans="1:9" x14ac:dyDescent="0.25">
      <c r="A48">
        <f t="shared" si="0"/>
        <v>47</v>
      </c>
      <c r="B48" t="s">
        <v>182</v>
      </c>
      <c r="C48" s="1">
        <v>46128</v>
      </c>
      <c r="D48" t="str">
        <f>VLOOKUP(B48,Trades!A$1:M100407,3,FALSE)</f>
        <v>ATEC</v>
      </c>
      <c r="E48" t="s">
        <v>61</v>
      </c>
      <c r="F48">
        <v>11.11</v>
      </c>
      <c r="G48">
        <v>30</v>
      </c>
      <c r="H48">
        <f>IF(VLOOKUP(B48,Trades!A:M,4,FALSE)="Long",(F48-VLOOKUP(B48,Trades!A:M,6,FALSE))*G48,(VLOOKUP(B48,Trades!A:M,6,FALSE)-F48)*G48)</f>
        <v>-9.3000000000000149</v>
      </c>
      <c r="I48">
        <f>H48/VLOOKUP(B48,Trades!A$1:$M$100361,9,FALSE)</f>
        <v>-1</v>
      </c>
    </row>
    <row r="49" spans="1:9" x14ac:dyDescent="0.25">
      <c r="A49">
        <f t="shared" si="0"/>
        <v>48</v>
      </c>
      <c r="B49" t="s">
        <v>183</v>
      </c>
      <c r="C49" s="1">
        <v>46128</v>
      </c>
      <c r="D49" t="str">
        <f>VLOOKUP(B49,Trades!A$1:M100408,3,FALSE)</f>
        <v>WMT</v>
      </c>
      <c r="E49" t="s">
        <v>61</v>
      </c>
      <c r="F49">
        <v>124.31</v>
      </c>
      <c r="G49">
        <v>3</v>
      </c>
      <c r="H49">
        <f>IF(VLOOKUP(B49,Trades!A:M,4,FALSE)="Long",(F49-VLOOKUP(B49,Trades!A:M,6,FALSE))*G49,(VLOOKUP(B49,Trades!A:M,6,FALSE)-F49)*G49)</f>
        <v>3.1800000000000068</v>
      </c>
      <c r="I49">
        <f>H49/VLOOKUP(B49,Trades!A$1:$M$100361,9,FALSE)</f>
        <v>0.46902654867256632</v>
      </c>
    </row>
    <row r="50" spans="1:9" x14ac:dyDescent="0.25">
      <c r="A50">
        <f t="shared" si="0"/>
        <v>49</v>
      </c>
      <c r="B50" t="s">
        <v>184</v>
      </c>
      <c r="C50" s="1">
        <v>46128</v>
      </c>
      <c r="D50" t="str">
        <f>VLOOKUP(B50,Trades!A$1:M100409,3,FALSE)</f>
        <v>UEC</v>
      </c>
      <c r="E50" t="s">
        <v>61</v>
      </c>
      <c r="F50">
        <v>15.22</v>
      </c>
      <c r="G50">
        <v>7</v>
      </c>
      <c r="H50">
        <f>IF(VLOOKUP(B50,Trades!A:M,4,FALSE)="Long",(F50-VLOOKUP(B50,Trades!A:M,6,FALSE))*G50,(VLOOKUP(B50,Trades!A:M,6,FALSE)-F50)*G50)</f>
        <v>15.050000000000002</v>
      </c>
      <c r="I50">
        <f>H50/VLOOKUP(B50,Trades!A$1:$M$100361,9,FALSE)</f>
        <v>1.2951807228915664</v>
      </c>
    </row>
    <row r="51" spans="1:9" x14ac:dyDescent="0.25">
      <c r="A51">
        <f t="shared" si="0"/>
        <v>50</v>
      </c>
      <c r="B51" t="s">
        <v>185</v>
      </c>
      <c r="C51" s="1">
        <v>46129</v>
      </c>
      <c r="D51" t="str">
        <f>VLOOKUP(B51,Trades!A$1:M100410,3,FALSE)</f>
        <v>GILD</v>
      </c>
      <c r="E51" t="s">
        <v>61</v>
      </c>
      <c r="F51">
        <v>136.91</v>
      </c>
      <c r="G51">
        <v>4</v>
      </c>
      <c r="H51">
        <f>IF(VLOOKUP(B51,Trades!A:M,4,FALSE)="Long",(F51-VLOOKUP(B51,Trades!A:M,6,FALSE))*G51,(VLOOKUP(B51,Trades!A:M,6,FALSE)-F51)*G51)</f>
        <v>-12.960000000000036</v>
      </c>
      <c r="I51">
        <f>H51/VLOOKUP(B51,Trades!A$1:$M$100361,9,FALSE)</f>
        <v>-1.0030959752321953</v>
      </c>
    </row>
    <row r="52" spans="1:9" x14ac:dyDescent="0.25">
      <c r="A52">
        <f t="shared" si="0"/>
        <v>51</v>
      </c>
      <c r="B52" t="s">
        <v>188</v>
      </c>
      <c r="C52" s="1">
        <v>46129</v>
      </c>
      <c r="D52" t="str">
        <f>VLOOKUP(B52,Trades!A$1:M100411,3,FALSE)</f>
        <v>PATH</v>
      </c>
      <c r="E52" t="s">
        <v>61</v>
      </c>
      <c r="F52">
        <v>10.39</v>
      </c>
      <c r="G52">
        <v>30</v>
      </c>
      <c r="H52">
        <f>IF(VLOOKUP(B52,Trades!A:M,4,FALSE)="Long",(F52-VLOOKUP(B52,Trades!A:M,6,FALSE))*G52,(VLOOKUP(B52,Trades!A:M,6,FALSE)-F52)*G52)</f>
        <v>-13.799999999999972</v>
      </c>
      <c r="I52">
        <f>H52/VLOOKUP(B52,Trades!A$1:$M$100361,9,FALSE)</f>
        <v>-1</v>
      </c>
    </row>
    <row r="53" spans="1:9" x14ac:dyDescent="0.25">
      <c r="A53">
        <f t="shared" si="0"/>
        <v>52</v>
      </c>
      <c r="B53" t="s">
        <v>189</v>
      </c>
      <c r="C53" s="1">
        <v>46129</v>
      </c>
      <c r="D53" t="str">
        <f>VLOOKUP(B53,Trades!A$1:M100412,3,FALSE)</f>
        <v>AMZN</v>
      </c>
      <c r="E53" t="s">
        <v>61</v>
      </c>
      <c r="F53">
        <v>251.83</v>
      </c>
      <c r="G53">
        <v>4</v>
      </c>
      <c r="H53">
        <f>IF(VLOOKUP(B53,Trades!A:M,4,FALSE)="Long",(F53-VLOOKUP(B53,Trades!A:M,6,FALSE))*G53,(VLOOKUP(B53,Trades!A:M,6,FALSE)-F53)*G53)</f>
        <v>-8.6399999999999864</v>
      </c>
      <c r="I53">
        <f>H53/VLOOKUP(B53,Trades!A$1:$M$100361,9,FALSE)</f>
        <v>-0.86399999999999866</v>
      </c>
    </row>
    <row r="54" spans="1:9" x14ac:dyDescent="0.25">
      <c r="A54">
        <f t="shared" si="0"/>
        <v>53</v>
      </c>
      <c r="B54" t="s">
        <v>190</v>
      </c>
      <c r="C54" s="1">
        <v>46132</v>
      </c>
      <c r="D54" t="str">
        <f>VLOOKUP(B54,Trades!A$1:M100413,3,FALSE)</f>
        <v>CLX</v>
      </c>
      <c r="E54" t="s">
        <v>61</v>
      </c>
      <c r="F54">
        <v>102.95</v>
      </c>
      <c r="G54">
        <v>6</v>
      </c>
      <c r="H54">
        <f>IF(VLOOKUP(B54,Trades!A:M,4,FALSE)="Long",(F54-VLOOKUP(B54,Trades!A:M,6,FALSE))*G54,(VLOOKUP(B54,Trades!A:M,6,FALSE)-F54)*G54)</f>
        <v>-13.380000000000024</v>
      </c>
      <c r="I54">
        <f>H54/VLOOKUP(B54,Trades!A$1:$M$100361,9,FALSE)</f>
        <v>-1</v>
      </c>
    </row>
    <row r="55" spans="1:9" x14ac:dyDescent="0.25">
      <c r="A55">
        <f t="shared" si="0"/>
        <v>54</v>
      </c>
      <c r="B55" t="s">
        <v>191</v>
      </c>
      <c r="C55" s="1">
        <v>46132</v>
      </c>
      <c r="D55" t="str">
        <f>VLOOKUP(B55,Trades!A$1:M100414,3,FALSE)</f>
        <v>APPS</v>
      </c>
      <c r="E55" t="s">
        <v>61</v>
      </c>
      <c r="F55">
        <v>3.67</v>
      </c>
      <c r="G55">
        <v>30</v>
      </c>
      <c r="H55">
        <f>IF(VLOOKUP(B55,Trades!A:M,4,FALSE)="Long",(F55-VLOOKUP(B55,Trades!A:M,6,FALSE))*G55,(VLOOKUP(B55,Trades!A:M,6,FALSE)-F55)*G55)</f>
        <v>22.799999999999994</v>
      </c>
      <c r="I55">
        <f>H55/VLOOKUP(B55,Trades!A$1:$M$100361,9,FALSE)</f>
        <v>4</v>
      </c>
    </row>
    <row r="56" spans="1:9" x14ac:dyDescent="0.25">
      <c r="A56">
        <f t="shared" si="0"/>
        <v>55</v>
      </c>
      <c r="B56" t="s">
        <v>192</v>
      </c>
      <c r="C56" s="1">
        <v>46132</v>
      </c>
      <c r="D56" t="str">
        <f>VLOOKUP(B56,Trades!A$1:M100415,3,FALSE)</f>
        <v>APLD</v>
      </c>
      <c r="E56" t="s">
        <v>61</v>
      </c>
      <c r="F56">
        <v>30.93</v>
      </c>
      <c r="G56">
        <v>6</v>
      </c>
      <c r="H56">
        <f>IF(VLOOKUP(B56,Trades!A:M,4,FALSE)="Long",(F56-VLOOKUP(B56,Trades!A:M,6,FALSE))*G56,(VLOOKUP(B56,Trades!A:M,6,FALSE)-F56)*G56)</f>
        <v>22.5</v>
      </c>
      <c r="I56">
        <f>H56/VLOOKUP(B56,Trades!A$1:$M$100361,9,FALSE)</f>
        <v>1.6816143497757845</v>
      </c>
    </row>
    <row r="57" spans="1:9" x14ac:dyDescent="0.25">
      <c r="A57">
        <f t="shared" si="0"/>
        <v>56</v>
      </c>
      <c r="B57" t="s">
        <v>194</v>
      </c>
      <c r="C57" s="1">
        <v>46132</v>
      </c>
      <c r="D57" t="str">
        <f>VLOOKUP(B57,Trades!A$1:M100416,3,FALSE)</f>
        <v>CELH</v>
      </c>
      <c r="E57" t="s">
        <v>61</v>
      </c>
      <c r="F57">
        <v>33.299999999999997</v>
      </c>
      <c r="G57">
        <v>3</v>
      </c>
      <c r="H57">
        <f>IF(VLOOKUP(B57,Trades!A:M,4,FALSE)="Long",(F57-VLOOKUP(B57,Trades!A:M,6,FALSE))*G57,(VLOOKUP(B57,Trades!A:M,6,FALSE)-F57)*G57)</f>
        <v>-5.6400000000000077</v>
      </c>
      <c r="I57">
        <f>H57/VLOOKUP(B57,Trades!A$1:$M$100361,9,FALSE)</f>
        <v>-0.89523809523809583</v>
      </c>
    </row>
    <row r="58" spans="1:9" x14ac:dyDescent="0.25">
      <c r="A58">
        <f t="shared" si="0"/>
        <v>57</v>
      </c>
      <c r="B58" t="s">
        <v>195</v>
      </c>
      <c r="C58" s="1">
        <v>46132</v>
      </c>
      <c r="D58" t="str">
        <f>VLOOKUP(B58,Trades!A$1:M100417,3,FALSE)</f>
        <v>MRVL</v>
      </c>
      <c r="E58" t="s">
        <v>61</v>
      </c>
      <c r="F58">
        <v>144.76</v>
      </c>
      <c r="G58">
        <v>6</v>
      </c>
      <c r="H58">
        <f>IF(VLOOKUP(B58,Trades!A:M,4,FALSE)="Long",(F58-VLOOKUP(B58,Trades!A:M,6,FALSE))*G58,(VLOOKUP(B58,Trades!A:M,6,FALSE)-F58)*G58)</f>
        <v>-6.6600000000000819</v>
      </c>
      <c r="I58">
        <f>H58/VLOOKUP(B58,Trades!A$1:$M$100361,9,FALSE)</f>
        <v>-1.0277777777777786</v>
      </c>
    </row>
    <row r="59" spans="1:9" x14ac:dyDescent="0.25">
      <c r="A59">
        <f t="shared" si="0"/>
        <v>58</v>
      </c>
      <c r="B59" t="s">
        <v>184</v>
      </c>
      <c r="C59" s="1">
        <v>46132</v>
      </c>
      <c r="D59" t="str">
        <f>VLOOKUP(B59,Trades!A$1:M100418,3,FALSE)</f>
        <v>UEC</v>
      </c>
      <c r="E59" t="s">
        <v>61</v>
      </c>
      <c r="F59">
        <v>14.91</v>
      </c>
      <c r="G59">
        <v>7</v>
      </c>
      <c r="H59">
        <f>IF(VLOOKUP(B59,Trades!A:M,4,FALSE)="Long",(F59-VLOOKUP(B59,Trades!A:M,6,FALSE))*G59,(VLOOKUP(B59,Trades!A:M,6,FALSE)-F59)*G59)</f>
        <v>12.879999999999999</v>
      </c>
      <c r="I59">
        <f>H59/VLOOKUP(B59,Trades!A$1:$M$100361,9,FALSE)</f>
        <v>1.1084337349397588</v>
      </c>
    </row>
    <row r="60" spans="1:9" x14ac:dyDescent="0.25">
      <c r="A60">
        <f t="shared" si="0"/>
        <v>59</v>
      </c>
      <c r="B60" t="s">
        <v>196</v>
      </c>
      <c r="C60" s="1">
        <v>46132</v>
      </c>
      <c r="D60" t="str">
        <f>VLOOKUP(B60,Trades!A$1:M100419,3,FALSE)</f>
        <v>MRVL</v>
      </c>
      <c r="E60" t="s">
        <v>61</v>
      </c>
      <c r="F60">
        <v>144.35</v>
      </c>
      <c r="G60">
        <v>6</v>
      </c>
      <c r="H60">
        <f>IF(VLOOKUP(B60,Trades!A:M,4,FALSE)="Long",(F60-VLOOKUP(B60,Trades!A:M,6,FALSE))*G60,(VLOOKUP(B60,Trades!A:M,6,FALSE)-F60)*G60)</f>
        <v>-7.2000000000001023</v>
      </c>
      <c r="I60">
        <f>H60/VLOOKUP(B60,Trades!A$1:$M$100361,9,FALSE)</f>
        <v>-1.1538461538461475</v>
      </c>
    </row>
    <row r="61" spans="1:9" x14ac:dyDescent="0.25">
      <c r="A61">
        <f t="shared" si="0"/>
        <v>60</v>
      </c>
      <c r="B61" t="s">
        <v>199</v>
      </c>
      <c r="C61" s="1">
        <v>46132</v>
      </c>
      <c r="D61" t="str">
        <f>VLOOKUP(B61,Trades!A$1:M100420,3,FALSE)</f>
        <v>MDT</v>
      </c>
      <c r="E61" t="s">
        <v>61</v>
      </c>
      <c r="F61">
        <v>85.18</v>
      </c>
      <c r="G61">
        <v>6</v>
      </c>
      <c r="H61">
        <f>IF(VLOOKUP(B61,Trades!A:M,4,FALSE)="Long",(F61-VLOOKUP(B61,Trades!A:M,6,FALSE))*G61,(VLOOKUP(B61,Trades!A:M,6,FALSE)-F61)*G61)</f>
        <v>-8.9399999999999693</v>
      </c>
      <c r="I61">
        <f>H61/VLOOKUP(B61,Trades!A$1:$M$100361,9,FALSE)</f>
        <v>-1</v>
      </c>
    </row>
    <row r="62" spans="1:9" x14ac:dyDescent="0.25">
      <c r="A62">
        <f t="shared" si="0"/>
        <v>61</v>
      </c>
      <c r="B62" t="s">
        <v>203</v>
      </c>
      <c r="C62" s="1">
        <v>46133</v>
      </c>
      <c r="D62" t="str">
        <f>VLOOKUP(B62,Trades!A$1:M100421,3,FALSE)</f>
        <v>KO</v>
      </c>
      <c r="E62" t="s">
        <v>61</v>
      </c>
      <c r="F62">
        <v>74.989999999999995</v>
      </c>
      <c r="G62">
        <v>10</v>
      </c>
      <c r="H62">
        <f>IF(VLOOKUP(B62,Trades!A:M,4,FALSE)="Long",(F62-VLOOKUP(B62,Trades!A:M,6,FALSE))*G62,(VLOOKUP(B62,Trades!A:M,6,FALSE)-F62)*G62)</f>
        <v>-6.9000000000001194</v>
      </c>
      <c r="I62">
        <f>H62/VLOOKUP(B62,Trades!A$1:$M$100361,9,FALSE)</f>
        <v>-1</v>
      </c>
    </row>
    <row r="63" spans="1:9" x14ac:dyDescent="0.25">
      <c r="A63">
        <f t="shared" si="0"/>
        <v>62</v>
      </c>
      <c r="B63" t="s">
        <v>204</v>
      </c>
      <c r="C63" s="1">
        <v>46133</v>
      </c>
      <c r="D63" t="str">
        <f>VLOOKUP(B63,Trades!A$1:M100422,3,FALSE)</f>
        <v>SOUN</v>
      </c>
      <c r="E63" t="s">
        <v>61</v>
      </c>
      <c r="F63">
        <v>8.07</v>
      </c>
      <c r="G63">
        <v>10</v>
      </c>
      <c r="H63">
        <f>IF(VLOOKUP(B63,Trades!A:M,4,FALSE)="Long",(F63-VLOOKUP(B63,Trades!A:M,6,FALSE))*G63,(VLOOKUP(B63,Trades!A:M,6,FALSE)-F63)*G63)</f>
        <v>-7.0999999999999908</v>
      </c>
      <c r="I63">
        <f>H63/VLOOKUP(B63,Trades!A$1:$M$100361,9,FALSE)</f>
        <v>-1</v>
      </c>
    </row>
    <row r="64" spans="1:9" x14ac:dyDescent="0.25">
      <c r="A64">
        <f t="shared" si="0"/>
        <v>63</v>
      </c>
      <c r="B64" t="s">
        <v>205</v>
      </c>
      <c r="C64" s="1">
        <v>46133</v>
      </c>
      <c r="D64" t="str">
        <f>VLOOKUP(B64,Trades!A$1:M100423,3,FALSE)</f>
        <v>ATEC</v>
      </c>
      <c r="E64" t="s">
        <v>61</v>
      </c>
      <c r="F64">
        <v>10.81</v>
      </c>
      <c r="G64">
        <v>10</v>
      </c>
      <c r="H64">
        <f>IF(VLOOKUP(B64,Trades!A:M,4,FALSE)="Long",(F64-VLOOKUP(B64,Trades!A:M,6,FALSE))*G64,(VLOOKUP(B64,Trades!A:M,6,FALSE)-F64)*G64)</f>
        <v>-7.5999999999999979</v>
      </c>
      <c r="I64">
        <f>H64/VLOOKUP(B64,Trades!A$1:$M$100361,9,FALSE)</f>
        <v>-1.1874999999999987</v>
      </c>
    </row>
    <row r="65" spans="1:9" x14ac:dyDescent="0.25">
      <c r="A65">
        <f t="shared" si="0"/>
        <v>64</v>
      </c>
      <c r="B65" t="s">
        <v>208</v>
      </c>
      <c r="C65" s="1">
        <v>46134</v>
      </c>
      <c r="D65" t="str">
        <f>VLOOKUP(B65,Trades!A$1:M100424,3,FALSE)</f>
        <v>AMD</v>
      </c>
      <c r="E65" t="s">
        <v>61</v>
      </c>
      <c r="F65">
        <v>296.07</v>
      </c>
      <c r="G65">
        <v>2</v>
      </c>
      <c r="H65">
        <f>IF(VLOOKUP(B65,Trades!A:M,4,FALSE)="Long",(F65-VLOOKUP(B65,Trades!A:M,6,FALSE))*G65,(VLOOKUP(B65,Trades!A:M,6,FALSE)-F65)*G65)</f>
        <v>15.159999999999968</v>
      </c>
      <c r="I65">
        <f>H65/VLOOKUP(B65,Trades!A$1:$M$100361,9,FALSE)</f>
        <v>2.5266666666666615</v>
      </c>
    </row>
    <row r="66" spans="1:9" x14ac:dyDescent="0.25">
      <c r="A66">
        <f t="shared" si="0"/>
        <v>65</v>
      </c>
      <c r="B66" t="s">
        <v>209</v>
      </c>
      <c r="C66" s="1">
        <v>46134</v>
      </c>
      <c r="D66" t="str">
        <f>VLOOKUP(B66,Trades!A$1:M100425,3,FALSE)</f>
        <v>PLTR</v>
      </c>
      <c r="E66" t="s">
        <v>61</v>
      </c>
      <c r="F66">
        <v>151.35</v>
      </c>
      <c r="G66">
        <v>1</v>
      </c>
      <c r="H66">
        <f>IF(VLOOKUP(B66,Trades!A:M,4,FALSE)="Long",(F66-VLOOKUP(B66,Trades!A:M,6,FALSE))*G66,(VLOOKUP(B66,Trades!A:M,6,FALSE)-F66)*G66)</f>
        <v>18.849999999999994</v>
      </c>
      <c r="I66">
        <f>H66/VLOOKUP(B66,Trades!A$1:$M$100361,9,FALSE)</f>
        <v>2.1766743648960669</v>
      </c>
    </row>
    <row r="67" spans="1:9" x14ac:dyDescent="0.25">
      <c r="A67">
        <f t="shared" si="0"/>
        <v>66</v>
      </c>
      <c r="B67" t="s">
        <v>212</v>
      </c>
      <c r="C67" s="1">
        <v>46135</v>
      </c>
      <c r="D67" t="str">
        <f>VLOOKUP(B67,Trades!A$1:M100426,3,FALSE)</f>
        <v>SMCI</v>
      </c>
      <c r="E67" t="s">
        <v>61</v>
      </c>
      <c r="F67">
        <v>26.5</v>
      </c>
      <c r="G67">
        <v>10</v>
      </c>
      <c r="H67">
        <f>IF(VLOOKUP(B67,Trades!A:M,4,FALSE)="Long",(F67-VLOOKUP(B67,Trades!A:M,6,FALSE))*G67,(VLOOKUP(B67,Trades!A:M,6,FALSE)-F67)*G67)</f>
        <v>-26.499999999999986</v>
      </c>
      <c r="I67">
        <f>H67/VLOOKUP(B67,Trades!A$1:$M$100361,9,FALSE)</f>
        <v>-2.6499999999999986</v>
      </c>
    </row>
    <row r="68" spans="1:9" x14ac:dyDescent="0.25">
      <c r="A68">
        <f t="shared" si="0"/>
        <v>67</v>
      </c>
      <c r="B68" t="s">
        <v>214</v>
      </c>
      <c r="C68" s="1">
        <v>46135</v>
      </c>
      <c r="D68" t="str">
        <f>VLOOKUP(B68,Trades!A$1:M100427,3,FALSE)</f>
        <v>PATH</v>
      </c>
      <c r="E68" t="s">
        <v>61</v>
      </c>
      <c r="F68">
        <v>10.15</v>
      </c>
      <c r="G68">
        <v>10</v>
      </c>
      <c r="H68">
        <f>IF(VLOOKUP(B68,Trades!A:M,4,FALSE)="Long",(F68-VLOOKUP(B68,Trades!A:M,6,FALSE))*G68,(VLOOKUP(B68,Trades!A:M,6,FALSE)-F68)*G68)</f>
        <v>-4.2999999999999972</v>
      </c>
      <c r="I68">
        <f>H68/VLOOKUP(B68,Trades!A$1:$M$100361,9,FALSE)</f>
        <v>-1.0238095238095233</v>
      </c>
    </row>
    <row r="69" spans="1:9" x14ac:dyDescent="0.25">
      <c r="A69">
        <f t="shared" si="0"/>
        <v>68</v>
      </c>
      <c r="B69" t="s">
        <v>215</v>
      </c>
      <c r="C69" s="1">
        <v>46135</v>
      </c>
      <c r="D69" t="str">
        <f>VLOOKUP(B69,Trades!A$1:M100428,3,FALSE)</f>
        <v>ONDS</v>
      </c>
      <c r="E69" t="s">
        <v>61</v>
      </c>
      <c r="F69">
        <v>10.45</v>
      </c>
      <c r="G69">
        <v>10</v>
      </c>
      <c r="H69">
        <f>IF(VLOOKUP(B69,Trades!A:M,4,FALSE)="Long",(F69-VLOOKUP(B69,Trades!A:M,6,FALSE))*G69,(VLOOKUP(B69,Trades!A:M,6,FALSE)-F69)*G69)</f>
        <v>8.0999999999999872</v>
      </c>
      <c r="I69">
        <f>H69/VLOOKUP(B69,Trades!A$1:$M$100361,9,FALSE)</f>
        <v>1.7234042553191438</v>
      </c>
    </row>
    <row r="70" spans="1:9" x14ac:dyDescent="0.25">
      <c r="A70">
        <f t="shared" si="0"/>
        <v>69</v>
      </c>
      <c r="B70" t="s">
        <v>216</v>
      </c>
      <c r="C70" s="1">
        <v>46135</v>
      </c>
      <c r="D70" t="str">
        <f>VLOOKUP(B70,Trades!A$1:M100429,3,FALSE)</f>
        <v>RCAT</v>
      </c>
      <c r="E70" t="s">
        <v>61</v>
      </c>
      <c r="F70">
        <v>12.782</v>
      </c>
      <c r="G70">
        <v>10</v>
      </c>
      <c r="H70">
        <f>IF(VLOOKUP(B70,Trades!A:M,4,FALSE)="Long",(F70-VLOOKUP(B70,Trades!A:M,6,FALSE))*G70,(VLOOKUP(B70,Trades!A:M,6,FALSE)-F70)*G70)</f>
        <v>-6.8800000000000061</v>
      </c>
      <c r="I70">
        <f>H70/VLOOKUP(B70,Trades!A$1:$M$100361,9,FALSE)</f>
        <v>-1.0117647058823516</v>
      </c>
    </row>
    <row r="71" spans="1:9" x14ac:dyDescent="0.25">
      <c r="A71">
        <f t="shared" si="0"/>
        <v>70</v>
      </c>
      <c r="B71" t="s">
        <v>209</v>
      </c>
      <c r="C71" s="1">
        <v>46135</v>
      </c>
      <c r="D71" t="str">
        <f>VLOOKUP(B71,Trades!A$1:M100430,3,FALSE)</f>
        <v>PLTR</v>
      </c>
      <c r="E71" t="s">
        <v>61</v>
      </c>
      <c r="F71">
        <v>142.31</v>
      </c>
      <c r="G71">
        <v>2</v>
      </c>
      <c r="H71">
        <f>IF(VLOOKUP(B71,Trades!A:M,4,FALSE)="Long",(F71-VLOOKUP(B71,Trades!A:M,6,FALSE))*G71,(VLOOKUP(B71,Trades!A:M,6,FALSE)-F71)*G71)</f>
        <v>19.620000000000005</v>
      </c>
      <c r="I71">
        <f>H71/VLOOKUP(B71,Trades!A$1:$M$100361,9,FALSE)</f>
        <v>2.2655889145496477</v>
      </c>
    </row>
    <row r="72" spans="1:9" x14ac:dyDescent="0.25">
      <c r="A72">
        <f t="shared" si="0"/>
        <v>71</v>
      </c>
      <c r="B72" t="s">
        <v>217</v>
      </c>
      <c r="C72" s="1">
        <v>46135</v>
      </c>
      <c r="D72" t="str">
        <f>VLOOKUP(B72,Trades!A$1:M100431,3,FALSE)</f>
        <v>QS</v>
      </c>
      <c r="E72" t="s">
        <v>61</v>
      </c>
      <c r="F72">
        <v>7.77</v>
      </c>
      <c r="G72">
        <v>3</v>
      </c>
      <c r="H72">
        <f>IF(VLOOKUP(B72,Trades!A:M,4,FALSE)="Long",(F72-VLOOKUP(B72,Trades!A:M,6,FALSE))*G72,(VLOOKUP(B72,Trades!A:M,6,FALSE)-F72)*G72)</f>
        <v>-3</v>
      </c>
      <c r="I72">
        <f>H72/VLOOKUP(B72,Trades!A$1:$M$100361,9,FALSE)</f>
        <v>-0.75</v>
      </c>
    </row>
    <row r="73" spans="1:9" x14ac:dyDescent="0.25">
      <c r="A73">
        <f t="shared" ref="A73:A78" si="1">ROW()-1</f>
        <v>72</v>
      </c>
      <c r="B73" t="s">
        <v>218</v>
      </c>
      <c r="C73" s="1">
        <v>46135</v>
      </c>
      <c r="D73" t="str">
        <f>VLOOKUP(B73,Trades!A$1:M100432,3,FALSE)</f>
        <v>AMD</v>
      </c>
      <c r="E73" t="s">
        <v>61</v>
      </c>
      <c r="F73">
        <v>303.02</v>
      </c>
      <c r="G73">
        <v>3</v>
      </c>
      <c r="H73">
        <f>IF(VLOOKUP(B73,Trades!A:M,4,FALSE)="Long",(F73-VLOOKUP(B73,Trades!A:M,6,FALSE))*G73,(VLOOKUP(B73,Trades!A:M,6,FALSE)-F73)*G73)</f>
        <v>-9.7799999999999727</v>
      </c>
      <c r="I73">
        <f>H73/VLOOKUP(B73,Trades!A$1:$M$100361,9,FALSE)</f>
        <v>-1.0187500000000007</v>
      </c>
    </row>
    <row r="74" spans="1:9" x14ac:dyDescent="0.25">
      <c r="A74">
        <f t="shared" si="1"/>
        <v>73</v>
      </c>
      <c r="B74" t="s">
        <v>219</v>
      </c>
      <c r="C74" s="1">
        <v>46136</v>
      </c>
      <c r="D74" t="str">
        <f>VLOOKUP(B74,Trades!A$1:M100433,3,FALSE)</f>
        <v>APPS</v>
      </c>
      <c r="E74" t="s">
        <v>61</v>
      </c>
      <c r="F74">
        <v>3.39</v>
      </c>
      <c r="G74">
        <v>20</v>
      </c>
      <c r="H74">
        <f>IF(VLOOKUP(B74,Trades!A:M,4,FALSE)="Long",(F74-VLOOKUP(B74,Trades!A:M,6,FALSE))*G74,(VLOOKUP(B74,Trades!A:M,6,FALSE)-F74)*G74)</f>
        <v>-8.3999999999999986</v>
      </c>
      <c r="I74">
        <f>H74/VLOOKUP(B74,Trades!A$1:$M$100361,9,FALSE)</f>
        <v>-1.3125000000000004</v>
      </c>
    </row>
    <row r="75" spans="1:9" x14ac:dyDescent="0.25">
      <c r="A75">
        <f t="shared" si="1"/>
        <v>74</v>
      </c>
      <c r="B75" t="s">
        <v>220</v>
      </c>
      <c r="C75" s="1">
        <v>46136</v>
      </c>
      <c r="D75" t="str">
        <f>VLOOKUP(B75,Trades!A$1:M100434,3,FALSE)</f>
        <v>ARM</v>
      </c>
      <c r="E75" t="s">
        <v>61</v>
      </c>
      <c r="F75">
        <v>230.45</v>
      </c>
      <c r="G75">
        <v>4</v>
      </c>
      <c r="H75">
        <f>IF(VLOOKUP(B75,Trades!A:M,4,FALSE)="Long",(F75-VLOOKUP(B75,Trades!A:M,6,FALSE))*G75,(VLOOKUP(B75,Trades!A:M,6,FALSE)-F75)*G75)</f>
        <v>10.759999999999991</v>
      </c>
      <c r="I75">
        <f>H75/VLOOKUP(B75,Trades!A$1:$M$100361,9,FALSE)</f>
        <v>1.3449999999999989</v>
      </c>
    </row>
    <row r="76" spans="1:9" x14ac:dyDescent="0.25">
      <c r="A76">
        <f t="shared" si="1"/>
        <v>75</v>
      </c>
      <c r="B76" t="s">
        <v>221</v>
      </c>
      <c r="C76" s="1">
        <v>46136</v>
      </c>
      <c r="D76" t="str">
        <f>VLOOKUP(B76,Trades!A$1:M100435,3,FALSE)</f>
        <v>MNST</v>
      </c>
      <c r="E76" t="s">
        <v>61</v>
      </c>
      <c r="F76">
        <v>77.66</v>
      </c>
      <c r="G76">
        <v>2</v>
      </c>
      <c r="H76">
        <f>IF(VLOOKUP(B76,Trades!A:M,4,FALSE)="Long",(F76-VLOOKUP(B76,Trades!A:M,6,FALSE))*G76,(VLOOKUP(B76,Trades!A:M,6,FALSE)-F76)*G76)</f>
        <v>10.95999999999998</v>
      </c>
      <c r="I76">
        <f>H76/VLOOKUP(B76,Trades!A$1:$M$100361,9,FALSE)</f>
        <v>1.2955082742316661</v>
      </c>
    </row>
    <row r="77" spans="1:9" x14ac:dyDescent="0.25">
      <c r="A77">
        <f t="shared" si="1"/>
        <v>76</v>
      </c>
      <c r="B77" t="s">
        <v>222</v>
      </c>
      <c r="C77" s="1">
        <v>46136</v>
      </c>
      <c r="D77" t="str">
        <f>VLOOKUP(B77,Trades!A$1:M100436,3,FALSE)</f>
        <v>INTC</v>
      </c>
      <c r="E77" t="s">
        <v>61</v>
      </c>
      <c r="F77">
        <v>82.48</v>
      </c>
      <c r="G77">
        <v>1</v>
      </c>
      <c r="H77">
        <f>IF(VLOOKUP(B77,Trades!A:M,4,FALSE)="Long",(F77-VLOOKUP(B77,Trades!A:M,6,FALSE))*G77,(VLOOKUP(B77,Trades!A:M,6,FALSE)-F77)*G77)</f>
        <v>15.469999999999999</v>
      </c>
      <c r="I77">
        <f>H77/VLOOKUP(B77,Trades!A$1:$M$100361,9,FALSE)</f>
        <v>1.2669942669942647</v>
      </c>
    </row>
    <row r="78" spans="1:9" x14ac:dyDescent="0.25">
      <c r="A78">
        <f t="shared" si="1"/>
        <v>77</v>
      </c>
      <c r="B78" t="s">
        <v>224</v>
      </c>
      <c r="C78" s="1">
        <v>46136</v>
      </c>
      <c r="D78" t="str">
        <f>VLOOKUP(B78,Trades!A$1:M100437,3,FALSE)</f>
        <v>BDX</v>
      </c>
      <c r="E78" t="s">
        <v>61</v>
      </c>
      <c r="F78">
        <v>152.47</v>
      </c>
      <c r="G78">
        <v>2</v>
      </c>
      <c r="H78">
        <f>IF(VLOOKUP(B78,Trades!A:M,4,FALSE)="Long",(F78-VLOOKUP(B78,Trades!A:M,6,FALSE))*G78,(VLOOKUP(B78,Trades!A:M,6,FALSE)-F78)*G78)</f>
        <v>-4</v>
      </c>
      <c r="I78">
        <f>H78/VLOOKUP(B78,Trades!A$1:$M$100361,9,FALSE)</f>
        <v>-1</v>
      </c>
    </row>
    <row r="79" spans="1:9" x14ac:dyDescent="0.25">
      <c r="A79">
        <f t="shared" ref="A79:A85" si="2">ROW()-1</f>
        <v>78</v>
      </c>
      <c r="B79" t="s">
        <v>226</v>
      </c>
      <c r="C79" s="1">
        <v>46139</v>
      </c>
      <c r="D79" t="str">
        <f>VLOOKUP(B79,Trades!A$1:M100438,3,FALSE)</f>
        <v>QCOM</v>
      </c>
      <c r="E79" t="s">
        <v>61</v>
      </c>
      <c r="F79">
        <v>151.94</v>
      </c>
      <c r="G79">
        <v>4</v>
      </c>
      <c r="H79">
        <f>IF(VLOOKUP(B79,Trades!A:M,4,FALSE)="Long",(F79-VLOOKUP(B79,Trades!A:M,6,FALSE))*G79,(VLOOKUP(B79,Trades!A:M,6,FALSE)-F79)*G79)</f>
        <v>-16</v>
      </c>
      <c r="I79">
        <f>H79/VLOOKUP(B79,Trades!A$1:$M$100361,9,FALSE)</f>
        <v>-1</v>
      </c>
    </row>
    <row r="80" spans="1:9" x14ac:dyDescent="0.25">
      <c r="A80">
        <f t="shared" si="2"/>
        <v>79</v>
      </c>
      <c r="B80" t="s">
        <v>227</v>
      </c>
      <c r="C80" s="1">
        <v>46139</v>
      </c>
      <c r="D80" t="str">
        <f>VLOOKUP(B80,Trades!A$1:M100439,3,FALSE)</f>
        <v>QCOM</v>
      </c>
      <c r="E80" t="s">
        <v>61</v>
      </c>
      <c r="F80">
        <v>151.32</v>
      </c>
      <c r="G80">
        <v>4</v>
      </c>
      <c r="H80">
        <f>IF(VLOOKUP(B80,Trades!A:M,4,FALSE)="Long",(F80-VLOOKUP(B80,Trades!A:M,6,FALSE))*G80,(VLOOKUP(B80,Trades!A:M,6,FALSE)-F80)*G80)</f>
        <v>-3.4800000000000182</v>
      </c>
      <c r="I80">
        <f>H80/VLOOKUP(B80,Trades!A$1:$M$100361,9,FALSE)</f>
        <v>-1</v>
      </c>
    </row>
    <row r="81" spans="1:9" x14ac:dyDescent="0.25">
      <c r="A81">
        <f t="shared" si="2"/>
        <v>80</v>
      </c>
      <c r="B81" t="s">
        <v>228</v>
      </c>
      <c r="C81" s="1">
        <v>46139</v>
      </c>
      <c r="D81" t="str">
        <f>VLOOKUP(B81,Trades!A$1:M100440,3,FALSE)</f>
        <v>NVDA</v>
      </c>
      <c r="E81" t="s">
        <v>61</v>
      </c>
      <c r="F81">
        <v>208.22</v>
      </c>
      <c r="G81">
        <v>3</v>
      </c>
      <c r="H81">
        <f>IF(VLOOKUP(B81,Trades!A:M,4,FALSE)="Long",(F81-VLOOKUP(B81,Trades!A:M,6,FALSE))*G81,(VLOOKUP(B81,Trades!A:M,6,FALSE)-F81)*G81)</f>
        <v>-3.6899999999999693</v>
      </c>
      <c r="I81">
        <f>H81/VLOOKUP(B81,Trades!A$1:$M$100361,9,FALSE)</f>
        <v>-0.94615384615385068</v>
      </c>
    </row>
    <row r="82" spans="1:9" x14ac:dyDescent="0.25">
      <c r="A82">
        <f t="shared" si="2"/>
        <v>81</v>
      </c>
      <c r="B82" t="s">
        <v>229</v>
      </c>
      <c r="C82" s="1">
        <v>46139</v>
      </c>
      <c r="D82" t="str">
        <f>VLOOKUP(B82,Trades!A$1:M100441,3,FALSE)</f>
        <v>QCOM</v>
      </c>
      <c r="E82" t="s">
        <v>61</v>
      </c>
      <c r="F82">
        <v>147.75</v>
      </c>
      <c r="G82">
        <v>4</v>
      </c>
      <c r="H82">
        <f>IF(VLOOKUP(B82,Trades!A:M,4,FALSE)="Long",(F82-VLOOKUP(B82,Trades!A:M,6,FALSE))*G82,(VLOOKUP(B82,Trades!A:M,6,FALSE)-F82)*G82)</f>
        <v>-3.9199999999999591</v>
      </c>
      <c r="I82">
        <f>H82/VLOOKUP(B82,Trades!A$1:$M$100361,9,FALSE)</f>
        <v>-0.97999999999998977</v>
      </c>
    </row>
    <row r="83" spans="1:9" x14ac:dyDescent="0.25">
      <c r="A83">
        <f t="shared" si="2"/>
        <v>82</v>
      </c>
      <c r="B83" t="s">
        <v>230</v>
      </c>
      <c r="C83" s="1">
        <v>46139</v>
      </c>
      <c r="D83" t="str">
        <f>VLOOKUP(B83,Trades!A$1:M100442,3,FALSE)</f>
        <v>SMCI</v>
      </c>
      <c r="E83" t="s">
        <v>61</v>
      </c>
      <c r="F83">
        <v>27.63</v>
      </c>
      <c r="G83">
        <v>4</v>
      </c>
      <c r="H83">
        <f>IF(VLOOKUP(B83,Trades!A:M,4,FALSE)="Long",(F83-VLOOKUP(B83,Trades!A:M,6,FALSE))*G83,(VLOOKUP(B83,Trades!A:M,6,FALSE)-F83)*G83)</f>
        <v>-4.960000000000008</v>
      </c>
      <c r="I83">
        <f>H83/VLOOKUP(B83,Trades!A$1:$M$100361,9,FALSE)</f>
        <v>-1</v>
      </c>
    </row>
    <row r="84" spans="1:9" x14ac:dyDescent="0.25">
      <c r="A84">
        <f t="shared" si="2"/>
        <v>83</v>
      </c>
      <c r="B84" t="s">
        <v>231</v>
      </c>
      <c r="C84" s="1">
        <v>46139</v>
      </c>
      <c r="D84" t="str">
        <f>VLOOKUP(B84,Trades!A$1:M100443,3,FALSE)</f>
        <v>PZG</v>
      </c>
      <c r="E84" t="s">
        <v>61</v>
      </c>
      <c r="F84">
        <v>1.58</v>
      </c>
      <c r="G84">
        <v>100</v>
      </c>
      <c r="H84">
        <f>IF(VLOOKUP(B84,Trades!A:M,4,FALSE)="Long",(F84-VLOOKUP(B84,Trades!A:M,6,FALSE))*G84,(VLOOKUP(B84,Trades!A:M,6,FALSE)-F84)*G84)</f>
        <v>-10.999999999999988</v>
      </c>
      <c r="I84">
        <f>H84/VLOOKUP(B84,Trades!A$1:$M$100361,9,FALSE)</f>
        <v>-1</v>
      </c>
    </row>
    <row r="85" spans="1:9" x14ac:dyDescent="0.25">
      <c r="A85">
        <f t="shared" si="2"/>
        <v>84</v>
      </c>
      <c r="B85" t="s">
        <v>232</v>
      </c>
      <c r="C85" s="1">
        <v>46139</v>
      </c>
      <c r="D85" t="str">
        <f>VLOOKUP(B85,Trades!A$1:M100444,3,FALSE)</f>
        <v>CLX</v>
      </c>
      <c r="E85" t="s">
        <v>61</v>
      </c>
      <c r="F85">
        <v>96.45</v>
      </c>
      <c r="G85">
        <v>4</v>
      </c>
      <c r="H85">
        <f>IF(VLOOKUP(B85,Trades!A:M,4,FALSE)="Long",(F85-VLOOKUP(B85,Trades!A:M,6,FALSE))*G85,(VLOOKUP(B85,Trades!A:M,6,FALSE)-F85)*G85)</f>
        <v>-8.5600000000000023</v>
      </c>
      <c r="I85">
        <f>H85/VLOOKUP(B85,Trades!A$1:$M$100361,9,FALSE)</f>
        <v>-1.0190476190476152</v>
      </c>
    </row>
    <row r="86" spans="1:9" x14ac:dyDescent="0.25">
      <c r="A86">
        <f t="shared" ref="A86:A95" si="3">ROW()-1</f>
        <v>85</v>
      </c>
      <c r="B86" t="s">
        <v>237</v>
      </c>
      <c r="C86" s="1">
        <v>46140</v>
      </c>
      <c r="D86" t="str">
        <f>VLOOKUP(B86,Trades!A$1:M100445,3,FALSE)</f>
        <v>SANM</v>
      </c>
      <c r="E86" t="s">
        <v>61</v>
      </c>
      <c r="F86">
        <v>205.029</v>
      </c>
      <c r="G86">
        <v>4</v>
      </c>
      <c r="H86">
        <f>IF(VLOOKUP(B86,Trades!A:M,4,FALSE)="Long",(F86-VLOOKUP(B86,Trades!A:M,6,FALSE))*G86,(VLOOKUP(B86,Trades!A:M,6,FALSE)-F86)*G86)</f>
        <v>-10.644000000000005</v>
      </c>
      <c r="I86">
        <f>H86/VLOOKUP(B86,Trades!A$1:$M$100361,9,FALSE)</f>
        <v>-1.3305000000000007</v>
      </c>
    </row>
    <row r="87" spans="1:9" x14ac:dyDescent="0.25">
      <c r="A87">
        <f t="shared" si="3"/>
        <v>86</v>
      </c>
      <c r="B87" t="s">
        <v>238</v>
      </c>
      <c r="C87" s="1">
        <v>46140</v>
      </c>
      <c r="D87" t="str">
        <f>VLOOKUP(B87,Trades!A$1:M100446,3,FALSE)</f>
        <v>ATEC</v>
      </c>
      <c r="E87" t="s">
        <v>61</v>
      </c>
      <c r="F87">
        <v>10.02</v>
      </c>
      <c r="G87">
        <v>8</v>
      </c>
      <c r="H87">
        <f>IF(VLOOKUP(B87,Trades!A:M,4,FALSE)="Long",(F87-VLOOKUP(B87,Trades!A:M,6,FALSE))*G87,(VLOOKUP(B87,Trades!A:M,6,FALSE)-F87)*G87)</f>
        <v>-5.7600000000000051</v>
      </c>
      <c r="I87">
        <f>H87/VLOOKUP(B87,Trades!A$1:$M$100361,9,FALSE)</f>
        <v>-1</v>
      </c>
    </row>
    <row r="88" spans="1:9" x14ac:dyDescent="0.25">
      <c r="A88">
        <f t="shared" si="3"/>
        <v>87</v>
      </c>
      <c r="B88" t="s">
        <v>236</v>
      </c>
      <c r="C88" s="1">
        <v>46140</v>
      </c>
      <c r="D88" t="str">
        <f>VLOOKUP(B88,Trades!A$1:M100447,3,FALSE)</f>
        <v>ASTS</v>
      </c>
      <c r="E88" t="s">
        <v>61</v>
      </c>
      <c r="F88">
        <v>71</v>
      </c>
      <c r="G88">
        <v>2</v>
      </c>
      <c r="H88">
        <f>IF(VLOOKUP(B88,Trades!A:M,4,FALSE)="Long",(F88-VLOOKUP(B88,Trades!A:M,6,FALSE))*G88,(VLOOKUP(B88,Trades!A:M,6,FALSE)-F88)*G88)</f>
        <v>-8</v>
      </c>
      <c r="I88">
        <f>H88/VLOOKUP(B88,Trades!A$1:$M$100361,9,FALSE)</f>
        <v>-1</v>
      </c>
    </row>
    <row r="89" spans="1:9" x14ac:dyDescent="0.25">
      <c r="A89">
        <f t="shared" si="3"/>
        <v>88</v>
      </c>
      <c r="B89" t="s">
        <v>240</v>
      </c>
      <c r="C89" s="1">
        <v>46140</v>
      </c>
      <c r="D89" t="str">
        <f>VLOOKUP(B89,Trades!A$1:M100448,3,FALSE)</f>
        <v>SEI</v>
      </c>
      <c r="E89" t="s">
        <v>61</v>
      </c>
      <c r="F89">
        <v>73.930000000000007</v>
      </c>
      <c r="G89">
        <v>6</v>
      </c>
      <c r="H89">
        <f>IF(VLOOKUP(B89,Trades!A:M,4,FALSE)="Long",(F89-VLOOKUP(B89,Trades!A:M,6,FALSE))*G89,(VLOOKUP(B89,Trades!A:M,6,FALSE)-F89)*G89)</f>
        <v>4.9200000000000443</v>
      </c>
      <c r="I89">
        <f>H89/VLOOKUP(B89,Trades!A$1:$M$100361,9,FALSE)</f>
        <v>0.4685714285714328</v>
      </c>
    </row>
    <row r="90" spans="1:9" x14ac:dyDescent="0.25">
      <c r="A90">
        <f t="shared" si="3"/>
        <v>89</v>
      </c>
      <c r="B90" t="s">
        <v>241</v>
      </c>
      <c r="C90" s="1">
        <v>46141</v>
      </c>
      <c r="D90" t="str">
        <f>VLOOKUP(B90,Trades!A$1:M100449,3,FALSE)</f>
        <v>PLTR</v>
      </c>
      <c r="E90" t="s">
        <v>61</v>
      </c>
      <c r="F90">
        <v>137.38</v>
      </c>
      <c r="G90">
        <v>3</v>
      </c>
      <c r="H90">
        <f>IF(VLOOKUP(B90,Trades!A:M,4,FALSE)="Long",(F90-VLOOKUP(B90,Trades!A:M,6,FALSE))*G90,(VLOOKUP(B90,Trades!A:M,6,FALSE)-F90)*G90)</f>
        <v>-10.049999999999983</v>
      </c>
      <c r="I90">
        <f>H90/VLOOKUP(B90,Trades!A$1:$M$100361,9,FALSE)</f>
        <v>-1</v>
      </c>
    </row>
    <row r="91" spans="1:9" x14ac:dyDescent="0.25">
      <c r="A91">
        <f t="shared" si="3"/>
        <v>90</v>
      </c>
      <c r="B91" t="s">
        <v>244</v>
      </c>
      <c r="C91" s="1">
        <v>46141</v>
      </c>
      <c r="D91" t="str">
        <f>VLOOKUP(B91,Trades!A$1:M100450,3,FALSE)</f>
        <v>KOPN</v>
      </c>
      <c r="E91" t="s">
        <v>61</v>
      </c>
      <c r="F91">
        <v>3.8</v>
      </c>
      <c r="G91">
        <v>6</v>
      </c>
      <c r="H91">
        <f>IF(VLOOKUP(B91,Trades!A:M,4,FALSE)="Long",(F91-VLOOKUP(B91,Trades!A:M,6,FALSE))*G91,(VLOOKUP(B91,Trades!A:M,6,FALSE)-F91)*G91)</f>
        <v>-2.76</v>
      </c>
      <c r="I91">
        <f>H91/VLOOKUP(B91,Trades!A$1:$M$100361,9,FALSE)</f>
        <v>-1.0222222222222228</v>
      </c>
    </row>
    <row r="92" spans="1:9" x14ac:dyDescent="0.25">
      <c r="A92">
        <f t="shared" si="3"/>
        <v>91</v>
      </c>
      <c r="B92" t="s">
        <v>246</v>
      </c>
      <c r="C92" s="1">
        <v>46141</v>
      </c>
      <c r="D92" t="str">
        <f>VLOOKUP(B92,Trades!A$1:M100451,3,FALSE)</f>
        <v>STX</v>
      </c>
      <c r="E92" t="s">
        <v>61</v>
      </c>
      <c r="F92">
        <v>660.09</v>
      </c>
      <c r="G92">
        <v>1</v>
      </c>
      <c r="H92">
        <f>IF(VLOOKUP(B92,Trades!A:M,4,FALSE)="Long",(F92-VLOOKUP(B92,Trades!A:M,6,FALSE))*G92,(VLOOKUP(B92,Trades!A:M,6,FALSE)-F92)*G92)</f>
        <v>-7.2999999999999545</v>
      </c>
      <c r="I92">
        <f>H92/VLOOKUP(B92,Trades!A$1:$M$100361,9,FALSE)</f>
        <v>-1.0428571428571363</v>
      </c>
    </row>
    <row r="93" spans="1:9" x14ac:dyDescent="0.25">
      <c r="A93">
        <f t="shared" si="3"/>
        <v>92</v>
      </c>
      <c r="B93" t="s">
        <v>247</v>
      </c>
      <c r="C93" s="1">
        <v>46141</v>
      </c>
      <c r="D93" t="str">
        <f>VLOOKUP(B93,Trades!A$1:M100452,3,FALSE)</f>
        <v>STX</v>
      </c>
      <c r="E93" t="s">
        <v>61</v>
      </c>
      <c r="F93">
        <v>658.36</v>
      </c>
      <c r="G93">
        <v>2</v>
      </c>
      <c r="H93">
        <f>IF(VLOOKUP(B93,Trades!A:M,4,FALSE)="Long",(F93-VLOOKUP(B93,Trades!A:M,6,FALSE))*G93,(VLOOKUP(B93,Trades!A:M,6,FALSE)-F93)*G93)</f>
        <v>-10.899999999999864</v>
      </c>
      <c r="I93">
        <f>H93/VLOOKUP(B93,Trades!A$1:$M$100361,9,FALSE)</f>
        <v>-0.908333333333322</v>
      </c>
    </row>
    <row r="94" spans="1:9" x14ac:dyDescent="0.25">
      <c r="A94">
        <f t="shared" si="3"/>
        <v>93</v>
      </c>
      <c r="B94" t="s">
        <v>248</v>
      </c>
      <c r="C94" s="1">
        <v>46141</v>
      </c>
      <c r="D94" t="str">
        <f>VLOOKUP(B94,Trades!A$1:M100453,3,FALSE)</f>
        <v>STX</v>
      </c>
      <c r="E94" t="s">
        <v>61</v>
      </c>
      <c r="F94">
        <v>652.32000000000005</v>
      </c>
      <c r="G94">
        <v>2</v>
      </c>
      <c r="H94">
        <f>IF(VLOOKUP(B94,Trades!A:M,4,FALSE)="Long",(F94-VLOOKUP(B94,Trades!A:M,6,FALSE))*G94,(VLOOKUP(B94,Trades!A:M,6,FALSE)-F94)*G94)</f>
        <v>-6.1999999999998181</v>
      </c>
      <c r="I94">
        <f>H94/VLOOKUP(B94,Trades!A$1:$M$100361,9,FALSE)</f>
        <v>-1.033333333333303</v>
      </c>
    </row>
    <row r="95" spans="1:9" x14ac:dyDescent="0.25">
      <c r="A95">
        <f t="shared" si="3"/>
        <v>94</v>
      </c>
      <c r="B95" t="s">
        <v>249</v>
      </c>
      <c r="C95" s="1">
        <v>46141</v>
      </c>
      <c r="D95" t="str">
        <f>VLOOKUP(B95,Trades!A$1:M100454,3,FALSE)</f>
        <v>STX</v>
      </c>
      <c r="E95" t="s">
        <v>61</v>
      </c>
      <c r="F95">
        <v>634.12</v>
      </c>
      <c r="G95">
        <v>1</v>
      </c>
      <c r="H95">
        <f>IF(VLOOKUP(B95,Trades!A:M,4,FALSE)="Long",(F95-VLOOKUP(B95,Trades!A:M,6,FALSE))*G95,(VLOOKUP(B95,Trades!A:M,6,FALSE)-F95)*G95)</f>
        <v>-4.8099999999999454</v>
      </c>
      <c r="I95">
        <f>H95/VLOOKUP(B95,Trades!A$1:$M$100361,9,FALSE)</f>
        <v>-0.86200716845878278</v>
      </c>
    </row>
    <row r="96" spans="1:9" x14ac:dyDescent="0.25">
      <c r="A96">
        <f t="shared" ref="A96:A104" si="4">ROW()-1</f>
        <v>95</v>
      </c>
      <c r="B96" t="s">
        <v>250</v>
      </c>
      <c r="C96" s="1">
        <v>46142</v>
      </c>
      <c r="D96" t="str">
        <f>VLOOKUP(B96,Trades!A$1:M100455,3,FALSE)</f>
        <v>MSFT</v>
      </c>
      <c r="E96" t="s">
        <v>61</v>
      </c>
      <c r="F96">
        <v>410.39</v>
      </c>
      <c r="G96">
        <v>1</v>
      </c>
      <c r="H96">
        <f>IF(VLOOKUP(B96,Trades!A:M,4,FALSE)="Long",(F96-VLOOKUP(B96,Trades!A:M,6,FALSE))*G96,(VLOOKUP(B96,Trades!A:M,6,FALSE)-F96)*G96)</f>
        <v>-14.54000000000002</v>
      </c>
      <c r="I96">
        <f>H96/VLOOKUP(B96,Trades!A$1:$M$100361,9,FALSE)</f>
        <v>-1.0818452380952397</v>
      </c>
    </row>
    <row r="97" spans="1:9" x14ac:dyDescent="0.25">
      <c r="A97">
        <f t="shared" si="4"/>
        <v>96</v>
      </c>
      <c r="B97" t="s">
        <v>251</v>
      </c>
      <c r="C97" s="1">
        <v>46142</v>
      </c>
      <c r="D97" t="str">
        <f>VLOOKUP(B97,Trades!A$1:M100456,3,FALSE)</f>
        <v>V</v>
      </c>
      <c r="E97" t="s">
        <v>61</v>
      </c>
      <c r="F97">
        <v>331.48</v>
      </c>
      <c r="G97">
        <v>2</v>
      </c>
      <c r="H97">
        <f>IF(VLOOKUP(B97,Trades!A:M,4,FALSE)="Long",(F97-VLOOKUP(B97,Trades!A:M,6,FALSE))*G97,(VLOOKUP(B97,Trades!A:M,6,FALSE)-F97)*G97)</f>
        <v>-7.67999999999995</v>
      </c>
      <c r="I97">
        <f>H97/VLOOKUP(B97,Trades!A$1:$M$100361,9,FALSE)</f>
        <v>-1.2799999999999916</v>
      </c>
    </row>
    <row r="98" spans="1:9" x14ac:dyDescent="0.25">
      <c r="A98">
        <f t="shared" si="4"/>
        <v>97</v>
      </c>
      <c r="B98" t="s">
        <v>252</v>
      </c>
      <c r="C98" s="1">
        <v>46142</v>
      </c>
      <c r="D98" t="str">
        <f>VLOOKUP(B98,Trades!A$1:M100457,3,FALSE)</f>
        <v>AMZN</v>
      </c>
      <c r="E98" t="s">
        <v>61</v>
      </c>
      <c r="F98">
        <v>256.27999999999997</v>
      </c>
      <c r="G98">
        <v>8</v>
      </c>
      <c r="H98">
        <f>IF(VLOOKUP(B98,Trades!A:M,4,FALSE)="Long",(F98-VLOOKUP(B98,Trades!A:M,6,FALSE))*G98,(VLOOKUP(B98,Trades!A:M,6,FALSE)-F98)*G98)</f>
        <v>-80.5600000000004</v>
      </c>
      <c r="I98">
        <f>H98/VLOOKUP(B98,Trades!A$1:$M$100361,9,FALSE)</f>
        <v>-1</v>
      </c>
    </row>
    <row r="99" spans="1:9" x14ac:dyDescent="0.25">
      <c r="A99">
        <f t="shared" si="4"/>
        <v>98</v>
      </c>
      <c r="B99" t="s">
        <v>253</v>
      </c>
      <c r="C99" s="1">
        <v>46142</v>
      </c>
      <c r="D99" t="str">
        <f>VLOOKUP(B99,Trades!A$1:M100458,3,FALSE)</f>
        <v>GOOG</v>
      </c>
      <c r="E99" t="s">
        <v>61</v>
      </c>
      <c r="F99">
        <v>380.04</v>
      </c>
      <c r="G99">
        <v>3</v>
      </c>
      <c r="H99">
        <f>IF(VLOOKUP(B99,Trades!A:M,4,FALSE)="Long",(F99-VLOOKUP(B99,Trades!A:M,6,FALSE))*G99,(VLOOKUP(B99,Trades!A:M,6,FALSE)-F99)*G99)</f>
        <v>27.180000000000007</v>
      </c>
      <c r="I99">
        <f>H99/VLOOKUP(B99,Trades!A$1:$M$100361,9,FALSE)</f>
        <v>1.0760095011876467</v>
      </c>
    </row>
    <row r="100" spans="1:9" x14ac:dyDescent="0.25">
      <c r="A100">
        <f t="shared" si="4"/>
        <v>99</v>
      </c>
      <c r="B100" t="s">
        <v>257</v>
      </c>
      <c r="C100" s="1">
        <v>46143</v>
      </c>
      <c r="D100" t="str">
        <f>VLOOKUP(B100,Trades!A$1:M100459,3,FALSE)</f>
        <v>ROKU</v>
      </c>
      <c r="E100" t="s">
        <v>61</v>
      </c>
      <c r="F100">
        <v>125.33</v>
      </c>
      <c r="G100">
        <v>4</v>
      </c>
      <c r="H100">
        <f>IF(VLOOKUP(B100,Trades!A:M,4,FALSE)="Long",(F100-VLOOKUP(B100,Trades!A:M,6,FALSE))*G100,(VLOOKUP(B100,Trades!A:M,6,FALSE)-F100)*G100)</f>
        <v>-5.8799999999999955</v>
      </c>
      <c r="I100">
        <f>H100/VLOOKUP(B100,Trades!A$1:$M$100361,9,FALSE)</f>
        <v>-1.4699999999999989</v>
      </c>
    </row>
    <row r="101" spans="1:9" x14ac:dyDescent="0.25">
      <c r="A101">
        <f t="shared" si="4"/>
        <v>100</v>
      </c>
      <c r="B101" t="s">
        <v>258</v>
      </c>
      <c r="C101" s="1">
        <v>46143</v>
      </c>
      <c r="D101" t="str">
        <f>VLOOKUP(B101,Trades!A$1:M100460,3,FALSE)</f>
        <v>EL</v>
      </c>
      <c r="E101" t="s">
        <v>61</v>
      </c>
      <c r="F101">
        <v>82.94</v>
      </c>
      <c r="G101">
        <v>10</v>
      </c>
      <c r="H101">
        <f>IF(VLOOKUP(B101,Trades!A:M,4,FALSE)="Long",(F101-VLOOKUP(B101,Trades!A:M,6,FALSE))*G101,(VLOOKUP(B101,Trades!A:M,6,FALSE)-F101)*G101)</f>
        <v>-10.600000000000023</v>
      </c>
      <c r="I101">
        <f>H101/VLOOKUP(B101,Trades!A$1:$M$100361,9,FALSE)</f>
        <v>-10.095238095238145</v>
      </c>
    </row>
    <row r="102" spans="1:9" x14ac:dyDescent="0.25">
      <c r="A102">
        <f t="shared" si="4"/>
        <v>101</v>
      </c>
      <c r="B102" t="s">
        <v>259</v>
      </c>
      <c r="C102" s="1">
        <v>46143</v>
      </c>
      <c r="D102" t="str">
        <f>VLOOKUP(B102,Trades!A$1:M100461,3,FALSE)</f>
        <v>AAPL</v>
      </c>
      <c r="E102" t="s">
        <v>61</v>
      </c>
      <c r="F102">
        <v>284.10000000000002</v>
      </c>
      <c r="G102">
        <v>4</v>
      </c>
      <c r="H102">
        <f>IF(VLOOKUP(B102,Trades!A:M,4,FALSE)="Long",(F102-VLOOKUP(B102,Trades!A:M,6,FALSE))*G102,(VLOOKUP(B102,Trades!A:M,6,FALSE)-F102)*G102)</f>
        <v>20.400000000000091</v>
      </c>
      <c r="I102">
        <f>H102/VLOOKUP(B102,Trades!A$1:$M$100361,9,FALSE)</f>
        <v>3.9843750000001026</v>
      </c>
    </row>
    <row r="103" spans="1:9" x14ac:dyDescent="0.25">
      <c r="A103">
        <f t="shared" si="4"/>
        <v>102</v>
      </c>
      <c r="B103" t="s">
        <v>260</v>
      </c>
      <c r="C103" s="1">
        <v>46143</v>
      </c>
      <c r="D103" t="str">
        <f>VLOOKUP(B103,Trades!A$1:M100462,3,FALSE)</f>
        <v>GOOG</v>
      </c>
      <c r="E103" t="s">
        <v>61</v>
      </c>
      <c r="F103">
        <v>382.5</v>
      </c>
      <c r="G103">
        <v>2</v>
      </c>
      <c r="H103">
        <f>IF(VLOOKUP(B103,Trades!A:M,4,FALSE)="Long",(F103-VLOOKUP(B103,Trades!A:M,6,FALSE))*G103,(VLOOKUP(B103,Trades!A:M,6,FALSE)-F103)*G103)</f>
        <v>10.720000000000027</v>
      </c>
      <c r="I103">
        <f>H103/VLOOKUP(B103,Trades!A$1:$M$100361,9,FALSE)</f>
        <v>1.0307692307692469</v>
      </c>
    </row>
    <row r="104" spans="1:9" x14ac:dyDescent="0.25">
      <c r="A104">
        <f t="shared" si="4"/>
        <v>103</v>
      </c>
      <c r="B104" t="s">
        <v>260</v>
      </c>
      <c r="C104" s="1">
        <v>46143</v>
      </c>
      <c r="D104" t="str">
        <f>VLOOKUP(B104,Trades!A$1:M100463,3,FALSE)</f>
        <v>GOOG</v>
      </c>
      <c r="E104" t="s">
        <v>61</v>
      </c>
      <c r="F104">
        <v>379.03</v>
      </c>
      <c r="G104">
        <v>2</v>
      </c>
      <c r="H104">
        <f>IF(VLOOKUP(B104,Trades!A:M,4,FALSE)="Long",(F104-VLOOKUP(B104,Trades!A:M,6,FALSE))*G104,(VLOOKUP(B104,Trades!A:M,6,FALSE)-F104)*G104)</f>
        <v>3.7799999999999727</v>
      </c>
      <c r="I104">
        <f>H104/VLOOKUP(B104,Trades!A$1:$M$100361,9,FALSE)</f>
        <v>0.36346153846154061</v>
      </c>
    </row>
    <row r="105" spans="1:9" x14ac:dyDescent="0.25">
      <c r="A105">
        <f t="shared" ref="A105:A111" si="5">ROW()-1</f>
        <v>104</v>
      </c>
      <c r="B105" t="s">
        <v>221</v>
      </c>
      <c r="C105" s="1">
        <v>46146</v>
      </c>
      <c r="D105" t="str">
        <f>VLOOKUP(B105,Trades!A$1:M100464,3,FALSE)</f>
        <v>MNST</v>
      </c>
      <c r="E105" t="s">
        <v>61</v>
      </c>
      <c r="F105">
        <v>75.09</v>
      </c>
      <c r="G105">
        <v>4</v>
      </c>
      <c r="H105">
        <f>IF(VLOOKUP(B105,Trades!A:M,4,FALSE)="Long",(F105-VLOOKUP(B105,Trades!A:M,6,FALSE))*G105,(VLOOKUP(B105,Trades!A:M,6,FALSE)-F105)*G105)</f>
        <v>11.639999999999986</v>
      </c>
      <c r="I105">
        <f>H105/VLOOKUP(B105,Trades!A$1:$M$100361,9,FALSE)</f>
        <v>1.3758865248226828</v>
      </c>
    </row>
    <row r="106" spans="1:9" x14ac:dyDescent="0.25">
      <c r="A106">
        <f t="shared" si="5"/>
        <v>105</v>
      </c>
      <c r="B106" t="s">
        <v>263</v>
      </c>
      <c r="C106" s="1">
        <v>46146</v>
      </c>
      <c r="D106" t="str">
        <f>VLOOKUP(B106,Trades!A$1:M100465,3,FALSE)</f>
        <v>MSFT</v>
      </c>
      <c r="E106" t="s">
        <v>61</v>
      </c>
      <c r="F106">
        <v>416.92</v>
      </c>
      <c r="G106">
        <v>2</v>
      </c>
      <c r="H106">
        <f>IF(VLOOKUP(B106,Trades!A:M,4,FALSE)="Long",(F106-VLOOKUP(B106,Trades!A:M,6,FALSE))*G106,(VLOOKUP(B106,Trades!A:M,6,FALSE)-F106)*G106)</f>
        <v>10.960000000000036</v>
      </c>
      <c r="I106">
        <f>H106/VLOOKUP(B106,Trades!A$1:$M$100361,9,FALSE)</f>
        <v>2.2928870292887238</v>
      </c>
    </row>
    <row r="107" spans="1:9" x14ac:dyDescent="0.25">
      <c r="A107">
        <f t="shared" si="5"/>
        <v>106</v>
      </c>
      <c r="B107" t="s">
        <v>265</v>
      </c>
      <c r="C107" s="1">
        <v>46146</v>
      </c>
      <c r="D107" t="str">
        <f>VLOOKUP(B107,Trades!A$1:M100466,3,FALSE)</f>
        <v>EBAY</v>
      </c>
      <c r="E107" t="s">
        <v>61</v>
      </c>
      <c r="F107">
        <v>111.2</v>
      </c>
      <c r="G107">
        <v>4</v>
      </c>
      <c r="H107">
        <f>IF(VLOOKUP(B107,Trades!A:M,4,FALSE)="Long",(F107-VLOOKUP(B107,Trades!A:M,6,FALSE))*G107,(VLOOKUP(B107,Trades!A:M,6,FALSE)-F107)*G107)</f>
        <v>10.360000000000014</v>
      </c>
      <c r="I107">
        <f>H107/VLOOKUP(B107,Trades!A$1:$M$100361,9,FALSE)</f>
        <v>2.5900000000000034</v>
      </c>
    </row>
    <row r="108" spans="1:9" x14ac:dyDescent="0.25">
      <c r="A108">
        <f t="shared" si="5"/>
        <v>107</v>
      </c>
      <c r="B108" t="s">
        <v>266</v>
      </c>
      <c r="C108" s="1">
        <v>46146</v>
      </c>
      <c r="D108" t="str">
        <f>VLOOKUP(B108,Trades!A$1:M100467,3,FALSE)</f>
        <v>NVDA</v>
      </c>
      <c r="E108" t="s">
        <v>61</v>
      </c>
      <c r="F108">
        <v>195.48</v>
      </c>
      <c r="G108">
        <v>3</v>
      </c>
      <c r="H108">
        <f>IF(VLOOKUP(B108,Trades!A:M,4,FALSE)="Long",(F108-VLOOKUP(B108,Trades!A:M,6,FALSE))*G108,(VLOOKUP(B108,Trades!A:M,6,FALSE)-F108)*G108)</f>
        <v>-11.100000000000051</v>
      </c>
      <c r="I108">
        <f>H108/VLOOKUP(B108,Trades!A$1:$M$100361,9,FALSE)</f>
        <v>-1.0027100271002762</v>
      </c>
    </row>
    <row r="109" spans="1:9" x14ac:dyDescent="0.25">
      <c r="A109">
        <f t="shared" si="5"/>
        <v>108</v>
      </c>
      <c r="B109" t="s">
        <v>267</v>
      </c>
      <c r="C109" s="1">
        <v>46146</v>
      </c>
      <c r="D109" t="str">
        <f>VLOOKUP(B109,Trades!A$1:M100468,3,FALSE)</f>
        <v>SCHD</v>
      </c>
      <c r="E109" t="s">
        <v>61</v>
      </c>
      <c r="F109">
        <v>31.63</v>
      </c>
      <c r="G109">
        <v>10</v>
      </c>
      <c r="H109">
        <f>IF(VLOOKUP(B109,Trades!A:M,4,FALSE)="Long",(F109-VLOOKUP(B109,Trades!A:M,6,FALSE))*G109,(VLOOKUP(B109,Trades!A:M,6,FALSE)-F109)*G109)</f>
        <v>8.0999999999999872</v>
      </c>
      <c r="I109">
        <f>H109/VLOOKUP(B109,Trades!A$1:$M$100361,9,FALSE)</f>
        <v>0.42187499999999895</v>
      </c>
    </row>
    <row r="110" spans="1:9" x14ac:dyDescent="0.25">
      <c r="A110">
        <f t="shared" si="5"/>
        <v>109</v>
      </c>
      <c r="B110" t="s">
        <v>268</v>
      </c>
      <c r="C110" s="1">
        <v>46146</v>
      </c>
      <c r="D110" t="str">
        <f>VLOOKUP(B110,Trades!A$1:M100469,3,FALSE)</f>
        <v>KO</v>
      </c>
      <c r="E110" t="s">
        <v>61</v>
      </c>
      <c r="F110">
        <v>78.48</v>
      </c>
      <c r="G110">
        <v>4</v>
      </c>
      <c r="H110">
        <f>IF(VLOOKUP(B110,Trades!A:M,4,FALSE)="Long",(F110-VLOOKUP(B110,Trades!A:M,6,FALSE))*G110,(VLOOKUP(B110,Trades!A:M,6,FALSE)-F110)*G110)</f>
        <v>10.120000000000005</v>
      </c>
      <c r="I110">
        <f>H110/VLOOKUP(B110,Trades!A$1:$M$100361,9,FALSE)</f>
        <v>1.7328767123287585</v>
      </c>
    </row>
    <row r="111" spans="1:9" x14ac:dyDescent="0.25">
      <c r="A111">
        <f t="shared" si="5"/>
        <v>110</v>
      </c>
      <c r="B111" t="s">
        <v>270</v>
      </c>
      <c r="C111" s="1">
        <v>46146</v>
      </c>
      <c r="D111" t="str">
        <f>VLOOKUP(B111,Trades!A$1:M100470,3,FALSE)</f>
        <v>PLTR</v>
      </c>
      <c r="E111" t="s">
        <v>61</v>
      </c>
      <c r="F111">
        <v>146.76</v>
      </c>
      <c r="G111">
        <v>4</v>
      </c>
      <c r="H111">
        <f>IF(VLOOKUP(B111,Trades!A:M,4,FALSE)="Long",(F111-VLOOKUP(B111,Trades!A:M,6,FALSE))*G111,(VLOOKUP(B111,Trades!A:M,6,FALSE)-F111)*G111)</f>
        <v>4.7199999999999136</v>
      </c>
      <c r="I111">
        <f>H111/VLOOKUP(B111,Trades!A$1:$M$100361,9,FALSE)</f>
        <v>1.216494845360804</v>
      </c>
    </row>
    <row r="112" spans="1:9" x14ac:dyDescent="0.25">
      <c r="A112">
        <f t="shared" ref="A112:A120" si="6">ROW()-1</f>
        <v>111</v>
      </c>
      <c r="B112" t="s">
        <v>272</v>
      </c>
      <c r="C112" s="1">
        <v>46147</v>
      </c>
      <c r="D112" t="str">
        <f>VLOOKUP(B112,Trades!A$1:M100471,3,FALSE)</f>
        <v>AMAT</v>
      </c>
      <c r="E112" t="s">
        <v>61</v>
      </c>
      <c r="F112">
        <v>401.8</v>
      </c>
      <c r="G112">
        <v>3</v>
      </c>
      <c r="H112">
        <f>IF(VLOOKUP(B112,Trades!A:M,4,FALSE)="Long",(F112-VLOOKUP(B112,Trades!A:M,6,FALSE))*G112,(VLOOKUP(B112,Trades!A:M,6,FALSE)-F112)*G112)</f>
        <v>-5.25</v>
      </c>
      <c r="I112">
        <f>H112/VLOOKUP(B112,Trades!A$1:$M$100361,9,FALSE)</f>
        <v>-1.0479041916167564</v>
      </c>
    </row>
    <row r="113" spans="1:9" x14ac:dyDescent="0.25">
      <c r="A113">
        <f t="shared" si="6"/>
        <v>112</v>
      </c>
      <c r="B113" t="s">
        <v>273</v>
      </c>
      <c r="C113" s="1">
        <v>46147</v>
      </c>
      <c r="D113" t="str">
        <f>VLOOKUP(B113,Trades!A$1:M100472,3,FALSE)</f>
        <v>MSFT</v>
      </c>
      <c r="E113" t="s">
        <v>61</v>
      </c>
      <c r="F113">
        <v>411.69</v>
      </c>
      <c r="G113">
        <v>3</v>
      </c>
      <c r="H113">
        <f>IF(VLOOKUP(B113,Trades!A:M,4,FALSE)="Long",(F113-VLOOKUP(B113,Trades!A:M,6,FALSE))*G113,(VLOOKUP(B113,Trades!A:M,6,FALSE)-F113)*G113)</f>
        <v>-10.470000000000027</v>
      </c>
      <c r="I113">
        <f>H113/VLOOKUP(B113,Trades!A$1:$M$100361,9,FALSE)</f>
        <v>-1.017492711370263</v>
      </c>
    </row>
    <row r="114" spans="1:9" x14ac:dyDescent="0.25">
      <c r="A114">
        <f t="shared" si="6"/>
        <v>113</v>
      </c>
      <c r="B114" t="s">
        <v>274</v>
      </c>
      <c r="C114" s="1">
        <v>46147</v>
      </c>
      <c r="D114" t="str">
        <f>VLOOKUP(B114,Trades!A$1:M100473,3,FALSE)</f>
        <v>PLTR</v>
      </c>
      <c r="E114" t="s">
        <v>61</v>
      </c>
      <c r="F114">
        <v>138.08000000000001</v>
      </c>
      <c r="G114">
        <v>6</v>
      </c>
      <c r="H114">
        <f>IF(VLOOKUP(B114,Trades!A:M,4,FALSE)="Long",(F114-VLOOKUP(B114,Trades!A:M,6,FALSE))*G114,(VLOOKUP(B114,Trades!A:M,6,FALSE)-F114)*G114)</f>
        <v>-6.1800000000000068</v>
      </c>
      <c r="I114">
        <f>H114/VLOOKUP(B114,Trades!A$1:$M$100361,9,FALSE)</f>
        <v>-1.0300000000000011</v>
      </c>
    </row>
    <row r="115" spans="1:9" x14ac:dyDescent="0.25">
      <c r="A115">
        <f t="shared" si="6"/>
        <v>114</v>
      </c>
      <c r="B115" t="s">
        <v>275</v>
      </c>
      <c r="C115" s="1">
        <v>46147</v>
      </c>
      <c r="D115" t="str">
        <f>VLOOKUP(B115,Trades!A$1:M100474,3,FALSE)</f>
        <v>RCAT</v>
      </c>
      <c r="E115" t="s">
        <v>61</v>
      </c>
      <c r="F115">
        <v>10.51</v>
      </c>
      <c r="G115">
        <v>10</v>
      </c>
      <c r="H115">
        <f>IF(VLOOKUP(B115,Trades!A:M,4,FALSE)="Long",(F115-VLOOKUP(B115,Trades!A:M,6,FALSE))*G115,(VLOOKUP(B115,Trades!A:M,6,FALSE)-F115)*G115)</f>
        <v>-11.099999999999994</v>
      </c>
      <c r="I115">
        <f>H115/VLOOKUP(B115,Trades!A$1:$M$100361,9,FALSE)</f>
        <v>-1</v>
      </c>
    </row>
    <row r="116" spans="1:9" x14ac:dyDescent="0.25">
      <c r="A116">
        <f t="shared" si="6"/>
        <v>115</v>
      </c>
      <c r="B116" t="s">
        <v>276</v>
      </c>
      <c r="C116" s="1">
        <v>46147</v>
      </c>
      <c r="D116" t="str">
        <f>VLOOKUP(B116,Trades!A$1:M100475,3,FALSE)</f>
        <v>PLTR</v>
      </c>
      <c r="E116" t="s">
        <v>61</v>
      </c>
      <c r="F116">
        <v>137.31</v>
      </c>
      <c r="G116">
        <v>4</v>
      </c>
      <c r="H116">
        <f>IF(VLOOKUP(B116,Trades!A:M,4,FALSE)="Long",(F116-VLOOKUP(B116,Trades!A:M,6,FALSE))*G116,(VLOOKUP(B116,Trades!A:M,6,FALSE)-F116)*G116)</f>
        <v>-4.1599999999999682</v>
      </c>
      <c r="I116">
        <f>H116/VLOOKUP(B116,Trades!A$1:$M$100361,9,FALSE)</f>
        <v>-1.0947368421052679</v>
      </c>
    </row>
    <row r="117" spans="1:9" x14ac:dyDescent="0.25">
      <c r="A117">
        <f t="shared" si="6"/>
        <v>116</v>
      </c>
      <c r="B117" t="s">
        <v>267</v>
      </c>
      <c r="C117" s="1">
        <v>46147</v>
      </c>
      <c r="D117" t="str">
        <f>VLOOKUP(B117,Trades!A$1:M100476,3,FALSE)</f>
        <v>SCHD</v>
      </c>
      <c r="E117" t="s">
        <v>61</v>
      </c>
      <c r="F117">
        <v>31.5</v>
      </c>
      <c r="G117">
        <v>30</v>
      </c>
      <c r="H117">
        <f>IF(VLOOKUP(B117,Trades!A:M,4,FALSE)="Long",(F117-VLOOKUP(B117,Trades!A:M,6,FALSE))*G117,(VLOOKUP(B117,Trades!A:M,6,FALSE)-F117)*G117)</f>
        <v>20.399999999999991</v>
      </c>
      <c r="I117">
        <f>H117/VLOOKUP(B117,Trades!A$1:$M$100361,9,FALSE)</f>
        <v>1.0624999999999987</v>
      </c>
    </row>
    <row r="118" spans="1:9" x14ac:dyDescent="0.25">
      <c r="A118">
        <f t="shared" si="6"/>
        <v>117</v>
      </c>
      <c r="B118" t="s">
        <v>222</v>
      </c>
      <c r="C118" s="1">
        <v>46147</v>
      </c>
      <c r="D118" t="str">
        <f>VLOOKUP(B118,Trades!A$1:M100477,3,FALSE)</f>
        <v>INTC</v>
      </c>
      <c r="E118" t="s">
        <v>61</v>
      </c>
      <c r="F118">
        <v>108.87</v>
      </c>
      <c r="G118">
        <v>1</v>
      </c>
      <c r="H118">
        <f>IF(VLOOKUP(B118,Trades!A:M,4,FALSE)="Long",(F118-VLOOKUP(B118,Trades!A:M,6,FALSE))*G118,(VLOOKUP(B118,Trades!A:M,6,FALSE)-F118)*G118)</f>
        <v>41.86</v>
      </c>
      <c r="I118">
        <f>H118/VLOOKUP(B118,Trades!A$1:$M$100361,9,FALSE)</f>
        <v>3.4283374283374219</v>
      </c>
    </row>
    <row r="119" spans="1:9" x14ac:dyDescent="0.25">
      <c r="A119">
        <f t="shared" si="6"/>
        <v>118</v>
      </c>
      <c r="B119" t="s">
        <v>277</v>
      </c>
      <c r="C119" s="1">
        <v>46147</v>
      </c>
      <c r="D119" t="str">
        <f>VLOOKUP(B119,Trades!A$1:M100478,3,FALSE)</f>
        <v>AMZN</v>
      </c>
      <c r="E119" t="s">
        <v>61</v>
      </c>
      <c r="F119">
        <v>276.17</v>
      </c>
      <c r="G119">
        <v>2</v>
      </c>
      <c r="H119">
        <f>IF(VLOOKUP(B119,Trades!A:M,4,FALSE)="Long",(F119-VLOOKUP(B119,Trades!A:M,6,FALSE))*G119,(VLOOKUP(B119,Trades!A:M,6,FALSE)-F119)*G119)</f>
        <v>33.399999999999977</v>
      </c>
      <c r="I119">
        <f>H119/VLOOKUP(B119,Trades!A$1:$M$100361,9,FALSE)</f>
        <v>2.1465295629819954</v>
      </c>
    </row>
    <row r="120" spans="1:9" x14ac:dyDescent="0.25">
      <c r="A120">
        <f t="shared" si="6"/>
        <v>119</v>
      </c>
      <c r="B120" t="s">
        <v>278</v>
      </c>
      <c r="C120" s="1">
        <v>46147</v>
      </c>
      <c r="D120" t="str">
        <f>VLOOKUP(B120,Trades!A$1:M100479,3,FALSE)</f>
        <v>MSFT</v>
      </c>
      <c r="E120" t="s">
        <v>61</v>
      </c>
      <c r="F120">
        <v>409.04</v>
      </c>
      <c r="G120">
        <v>3</v>
      </c>
      <c r="H120">
        <f>IF(VLOOKUP(B120,Trades!A:M,4,FALSE)="Long",(F120-VLOOKUP(B120,Trades!A:M,6,FALSE))*G120,(VLOOKUP(B120,Trades!A:M,6,FALSE)-F120)*G120)</f>
        <v>-3.2099999999999795</v>
      </c>
      <c r="I120">
        <f>H120/VLOOKUP(B120,Trades!A$1:$M$100361,9,FALSE)</f>
        <v>-1.0699999999999932</v>
      </c>
    </row>
    <row r="121" spans="1:9" x14ac:dyDescent="0.25">
      <c r="A121">
        <f t="shared" ref="A121:A127" si="7">ROW()-1</f>
        <v>120</v>
      </c>
      <c r="B121" t="s">
        <v>280</v>
      </c>
      <c r="C121" s="1">
        <v>46148</v>
      </c>
      <c r="D121" t="str">
        <f>VLOOKUP(B121,Trades!A$1:M100480,3,FALSE)</f>
        <v>MU</v>
      </c>
      <c r="E121" t="s">
        <v>61</v>
      </c>
      <c r="F121">
        <v>657.11</v>
      </c>
      <c r="G121">
        <v>2</v>
      </c>
      <c r="H121">
        <f>IF(VLOOKUP(B121,Trades!A:M,4,FALSE)="Long",(F121-VLOOKUP(B121,Trades!A:M,6,FALSE))*G121,(VLOOKUP(B121,Trades!A:M,6,FALSE)-F121)*G121)</f>
        <v>-7.0199999999999818</v>
      </c>
      <c r="I121">
        <f>H121/VLOOKUP(B121,Trades!A$1:$M$100361,9,FALSE)</f>
        <v>-1</v>
      </c>
    </row>
    <row r="122" spans="1:9" x14ac:dyDescent="0.25">
      <c r="A122">
        <f t="shared" si="7"/>
        <v>121</v>
      </c>
      <c r="B122" t="s">
        <v>281</v>
      </c>
      <c r="C122" s="1">
        <v>46148</v>
      </c>
      <c r="D122" t="str">
        <f>VLOOKUP(B122,Trades!A$1:M100481,3,FALSE)</f>
        <v>ARM</v>
      </c>
      <c r="E122" t="s">
        <v>61</v>
      </c>
      <c r="F122">
        <v>227.5</v>
      </c>
      <c r="G122">
        <v>4</v>
      </c>
      <c r="H122">
        <f>IF(VLOOKUP(B122,Trades!A:M,4,FALSE)="Long",(F122-VLOOKUP(B122,Trades!A:M,6,FALSE))*G122,(VLOOKUP(B122,Trades!A:M,6,FALSE)-F122)*G122)</f>
        <v>-8</v>
      </c>
      <c r="I122">
        <f>H122/VLOOKUP(B122,Trades!A$1:$M$100361,9,FALSE)</f>
        <v>-1</v>
      </c>
    </row>
    <row r="123" spans="1:9" x14ac:dyDescent="0.25">
      <c r="A123">
        <f t="shared" si="7"/>
        <v>122</v>
      </c>
      <c r="B123" t="s">
        <v>282</v>
      </c>
      <c r="C123" s="1">
        <v>46148</v>
      </c>
      <c r="D123" t="str">
        <f>VLOOKUP(B123,Trades!A$1:M100482,3,FALSE)</f>
        <v>AMD</v>
      </c>
      <c r="E123" t="s">
        <v>61</v>
      </c>
      <c r="F123">
        <v>422.69</v>
      </c>
      <c r="G123">
        <v>2</v>
      </c>
      <c r="H123">
        <f>IF(VLOOKUP(B123,Trades!A:M,4,FALSE)="Long",(F123-VLOOKUP(B123,Trades!A:M,6,FALSE))*G123,(VLOOKUP(B123,Trades!A:M,6,FALSE)-F123)*G123)</f>
        <v>33.980000000000018</v>
      </c>
      <c r="I123">
        <f>H123/VLOOKUP(B123,Trades!A$1:$M$100361,9,FALSE)</f>
        <v>9.0372340425532176</v>
      </c>
    </row>
    <row r="124" spans="1:9" x14ac:dyDescent="0.25">
      <c r="A124">
        <f t="shared" si="7"/>
        <v>123</v>
      </c>
      <c r="B124" t="s">
        <v>283</v>
      </c>
      <c r="C124" s="1">
        <v>46148</v>
      </c>
      <c r="D124" t="str">
        <f>VLOOKUP(B124,Trades!A$1:M100483,3,FALSE)</f>
        <v>GOOG</v>
      </c>
      <c r="E124" t="s">
        <v>61</v>
      </c>
      <c r="F124">
        <v>387.32</v>
      </c>
      <c r="G124">
        <v>2</v>
      </c>
      <c r="H124">
        <f>IF(VLOOKUP(B124,Trades!A:M,4,FALSE)="Long",(F124-VLOOKUP(B124,Trades!A:M,6,FALSE))*G124,(VLOOKUP(B124,Trades!A:M,6,FALSE)-F124)*G124)</f>
        <v>-3.9600000000000364</v>
      </c>
      <c r="I124">
        <f>H124/VLOOKUP(B124,Trades!A$1:$M$100361,9,FALSE)</f>
        <v>-0.99000000000000909</v>
      </c>
    </row>
    <row r="125" spans="1:9" x14ac:dyDescent="0.25">
      <c r="A125">
        <f t="shared" si="7"/>
        <v>124</v>
      </c>
      <c r="B125" t="s">
        <v>284</v>
      </c>
      <c r="C125" s="1">
        <v>46148</v>
      </c>
      <c r="D125" t="str">
        <f>VLOOKUP(B125,Trades!A$1:M100484,3,FALSE)</f>
        <v>MU</v>
      </c>
      <c r="E125" t="s">
        <v>61</v>
      </c>
      <c r="F125">
        <v>656.1</v>
      </c>
      <c r="G125">
        <v>2</v>
      </c>
      <c r="H125">
        <f>IF(VLOOKUP(B125,Trades!A:M,4,FALSE)="Long",(F125-VLOOKUP(B125,Trades!A:M,6,FALSE))*G125,(VLOOKUP(B125,Trades!A:M,6,FALSE)-F125)*G125)</f>
        <v>11.319999999999936</v>
      </c>
      <c r="I125">
        <f>H125/VLOOKUP(B125,Trades!A$1:$M$100361,9,FALSE)</f>
        <v>1.8866666666666561</v>
      </c>
    </row>
    <row r="126" spans="1:9" x14ac:dyDescent="0.25">
      <c r="A126">
        <f t="shared" si="7"/>
        <v>125</v>
      </c>
      <c r="B126" t="s">
        <v>285</v>
      </c>
      <c r="C126" s="1">
        <v>46148</v>
      </c>
      <c r="D126" t="str">
        <f>VLOOKUP(B126,Trades!A$1:M100485,3,FALSE)</f>
        <v>MU</v>
      </c>
      <c r="E126" t="s">
        <v>61</v>
      </c>
      <c r="F126">
        <v>656.1</v>
      </c>
      <c r="G126">
        <v>2</v>
      </c>
      <c r="H126">
        <f>IF(VLOOKUP(B126,Trades!A:M,4,FALSE)="Long",(F126-VLOOKUP(B126,Trades!A:M,6,FALSE))*G126,(VLOOKUP(B126,Trades!A:M,6,FALSE)-F126)*G126)</f>
        <v>53.559999999999945</v>
      </c>
      <c r="I126">
        <f>H126/VLOOKUP(B126,Trades!A$1:$M$100361,9,FALSE)</f>
        <v>6.6949999999999932</v>
      </c>
    </row>
    <row r="127" spans="1:9" x14ac:dyDescent="0.25">
      <c r="A127">
        <f t="shared" si="7"/>
        <v>126</v>
      </c>
      <c r="B127" t="s">
        <v>286</v>
      </c>
      <c r="C127" s="1">
        <v>46148</v>
      </c>
      <c r="D127" t="str">
        <f>VLOOKUP(B127,Trades!A$1:M100486,3,FALSE)</f>
        <v>AMPY</v>
      </c>
      <c r="E127" t="s">
        <v>61</v>
      </c>
      <c r="F127">
        <v>5.7</v>
      </c>
      <c r="G127">
        <v>10</v>
      </c>
      <c r="H127">
        <f>IF(VLOOKUP(B127,Trades!A:M,4,FALSE)="Long",(F127-VLOOKUP(B127,Trades!A:M,6,FALSE))*G127,(VLOOKUP(B127,Trades!A:M,6,FALSE)-F127)*G127)</f>
        <v>1.5000000000000036</v>
      </c>
      <c r="I127">
        <f>H127/VLOOKUP(B127,Trades!A$1:$M$100361,9,FALSE)</f>
        <v>0.30000000000000071</v>
      </c>
    </row>
    <row r="128" spans="1:9" x14ac:dyDescent="0.25">
      <c r="A128">
        <f t="shared" ref="A128:A138" si="8">ROW()-1</f>
        <v>127</v>
      </c>
      <c r="B128" t="s">
        <v>288</v>
      </c>
      <c r="C128" s="1">
        <v>46149</v>
      </c>
      <c r="D128" t="str">
        <f>VLOOKUP(B128,Trades!A$1:M100487,3,FALSE)</f>
        <v>NRDS</v>
      </c>
      <c r="E128" t="s">
        <v>61</v>
      </c>
      <c r="F128">
        <v>9.3699999999999992</v>
      </c>
      <c r="G128">
        <v>20</v>
      </c>
      <c r="H128">
        <f>IF(VLOOKUP(B128,Trades!A:M,4,FALSE)="Long",(F128-VLOOKUP(B128,Trades!A:M,6,FALSE))*G128,(VLOOKUP(B128,Trades!A:M,6,FALSE)-F128)*G128)</f>
        <v>-25.800000000000018</v>
      </c>
      <c r="I128">
        <f>H128/VLOOKUP(B128,Trades!A$1:$M$100361,9,FALSE)</f>
        <v>-2.8043478260869534</v>
      </c>
    </row>
    <row r="129" spans="1:9" x14ac:dyDescent="0.25">
      <c r="A129">
        <f t="shared" si="8"/>
        <v>128</v>
      </c>
      <c r="B129" t="s">
        <v>289</v>
      </c>
      <c r="C129" s="1">
        <v>46149</v>
      </c>
      <c r="D129" t="str">
        <f>VLOOKUP(B129,Trades!A$1:M100488,3,FALSE)</f>
        <v>FSLY</v>
      </c>
      <c r="E129" t="s">
        <v>61</v>
      </c>
      <c r="F129">
        <v>22.29</v>
      </c>
      <c r="G129">
        <v>4</v>
      </c>
      <c r="H129">
        <f>IF(VLOOKUP(B129,Trades!A:M,4,FALSE)="Long",(F129-VLOOKUP(B129,Trades!A:M,6,FALSE))*G129,(VLOOKUP(B129,Trades!A:M,6,FALSE)-F129)*G129)</f>
        <v>-10.64</v>
      </c>
      <c r="I129">
        <f>H129/VLOOKUP(B129,Trades!A$1:$M$100361,9,FALSE)</f>
        <v>-0.92844677137870857</v>
      </c>
    </row>
    <row r="130" spans="1:9" x14ac:dyDescent="0.25">
      <c r="A130">
        <f t="shared" si="8"/>
        <v>129</v>
      </c>
      <c r="B130" t="s">
        <v>291</v>
      </c>
      <c r="C130" s="1">
        <v>46149</v>
      </c>
      <c r="D130" t="str">
        <f>VLOOKUP(B130,Trades!A$1:M100489,3,FALSE)</f>
        <v>NET</v>
      </c>
      <c r="E130" t="s">
        <v>61</v>
      </c>
      <c r="F130">
        <v>253.14</v>
      </c>
      <c r="G130">
        <v>4</v>
      </c>
      <c r="H130">
        <f>IF(VLOOKUP(B130,Trades!A:M,4,FALSE)="Long",(F130-VLOOKUP(B130,Trades!A:M,6,FALSE))*G130,(VLOOKUP(B130,Trades!A:M,6,FALSE)-F130)*G130)</f>
        <v>0.55999999999994543</v>
      </c>
      <c r="I130">
        <f>H130/VLOOKUP(B130,Trades!A$1:$M$100361,9,FALSE)</f>
        <v>0.13999999999998636</v>
      </c>
    </row>
    <row r="131" spans="1:9" x14ac:dyDescent="0.25">
      <c r="A131">
        <f t="shared" si="8"/>
        <v>130</v>
      </c>
      <c r="B131" t="s">
        <v>292</v>
      </c>
      <c r="C131" s="1">
        <v>46149</v>
      </c>
      <c r="D131" t="str">
        <f>VLOOKUP(B131,Trades!A$1:M100490,3,FALSE)</f>
        <v>NET</v>
      </c>
      <c r="E131" t="s">
        <v>61</v>
      </c>
      <c r="F131">
        <v>256.60000000000002</v>
      </c>
      <c r="G131">
        <v>4</v>
      </c>
      <c r="H131">
        <f>IF(VLOOKUP(B131,Trades!A:M,4,FALSE)="Long",(F131-VLOOKUP(B131,Trades!A:M,6,FALSE))*G131,(VLOOKUP(B131,Trades!A:M,6,FALSE)-F131)*G131)</f>
        <v>25.960000000000036</v>
      </c>
      <c r="I131">
        <f>H131/VLOOKUP(B131,Trades!A$1:$M$100361,9,FALSE)</f>
        <v>3.2450000000000045</v>
      </c>
    </row>
    <row r="132" spans="1:9" x14ac:dyDescent="0.25">
      <c r="A132">
        <f t="shared" si="8"/>
        <v>131</v>
      </c>
      <c r="B132" t="s">
        <v>293</v>
      </c>
      <c r="C132" s="1">
        <v>46149</v>
      </c>
      <c r="D132" t="str">
        <f>VLOOKUP(B132,Trades!A$1:M100491,3,FALSE)</f>
        <v>MU</v>
      </c>
      <c r="E132" t="s">
        <v>61</v>
      </c>
      <c r="F132">
        <v>657.82</v>
      </c>
      <c r="G132">
        <v>2</v>
      </c>
      <c r="H132">
        <f>IF(VLOOKUP(B132,Trades!A:M,4,FALSE)="Long",(F132-VLOOKUP(B132,Trades!A:M,6,FALSE))*G132,(VLOOKUP(B132,Trades!A:M,6,FALSE)-F132)*G132)</f>
        <v>-6.0199999999999818</v>
      </c>
      <c r="I132">
        <f>H132/VLOOKUP(B132,Trades!A$1:$M$100361,9,FALSE)</f>
        <v>-1.0033333333333303</v>
      </c>
    </row>
    <row r="133" spans="1:9" x14ac:dyDescent="0.25">
      <c r="A133">
        <f t="shared" si="8"/>
        <v>132</v>
      </c>
      <c r="B133" t="s">
        <v>295</v>
      </c>
      <c r="C133" s="1">
        <v>46149</v>
      </c>
      <c r="D133" t="str">
        <f>VLOOKUP(B133,Trades!A$1:M100492,3,FALSE)</f>
        <v>ABTC</v>
      </c>
      <c r="E133" t="s">
        <v>61</v>
      </c>
      <c r="F133">
        <v>1.1499999999999999</v>
      </c>
      <c r="G133">
        <v>30</v>
      </c>
      <c r="H133">
        <f>IF(VLOOKUP(B133,Trades!A:M,4,FALSE)="Long",(F133-VLOOKUP(B133,Trades!A:M,6,FALSE))*G133,(VLOOKUP(B133,Trades!A:M,6,FALSE)-F133)*G133)</f>
        <v>-1.5000000000000013</v>
      </c>
      <c r="I133">
        <f>H133/VLOOKUP(B133,Trades!A$1:$M$100361,9,FALSE)</f>
        <v>-0.29411764705882393</v>
      </c>
    </row>
    <row r="134" spans="1:9" x14ac:dyDescent="0.25">
      <c r="A134">
        <f t="shared" si="8"/>
        <v>133</v>
      </c>
      <c r="B134" t="s">
        <v>296</v>
      </c>
      <c r="C134" s="1">
        <v>46149</v>
      </c>
      <c r="D134" t="str">
        <f>VLOOKUP(B134,Trades!A$1:M100493,3,FALSE)</f>
        <v>RKT</v>
      </c>
      <c r="E134" t="s">
        <v>61</v>
      </c>
      <c r="F134">
        <v>14.37</v>
      </c>
      <c r="G134">
        <v>6</v>
      </c>
      <c r="H134">
        <f>IF(VLOOKUP(B134,Trades!A:M,4,FALSE)="Long",(F134-VLOOKUP(B134,Trades!A:M,6,FALSE))*G134,(VLOOKUP(B134,Trades!A:M,6,FALSE)-F134)*G134)</f>
        <v>-3.0600000000000094</v>
      </c>
      <c r="I134">
        <f>H134/VLOOKUP(B134,Trades!A$1:$M$100361,9,FALSE)</f>
        <v>-0.34459459459459557</v>
      </c>
    </row>
    <row r="135" spans="1:9" x14ac:dyDescent="0.25">
      <c r="A135">
        <f t="shared" si="8"/>
        <v>134</v>
      </c>
      <c r="B135" t="s">
        <v>297</v>
      </c>
      <c r="C135" s="1">
        <v>46149</v>
      </c>
      <c r="D135" t="str">
        <f>VLOOKUP(B135,Trades!A$1:M100494,3,FALSE)</f>
        <v>MSFT</v>
      </c>
      <c r="E135" t="s">
        <v>61</v>
      </c>
      <c r="F135">
        <v>423.97</v>
      </c>
      <c r="G135">
        <v>3</v>
      </c>
      <c r="H135">
        <f>IF(VLOOKUP(B135,Trades!A:M,4,FALSE)="Long",(F135-VLOOKUP(B135,Trades!A:M,6,FALSE))*G135,(VLOOKUP(B135,Trades!A:M,6,FALSE)-F135)*G135)</f>
        <v>14.910000000000082</v>
      </c>
      <c r="I135">
        <f>H135/VLOOKUP(B135,Trades!A$1:$M$100361,9,FALSE)</f>
        <v>2.9760479041916046</v>
      </c>
    </row>
    <row r="136" spans="1:9" x14ac:dyDescent="0.25">
      <c r="A136">
        <f t="shared" si="8"/>
        <v>135</v>
      </c>
      <c r="B136" t="s">
        <v>298</v>
      </c>
      <c r="C136" s="1">
        <v>46149</v>
      </c>
      <c r="D136" t="str">
        <f>VLOOKUP(B136,Trades!A$1:M100495,3,FALSE)</f>
        <v>ORCL</v>
      </c>
      <c r="E136" t="s">
        <v>61</v>
      </c>
      <c r="F136">
        <v>193.08</v>
      </c>
      <c r="G136">
        <v>4</v>
      </c>
      <c r="H136">
        <f>IF(VLOOKUP(B136,Trades!A:M,4,FALSE)="Long",(F136-VLOOKUP(B136,Trades!A:M,6,FALSE))*G136,(VLOOKUP(B136,Trades!A:M,6,FALSE)-F136)*G136)</f>
        <v>-5.3199999999999363</v>
      </c>
      <c r="I136">
        <f>H136/VLOOKUP(B136,Trades!A$1:$M$100361,9,FALSE)</f>
        <v>-1.0639999999999872</v>
      </c>
    </row>
    <row r="137" spans="1:9" x14ac:dyDescent="0.25">
      <c r="A137">
        <f t="shared" si="8"/>
        <v>136</v>
      </c>
      <c r="B137" t="s">
        <v>299</v>
      </c>
      <c r="C137" s="1">
        <v>46149</v>
      </c>
      <c r="D137" t="str">
        <f>VLOOKUP(B137,Trades!A$1:M100496,3,FALSE)</f>
        <v>QCOM</v>
      </c>
      <c r="E137" t="s">
        <v>61</v>
      </c>
      <c r="F137">
        <v>205.92</v>
      </c>
      <c r="G137">
        <v>3</v>
      </c>
      <c r="H137">
        <f>IF(VLOOKUP(B137,Trades!A:M,4,FALSE)="Long",(F137-VLOOKUP(B137,Trades!A:M,6,FALSE))*G137,(VLOOKUP(B137,Trades!A:M,6,FALSE)-F137)*G137)</f>
        <v>-1.5900000000000034</v>
      </c>
      <c r="I137">
        <f>H137/VLOOKUP(B137,Trades!A$1:$M$100361,9,FALSE)</f>
        <v>-1</v>
      </c>
    </row>
    <row r="138" spans="1:9" x14ac:dyDescent="0.25">
      <c r="A138">
        <f t="shared" si="8"/>
        <v>137</v>
      </c>
      <c r="B138" t="s">
        <v>301</v>
      </c>
      <c r="C138" s="1">
        <v>46149</v>
      </c>
      <c r="D138" t="str">
        <f>VLOOKUP(B138,Trades!A$1:M100497,3,FALSE)</f>
        <v>DDOG</v>
      </c>
      <c r="E138" t="s">
        <v>61</v>
      </c>
      <c r="F138">
        <v>180.02</v>
      </c>
      <c r="G138">
        <v>3</v>
      </c>
      <c r="H138">
        <f>IF(VLOOKUP(B138,Trades!A:M,4,FALSE)="Long",(F138-VLOOKUP(B138,Trades!A:M,6,FALSE))*G138,(VLOOKUP(B138,Trades!A:M,6,FALSE)-F138)*G138)</f>
        <v>-2.1899999999999693</v>
      </c>
      <c r="I138">
        <f>H138/VLOOKUP(B138,Trades!A$1:$M$100361,9,FALSE)</f>
        <v>-0.98648648648646053</v>
      </c>
    </row>
    <row r="139" spans="1:9" x14ac:dyDescent="0.25">
      <c r="A139">
        <f t="shared" ref="A139:A148" si="9">ROW()-1</f>
        <v>138</v>
      </c>
      <c r="B139" t="s">
        <v>304</v>
      </c>
      <c r="C139" s="1">
        <v>46150</v>
      </c>
      <c r="D139" t="str">
        <f>VLOOKUP(B139,Trades!A$1:M100498,3,FALSE)</f>
        <v>MNST</v>
      </c>
      <c r="E139" t="s">
        <v>61</v>
      </c>
      <c r="F139">
        <v>83.45</v>
      </c>
      <c r="G139">
        <v>4</v>
      </c>
      <c r="H139">
        <f>IF(VLOOKUP(B139,Trades!A:M,4,FALSE)="Long",(F139-VLOOKUP(B139,Trades!A:M,6,FALSE))*G139,(VLOOKUP(B139,Trades!A:M,6,FALSE)-F139)*G139)</f>
        <v>-2.839999999999975</v>
      </c>
      <c r="I139">
        <f>H139/VLOOKUP(B139,Trades!A$1:$M$100361,9,FALSE)</f>
        <v>-0.70999999999999375</v>
      </c>
    </row>
    <row r="140" spans="1:9" x14ac:dyDescent="0.25">
      <c r="A140">
        <f t="shared" si="9"/>
        <v>139</v>
      </c>
      <c r="B140" t="s">
        <v>305</v>
      </c>
      <c r="C140" s="1">
        <v>46150</v>
      </c>
      <c r="D140" t="str">
        <f>VLOOKUP(B140,Trades!A$1:M100499,3,FALSE)</f>
        <v>ASAN</v>
      </c>
      <c r="E140" t="s">
        <v>61</v>
      </c>
      <c r="F140">
        <v>6.66</v>
      </c>
      <c r="G140">
        <v>13</v>
      </c>
      <c r="H140">
        <f>IF(VLOOKUP(B140,Trades!A:M,4,FALSE)="Long",(F140-VLOOKUP(B140,Trades!A:M,6,FALSE))*G140,(VLOOKUP(B140,Trades!A:M,6,FALSE)-F140)*G140)</f>
        <v>-9.3599999999999959</v>
      </c>
      <c r="I140">
        <f>H140/VLOOKUP(B140,Trades!A$1:$M$100361,9,FALSE)</f>
        <v>-1.0140845070422531</v>
      </c>
    </row>
    <row r="141" spans="1:9" x14ac:dyDescent="0.25">
      <c r="A141">
        <f t="shared" si="9"/>
        <v>140</v>
      </c>
      <c r="B141" t="s">
        <v>306</v>
      </c>
      <c r="C141" s="1">
        <v>46150</v>
      </c>
      <c r="D141" t="str">
        <f>VLOOKUP(B141,Trades!A$1:M100500,3,FALSE)</f>
        <v>NVDA</v>
      </c>
      <c r="E141" t="s">
        <v>61</v>
      </c>
      <c r="F141">
        <v>215.78</v>
      </c>
      <c r="G141">
        <v>4</v>
      </c>
      <c r="H141">
        <f>IF(VLOOKUP(B141,Trades!A:M,4,FALSE)="Long",(F141-VLOOKUP(B141,Trades!A:M,6,FALSE))*G141,(VLOOKUP(B141,Trades!A:M,6,FALSE)-F141)*G141)</f>
        <v>10.159999999999968</v>
      </c>
      <c r="I141">
        <f>H141/VLOOKUP(B141,Trades!A$1:$M$100361,9,FALSE)</f>
        <v>2.539999999999992</v>
      </c>
    </row>
    <row r="142" spans="1:9" x14ac:dyDescent="0.25">
      <c r="A142">
        <f t="shared" si="9"/>
        <v>141</v>
      </c>
      <c r="B142" t="s">
        <v>307</v>
      </c>
      <c r="C142" s="1">
        <v>46150</v>
      </c>
      <c r="D142" t="str">
        <f>VLOOKUP(B142,Trades!A$1:M100501,3,FALSE)</f>
        <v>NVDA</v>
      </c>
      <c r="E142" t="s">
        <v>61</v>
      </c>
      <c r="F142">
        <v>215.08</v>
      </c>
      <c r="G142">
        <v>4</v>
      </c>
      <c r="H142">
        <f>IF(VLOOKUP(B142,Trades!A:M,4,FALSE)="Long",(F142-VLOOKUP(B142,Trades!A:M,6,FALSE))*G142,(VLOOKUP(B142,Trades!A:M,6,FALSE)-F142)*G142)</f>
        <v>-4</v>
      </c>
      <c r="I142">
        <f>H142/VLOOKUP(B142,Trades!A$1:$M$100361,9,FALSE)</f>
        <v>-1</v>
      </c>
    </row>
    <row r="143" spans="1:9" x14ac:dyDescent="0.25">
      <c r="A143">
        <f t="shared" si="9"/>
        <v>142</v>
      </c>
      <c r="B143" t="s">
        <v>277</v>
      </c>
      <c r="C143" s="1">
        <v>46150</v>
      </c>
      <c r="D143" t="str">
        <f>VLOOKUP(B143,Trades!A$1:M100502,3,FALSE)</f>
        <v>AMZN</v>
      </c>
      <c r="E143" t="s">
        <v>61</v>
      </c>
      <c r="F143">
        <v>272.82</v>
      </c>
      <c r="G143">
        <v>2</v>
      </c>
      <c r="H143">
        <f>IF(VLOOKUP(B143,Trades!A:M,4,FALSE)="Long",(F143-VLOOKUP(B143,Trades!A:M,6,FALSE))*G143,(VLOOKUP(B143,Trades!A:M,6,FALSE)-F143)*G143)</f>
        <v>26.699999999999932</v>
      </c>
      <c r="I143">
        <f>H143/VLOOKUP(B143,Trades!A$1:$M$100361,9,FALSE)</f>
        <v>1.7159383033418913</v>
      </c>
    </row>
    <row r="144" spans="1:9" x14ac:dyDescent="0.25">
      <c r="A144">
        <f t="shared" si="9"/>
        <v>143</v>
      </c>
      <c r="B144" t="s">
        <v>308</v>
      </c>
      <c r="C144" s="1">
        <v>46150</v>
      </c>
      <c r="D144" t="str">
        <f>VLOOKUP(B144,Trades!A$1:M100503,3,FALSE)</f>
        <v>FROG</v>
      </c>
      <c r="E144" t="s">
        <v>61</v>
      </c>
      <c r="F144">
        <v>67</v>
      </c>
      <c r="G144">
        <v>2</v>
      </c>
      <c r="H144">
        <f>IF(VLOOKUP(B144,Trades!A:M,4,FALSE)="Long",(F144-VLOOKUP(B144,Trades!A:M,6,FALSE))*G144,(VLOOKUP(B144,Trades!A:M,6,FALSE)-F144)*G144)</f>
        <v>23</v>
      </c>
      <c r="I144">
        <f>H144/VLOOKUP(B144,Trades!A$1:$M$100361,9,FALSE)</f>
        <v>5.75</v>
      </c>
    </row>
    <row r="145" spans="1:9" x14ac:dyDescent="0.25">
      <c r="A145">
        <f t="shared" si="9"/>
        <v>144</v>
      </c>
      <c r="B145" t="s">
        <v>309</v>
      </c>
      <c r="C145" s="1">
        <v>46150</v>
      </c>
      <c r="D145" t="str">
        <f>VLOOKUP(B145,Trades!A$1:M100504,3,FALSE)</f>
        <v>AMD</v>
      </c>
      <c r="E145" t="s">
        <v>61</v>
      </c>
      <c r="F145">
        <v>438.79</v>
      </c>
      <c r="G145">
        <v>3</v>
      </c>
      <c r="H145">
        <f>IF(VLOOKUP(B145,Trades!A:M,4,FALSE)="Long",(F145-VLOOKUP(B145,Trades!A:M,6,FALSE))*G145,(VLOOKUP(B145,Trades!A:M,6,FALSE)-F145)*G145)</f>
        <v>14.130000000000109</v>
      </c>
      <c r="I145">
        <f>H145/VLOOKUP(B145,Trades!A$1:$M$100361,9,FALSE)</f>
        <v>3.8292682926830768</v>
      </c>
    </row>
    <row r="146" spans="1:9" x14ac:dyDescent="0.25">
      <c r="A146">
        <f t="shared" si="9"/>
        <v>145</v>
      </c>
      <c r="B146" t="s">
        <v>310</v>
      </c>
      <c r="C146" s="1">
        <v>46150</v>
      </c>
      <c r="D146" t="str">
        <f>VLOOKUP(B146,Trades!A$1:M100505,3,FALSE)</f>
        <v>QCOM</v>
      </c>
      <c r="E146" t="s">
        <v>61</v>
      </c>
      <c r="F146">
        <v>217.92</v>
      </c>
      <c r="G146">
        <v>4</v>
      </c>
      <c r="H146">
        <f>IF(VLOOKUP(B146,Trades!A:M,4,FALSE)="Long",(F146-VLOOKUP(B146,Trades!A:M,6,FALSE))*G146,(VLOOKUP(B146,Trades!A:M,6,FALSE)-F146)*G146)</f>
        <v>-6.8799999999999955</v>
      </c>
      <c r="I146">
        <f>H146/VLOOKUP(B146,Trades!A$1:$M$100361,9,FALSE)</f>
        <v>-1.0552147239263827</v>
      </c>
    </row>
    <row r="147" spans="1:9" x14ac:dyDescent="0.25">
      <c r="A147">
        <f t="shared" si="9"/>
        <v>146</v>
      </c>
      <c r="B147" t="s">
        <v>311</v>
      </c>
      <c r="C147" s="1">
        <v>46150</v>
      </c>
      <c r="D147" t="str">
        <f>VLOOKUP(B147,Trades!A$1:M100506,3,FALSE)</f>
        <v>QCOM</v>
      </c>
      <c r="E147" t="s">
        <v>61</v>
      </c>
      <c r="F147">
        <v>217</v>
      </c>
      <c r="G147">
        <v>4</v>
      </c>
      <c r="H147">
        <f>IF(VLOOKUP(B147,Trades!A:M,4,FALSE)="Long",(F147-VLOOKUP(B147,Trades!A:M,6,FALSE))*G147,(VLOOKUP(B147,Trades!A:M,6,FALSE)-F147)*G147)</f>
        <v>-5.2000000000000455</v>
      </c>
      <c r="I147">
        <f>H147/VLOOKUP(B147,Trades!A$1:$M$100361,9,FALSE)</f>
        <v>-1.0400000000000091</v>
      </c>
    </row>
    <row r="148" spans="1:9" x14ac:dyDescent="0.25">
      <c r="A148">
        <f t="shared" si="9"/>
        <v>147</v>
      </c>
      <c r="B148" t="s">
        <v>312</v>
      </c>
      <c r="C148" s="1">
        <v>46150</v>
      </c>
      <c r="D148" t="str">
        <f>VLOOKUP(B148,Trades!A$1:M100507,3,FALSE)</f>
        <v>QCOM</v>
      </c>
      <c r="E148" t="s">
        <v>61</v>
      </c>
      <c r="F148">
        <v>217.8</v>
      </c>
      <c r="G148">
        <v>4</v>
      </c>
      <c r="H148">
        <f>IF(VLOOKUP(B148,Trades!A:M,4,FALSE)="Long",(F148-VLOOKUP(B148,Trades!A:M,6,FALSE))*G148,(VLOOKUP(B148,Trades!A:M,6,FALSE)-F148)*G148)</f>
        <v>-4.4799999999999045</v>
      </c>
      <c r="I148">
        <f>H148/VLOOKUP(B148,Trades!A$1:$M$100361,9,FALSE)</f>
        <v>-1.1199999999999761</v>
      </c>
    </row>
    <row r="149" spans="1:9" x14ac:dyDescent="0.25">
      <c r="A149">
        <f t="shared" ref="A149:A158" si="10">ROW()-1</f>
        <v>148</v>
      </c>
      <c r="B149" t="s">
        <v>313</v>
      </c>
      <c r="C149" s="1">
        <v>46150</v>
      </c>
      <c r="D149" t="str">
        <f>VLOOKUP(B149,Trades!A$1:M100508,3,FALSE)</f>
        <v>SMCI</v>
      </c>
      <c r="E149" t="s">
        <v>61</v>
      </c>
      <c r="F149">
        <v>34.979999999999997</v>
      </c>
      <c r="G149">
        <v>2</v>
      </c>
      <c r="H149">
        <f>IF(VLOOKUP(B149,Trades!A:M,4,FALSE)="Long",(F149-VLOOKUP(B149,Trades!A:M,6,FALSE))*G149,(VLOOKUP(B149,Trades!A:M,6,FALSE)-F149)*G149)</f>
        <v>14.819999999999993</v>
      </c>
      <c r="I149">
        <f>H149/VLOOKUP(B149,Trades!A$1:$M$100361,9,FALSE)</f>
        <v>1.6614349775784742</v>
      </c>
    </row>
    <row r="150" spans="1:9" x14ac:dyDescent="0.25">
      <c r="A150">
        <f t="shared" si="10"/>
        <v>149</v>
      </c>
      <c r="B150" t="s">
        <v>314</v>
      </c>
      <c r="C150" s="1">
        <v>46153</v>
      </c>
      <c r="D150" t="str">
        <f>VLOOKUP(B150,Trades!A$1:M100509,3,FALSE)</f>
        <v>CELH</v>
      </c>
      <c r="E150" t="s">
        <v>61</v>
      </c>
      <c r="F150">
        <v>31</v>
      </c>
      <c r="G150">
        <v>4</v>
      </c>
      <c r="H150">
        <f>IF(VLOOKUP(B150,Trades!A:M,4,FALSE)="Long",(F150-VLOOKUP(B150,Trades!A:M,6,FALSE))*G150,(VLOOKUP(B150,Trades!A:M,6,FALSE)-F150)*G150)</f>
        <v>-9.6399999999999864</v>
      </c>
      <c r="I150">
        <f>H150/VLOOKUP(B150,Trades!A$1:$M$100361,9,FALSE)</f>
        <v>-1.4876543209876545</v>
      </c>
    </row>
    <row r="151" spans="1:9" x14ac:dyDescent="0.25">
      <c r="A151">
        <f t="shared" si="10"/>
        <v>150</v>
      </c>
      <c r="B151" t="s">
        <v>315</v>
      </c>
      <c r="C151" s="1">
        <v>46153</v>
      </c>
      <c r="D151" t="str">
        <f>VLOOKUP(B151,Trades!A$1:M100510,3,FALSE)</f>
        <v>QCOM</v>
      </c>
      <c r="E151" t="s">
        <v>61</v>
      </c>
      <c r="F151">
        <v>238.64</v>
      </c>
      <c r="G151">
        <v>4</v>
      </c>
      <c r="H151">
        <f>IF(VLOOKUP(B151,Trades!A:M,4,FALSE)="Long",(F151-VLOOKUP(B151,Trades!A:M,6,FALSE))*G151,(VLOOKUP(B151,Trades!A:M,6,FALSE)-F151)*G151)</f>
        <v>26.559999999999945</v>
      </c>
      <c r="I151">
        <f>H151/VLOOKUP(B151,Trades!A$1:$M$100361,9,FALSE)</f>
        <v>6.6399999999999864</v>
      </c>
    </row>
    <row r="152" spans="1:9" x14ac:dyDescent="0.25">
      <c r="A152">
        <f t="shared" si="10"/>
        <v>151</v>
      </c>
      <c r="B152" t="s">
        <v>316</v>
      </c>
      <c r="C152" s="1">
        <v>46153</v>
      </c>
      <c r="D152" t="str">
        <f>VLOOKUP(B152,Trades!A$1:M100511,3,FALSE)</f>
        <v>QCOM</v>
      </c>
      <c r="E152" t="s">
        <v>61</v>
      </c>
      <c r="F152">
        <v>238.39</v>
      </c>
      <c r="G152">
        <v>4</v>
      </c>
      <c r="H152">
        <f>IF(VLOOKUP(B152,Trades!A:M,4,FALSE)="Long",(F152-VLOOKUP(B152,Trades!A:M,6,FALSE))*G152,(VLOOKUP(B152,Trades!A:M,6,FALSE)-F152)*G152)</f>
        <v>-8.5600000000000591</v>
      </c>
      <c r="I152">
        <f>H152/VLOOKUP(B152,Trades!A$1:$M$100361,9,FALSE)</f>
        <v>-1.0700000000000074</v>
      </c>
    </row>
    <row r="153" spans="1:9" x14ac:dyDescent="0.25">
      <c r="A153">
        <f t="shared" si="10"/>
        <v>152</v>
      </c>
      <c r="B153" t="s">
        <v>318</v>
      </c>
      <c r="C153" s="1">
        <v>46153</v>
      </c>
      <c r="D153" t="str">
        <f>VLOOKUP(B153,Trades!A$1:M100512,3,FALSE)</f>
        <v>MARA</v>
      </c>
      <c r="E153" t="s">
        <v>61</v>
      </c>
      <c r="F153">
        <v>13.07</v>
      </c>
      <c r="G153">
        <v>10</v>
      </c>
      <c r="H153">
        <f>IF(VLOOKUP(B153,Trades!A:M,4,FALSE)="Long",(F153-VLOOKUP(B153,Trades!A:M,6,FALSE))*G153,(VLOOKUP(B153,Trades!A:M,6,FALSE)-F153)*G153)</f>
        <v>5.0999999999999979</v>
      </c>
      <c r="I153">
        <f>H153/VLOOKUP(B153,Trades!A$1:$M$100361,9,FALSE)</f>
        <v>0.86440677966101676</v>
      </c>
    </row>
    <row r="154" spans="1:9" x14ac:dyDescent="0.25">
      <c r="A154">
        <f t="shared" si="10"/>
        <v>153</v>
      </c>
      <c r="B154" t="s">
        <v>319</v>
      </c>
      <c r="C154" s="1">
        <v>46153</v>
      </c>
      <c r="D154" t="str">
        <f>VLOOKUP(B154,Trades!A$1:M100513,3,FALSE)</f>
        <v>MU</v>
      </c>
      <c r="E154" t="s">
        <v>61</v>
      </c>
      <c r="F154">
        <v>774.26</v>
      </c>
      <c r="G154">
        <v>2</v>
      </c>
      <c r="H154">
        <f>IF(VLOOKUP(B154,Trades!A:M,4,FALSE)="Long",(F154-VLOOKUP(B154,Trades!A:M,6,FALSE))*G154,(VLOOKUP(B154,Trades!A:M,6,FALSE)-F154)*G154)</f>
        <v>7.9000000000000909</v>
      </c>
      <c r="I154">
        <f>H154/VLOOKUP(B154,Trades!A$1:$M$100361,9,FALSE)</f>
        <v>1.9750000000000227</v>
      </c>
    </row>
    <row r="155" spans="1:9" x14ac:dyDescent="0.25">
      <c r="A155">
        <f t="shared" si="10"/>
        <v>154</v>
      </c>
      <c r="B155" t="s">
        <v>320</v>
      </c>
      <c r="C155" s="1">
        <v>46153</v>
      </c>
      <c r="D155" t="str">
        <f>VLOOKUP(B155,Trades!A$1:M100514,3,FALSE)</f>
        <v>MU</v>
      </c>
      <c r="E155" t="s">
        <v>61</v>
      </c>
      <c r="F155">
        <v>784.03</v>
      </c>
      <c r="G155">
        <v>2</v>
      </c>
      <c r="H155">
        <f>IF(VLOOKUP(B155,Trades!A:M,4,FALSE)="Long",(F155-VLOOKUP(B155,Trades!A:M,6,FALSE))*G155,(VLOOKUP(B155,Trades!A:M,6,FALSE)-F155)*G155)</f>
        <v>-6.0800000000001546</v>
      </c>
      <c r="I155">
        <f>H155/VLOOKUP(B155,Trades!A$1:$M$100361,9,FALSE)</f>
        <v>-1.0133333333333592</v>
      </c>
    </row>
    <row r="156" spans="1:9" x14ac:dyDescent="0.25">
      <c r="A156">
        <f t="shared" si="10"/>
        <v>155</v>
      </c>
      <c r="B156" t="s">
        <v>321</v>
      </c>
      <c r="C156" s="1">
        <v>46153</v>
      </c>
      <c r="D156" t="str">
        <f>VLOOKUP(B156,Trades!A$1:M100515,3,FALSE)</f>
        <v>MRNA</v>
      </c>
      <c r="E156" t="s">
        <v>61</v>
      </c>
      <c r="F156">
        <v>55.12</v>
      </c>
      <c r="G156">
        <v>5</v>
      </c>
      <c r="H156">
        <f>IF(VLOOKUP(B156,Trades!A:M,4,FALSE)="Long",(F156-VLOOKUP(B156,Trades!A:M,6,FALSE))*G156,(VLOOKUP(B156,Trades!A:M,6,FALSE)-F156)*G156)</f>
        <v>-6.25</v>
      </c>
      <c r="I156">
        <f>H156/VLOOKUP(B156,Trades!A$1:$M$100361,9,FALSE)</f>
        <v>-1.0330578512396686</v>
      </c>
    </row>
    <row r="157" spans="1:9" x14ac:dyDescent="0.25">
      <c r="A157">
        <f t="shared" si="10"/>
        <v>156</v>
      </c>
      <c r="B157" t="s">
        <v>322</v>
      </c>
      <c r="C157" s="1">
        <v>46153</v>
      </c>
      <c r="D157" t="str">
        <f>VLOOKUP(B157,Trades!A$1:M100516,3,FALSE)</f>
        <v>QCOM</v>
      </c>
      <c r="E157" t="s">
        <v>61</v>
      </c>
      <c r="F157">
        <v>231.72</v>
      </c>
      <c r="G157">
        <v>2</v>
      </c>
      <c r="H157">
        <f>IF(VLOOKUP(B157,Trades!A:M,4,FALSE)="Long",(F157-VLOOKUP(B157,Trades!A:M,6,FALSE))*G157,(VLOOKUP(B157,Trades!A:M,6,FALSE)-F157)*G157)</f>
        <v>-8.1999999999999886</v>
      </c>
      <c r="I157">
        <f>H157/VLOOKUP(B157,Trades!A$1:$M$100361,9,FALSE)</f>
        <v>-1.0301507537688455</v>
      </c>
    </row>
    <row r="158" spans="1:9" x14ac:dyDescent="0.25">
      <c r="A158">
        <f t="shared" si="10"/>
        <v>157</v>
      </c>
      <c r="B158" t="s">
        <v>324</v>
      </c>
      <c r="C158" s="1">
        <v>46153</v>
      </c>
      <c r="D158" t="str">
        <f>VLOOKUP(B158,Trades!A$1:M100517,3,FALSE)</f>
        <v>CTMX</v>
      </c>
      <c r="E158" t="s">
        <v>61</v>
      </c>
      <c r="F158">
        <v>3.84</v>
      </c>
      <c r="G158">
        <v>20</v>
      </c>
      <c r="H158">
        <f>IF(VLOOKUP(B158,Trades!A:M,4,FALSE)="Long",(F158-VLOOKUP(B158,Trades!A:M,6,FALSE))*G158,(VLOOKUP(B158,Trades!A:M,6,FALSE)-F158)*G158)</f>
        <v>-3.3999999999999986</v>
      </c>
      <c r="I158">
        <f>H158/VLOOKUP(B158,Trades!A$1:$M$100361,9,FALSE)</f>
        <v>-1</v>
      </c>
    </row>
    <row r="159" spans="1:9" x14ac:dyDescent="0.25">
      <c r="A159">
        <f t="shared" ref="A159:A166" si="11">ROW()-1</f>
        <v>158</v>
      </c>
      <c r="B159" t="s">
        <v>329</v>
      </c>
      <c r="C159" s="1">
        <v>46154</v>
      </c>
      <c r="D159" t="str">
        <f>VLOOKUP(B159,Trades!A$1:M100518,3,FALSE)</f>
        <v>CSCO</v>
      </c>
      <c r="E159" t="s">
        <v>61</v>
      </c>
      <c r="F159">
        <v>98.68</v>
      </c>
      <c r="G159">
        <v>4</v>
      </c>
      <c r="H159">
        <f>IF(VLOOKUP(B159,Trades!A:M,4,FALSE)="Long",(F159-VLOOKUP(B159,Trades!A:M,6,FALSE))*G159,(VLOOKUP(B159,Trades!A:M,6,FALSE)-F159)*G159)</f>
        <v>-4.0399999999999636</v>
      </c>
      <c r="I159">
        <f>H159/VLOOKUP(B159,Trades!A$1:$M$100361,9,FALSE)</f>
        <v>-1</v>
      </c>
    </row>
    <row r="160" spans="1:9" x14ac:dyDescent="0.25">
      <c r="A160">
        <f t="shared" si="11"/>
        <v>159</v>
      </c>
      <c r="B160" t="s">
        <v>331</v>
      </c>
      <c r="C160" s="1">
        <v>46154</v>
      </c>
      <c r="D160" t="str">
        <f>VLOOKUP(B160,Trades!A$1:M100519,3,FALSE)</f>
        <v>ZBRA</v>
      </c>
      <c r="E160" t="s">
        <v>61</v>
      </c>
      <c r="F160">
        <v>243.59</v>
      </c>
      <c r="G160">
        <v>4</v>
      </c>
      <c r="H160">
        <f>IF(VLOOKUP(B160,Trades!A:M,4,FALSE)="Long",(F160-VLOOKUP(B160,Trades!A:M,6,FALSE))*G160,(VLOOKUP(B160,Trades!A:M,6,FALSE)-F160)*G160)</f>
        <v>-7.6399999999999864</v>
      </c>
      <c r="I160">
        <f>H160/VLOOKUP(B160,Trades!A$1:$M$100361,9,FALSE)</f>
        <v>-1</v>
      </c>
    </row>
    <row r="161" spans="1:9" x14ac:dyDescent="0.25">
      <c r="A161">
        <f t="shared" si="11"/>
        <v>160</v>
      </c>
      <c r="B161" t="s">
        <v>330</v>
      </c>
      <c r="C161" s="1">
        <v>46154</v>
      </c>
      <c r="D161" t="str">
        <f>VLOOKUP(B161,Trades!A$1:M100520,3,FALSE)</f>
        <v>QUBT</v>
      </c>
      <c r="E161" t="s">
        <v>61</v>
      </c>
      <c r="F161">
        <v>12.64</v>
      </c>
      <c r="G161">
        <v>20</v>
      </c>
      <c r="H161">
        <f>IF(VLOOKUP(B161,Trades!A:M,4,FALSE)="Long",(F161-VLOOKUP(B161,Trades!A:M,6,FALSE))*G161,(VLOOKUP(B161,Trades!A:M,6,FALSE)-F161)*G161)</f>
        <v>-1.6000000000000014</v>
      </c>
      <c r="I161">
        <f>H161/VLOOKUP(B161,Trades!A$1:$M$100361,9,FALSE)</f>
        <v>-1</v>
      </c>
    </row>
    <row r="162" spans="1:9" x14ac:dyDescent="0.25">
      <c r="A162">
        <f t="shared" si="11"/>
        <v>161</v>
      </c>
      <c r="B162" t="s">
        <v>332</v>
      </c>
      <c r="C162" s="1">
        <v>46154</v>
      </c>
      <c r="D162" t="str">
        <f>VLOOKUP(B162,Trades!A$1:M100521,3,FALSE)</f>
        <v>MU</v>
      </c>
      <c r="E162" t="s">
        <v>61</v>
      </c>
      <c r="F162">
        <v>767.62</v>
      </c>
      <c r="G162">
        <v>2</v>
      </c>
      <c r="H162">
        <f>IF(VLOOKUP(B162,Trades!A:M,4,FALSE)="Long",(F162-VLOOKUP(B162,Trades!A:M,6,FALSE))*G162,(VLOOKUP(B162,Trades!A:M,6,FALSE)-F162)*G162)</f>
        <v>-11.740000000000009</v>
      </c>
      <c r="I162">
        <f>H162/VLOOKUP(B162,Trades!A$1:$M$100361,9,FALSE)</f>
        <v>-0.97833333333333405</v>
      </c>
    </row>
    <row r="163" spans="1:9" x14ac:dyDescent="0.25">
      <c r="A163">
        <f t="shared" si="11"/>
        <v>162</v>
      </c>
      <c r="B163" t="s">
        <v>333</v>
      </c>
      <c r="C163" s="1">
        <v>46154</v>
      </c>
      <c r="D163" t="str">
        <f>VLOOKUP(B163,Trades!A$1:M100522,3,FALSE)</f>
        <v>MU</v>
      </c>
      <c r="E163" t="s">
        <v>61</v>
      </c>
      <c r="F163">
        <v>760.75</v>
      </c>
      <c r="G163">
        <v>2</v>
      </c>
      <c r="H163">
        <f>IF(VLOOKUP(B163,Trades!A:M,4,FALSE)="Long",(F163-VLOOKUP(B163,Trades!A:M,6,FALSE))*G163,(VLOOKUP(B163,Trades!A:M,6,FALSE)-F163)*G163)</f>
        <v>-8.2400000000000091</v>
      </c>
      <c r="I163">
        <f>H163/VLOOKUP(B163,Trades!A$1:$M$100361,9,FALSE)</f>
        <v>-1.0300000000000011</v>
      </c>
    </row>
    <row r="164" spans="1:9" x14ac:dyDescent="0.25">
      <c r="A164">
        <f t="shared" si="11"/>
        <v>163</v>
      </c>
      <c r="B164" t="s">
        <v>334</v>
      </c>
      <c r="C164" s="1">
        <v>46154</v>
      </c>
      <c r="D164" t="str">
        <f>VLOOKUP(B164,Trades!A$1:M100523,3,FALSE)</f>
        <v>MU</v>
      </c>
      <c r="E164" t="s">
        <v>61</v>
      </c>
      <c r="F164">
        <v>758.2</v>
      </c>
      <c r="G164">
        <v>2</v>
      </c>
      <c r="H164">
        <f>IF(VLOOKUP(B164,Trades!A:M,4,FALSE)="Long",(F164-VLOOKUP(B164,Trades!A:M,6,FALSE))*G164,(VLOOKUP(B164,Trades!A:M,6,FALSE)-F164)*G164)</f>
        <v>-14</v>
      </c>
      <c r="I164">
        <f>H164/VLOOKUP(B164,Trades!A$1:$M$100361,9,FALSE)</f>
        <v>-1</v>
      </c>
    </row>
    <row r="165" spans="1:9" x14ac:dyDescent="0.25">
      <c r="A165">
        <f t="shared" si="11"/>
        <v>164</v>
      </c>
      <c r="B165" t="s">
        <v>335</v>
      </c>
      <c r="C165" s="1">
        <v>46154</v>
      </c>
      <c r="D165" t="str">
        <f>VLOOKUP(B165,Trades!A$1:M100524,3,FALSE)</f>
        <v>ZBRA</v>
      </c>
      <c r="E165" t="s">
        <v>61</v>
      </c>
      <c r="F165">
        <v>258.69</v>
      </c>
      <c r="G165">
        <v>4</v>
      </c>
      <c r="H165">
        <f>IF(VLOOKUP(B165,Trades!A:M,4,FALSE)="Long",(F165-VLOOKUP(B165,Trades!A:M,6,FALSE))*G165,(VLOOKUP(B165,Trades!A:M,6,FALSE)-F165)*G165)</f>
        <v>52.840000000000032</v>
      </c>
      <c r="I165">
        <f>H165/VLOOKUP(B165,Trades!A$1:$M$100361,9,FALSE)</f>
        <v>6.605000000000004</v>
      </c>
    </row>
    <row r="166" spans="1:9" x14ac:dyDescent="0.25">
      <c r="A166">
        <f t="shared" si="11"/>
        <v>165</v>
      </c>
      <c r="B166" t="s">
        <v>336</v>
      </c>
      <c r="C166" s="1">
        <v>46154</v>
      </c>
      <c r="D166" t="str">
        <f>VLOOKUP(B166,Trades!A$1:M100525,3,FALSE)</f>
        <v>VIPS</v>
      </c>
      <c r="E166" t="s">
        <v>61</v>
      </c>
      <c r="F166">
        <v>14.24</v>
      </c>
      <c r="G166">
        <v>10</v>
      </c>
      <c r="H166">
        <f>IF(VLOOKUP(B166,Trades!A:M,4,FALSE)="Long",(F166-VLOOKUP(B166,Trades!A:M,6,FALSE))*G166,(VLOOKUP(B166,Trades!A:M,6,FALSE)-F166)*G166)</f>
        <v>-4.0000000000000036</v>
      </c>
      <c r="I166">
        <f>H166/VLOOKUP(B166,Trades!A$1:$M$100361,9,FALSE)</f>
        <v>-1</v>
      </c>
    </row>
    <row r="167" spans="1:9" x14ac:dyDescent="0.25">
      <c r="A167">
        <f t="shared" ref="A167:A174" si="12">ROW()-1</f>
        <v>166</v>
      </c>
      <c r="B167" t="s">
        <v>337</v>
      </c>
      <c r="C167" s="1">
        <v>46155</v>
      </c>
      <c r="D167" t="str">
        <f>VLOOKUP(B167,Trades!A$1:M100526,3,FALSE)</f>
        <v>PATH</v>
      </c>
      <c r="E167" t="s">
        <v>61</v>
      </c>
      <c r="F167">
        <v>9.83</v>
      </c>
      <c r="G167">
        <v>10</v>
      </c>
      <c r="H167">
        <f>IF(VLOOKUP(B167,Trades!A:M,4,FALSE)="Long",(F167-VLOOKUP(B167,Trades!A:M,6,FALSE))*G167,(VLOOKUP(B167,Trades!A:M,6,FALSE)-F167)*G167)</f>
        <v>-4.9000000000000021</v>
      </c>
      <c r="I167">
        <f>H167/VLOOKUP(B167,Trades!A$1:$M$100361,9,FALSE)</f>
        <v>-0.98000000000000043</v>
      </c>
    </row>
    <row r="168" spans="1:9" x14ac:dyDescent="0.25">
      <c r="A168">
        <f t="shared" si="12"/>
        <v>167</v>
      </c>
      <c r="B168" t="s">
        <v>338</v>
      </c>
      <c r="C168" s="1">
        <v>46155</v>
      </c>
      <c r="D168" t="str">
        <f>VLOOKUP(B168,Trades!A$1:M100527,3,FALSE)</f>
        <v>MU</v>
      </c>
      <c r="E168" t="s">
        <v>61</v>
      </c>
      <c r="F168">
        <v>802</v>
      </c>
      <c r="G168">
        <v>2</v>
      </c>
      <c r="H168">
        <f>IF(VLOOKUP(B168,Trades!A:M,4,FALSE)="Long",(F168-VLOOKUP(B168,Trades!A:M,6,FALSE))*G168,(VLOOKUP(B168,Trades!A:M,6,FALSE)-F168)*G168)</f>
        <v>-6</v>
      </c>
      <c r="I168">
        <f>H168/VLOOKUP(B168,Trades!A$1:$M$100361,9,FALSE)</f>
        <v>-1</v>
      </c>
    </row>
    <row r="169" spans="1:9" x14ac:dyDescent="0.25">
      <c r="A169">
        <f t="shared" si="12"/>
        <v>168</v>
      </c>
      <c r="B169" t="s">
        <v>339</v>
      </c>
      <c r="C169" s="1">
        <v>46155</v>
      </c>
      <c r="D169" t="str">
        <f>VLOOKUP(B169,Trades!A$1:M100528,3,FALSE)</f>
        <v>NVDA</v>
      </c>
      <c r="E169" t="s">
        <v>61</v>
      </c>
      <c r="F169">
        <v>223.84</v>
      </c>
      <c r="G169">
        <v>4</v>
      </c>
      <c r="H169">
        <f>IF(VLOOKUP(B169,Trades!A:M,4,FALSE)="Long",(F169-VLOOKUP(B169,Trades!A:M,6,FALSE))*G169,(VLOOKUP(B169,Trades!A:M,6,FALSE)-F169)*G169)</f>
        <v>-4</v>
      </c>
      <c r="I169">
        <f>H169/VLOOKUP(B169,Trades!A$1:$M$100361,9,FALSE)</f>
        <v>-1</v>
      </c>
    </row>
    <row r="170" spans="1:9" x14ac:dyDescent="0.25">
      <c r="A170">
        <f t="shared" si="12"/>
        <v>169</v>
      </c>
      <c r="B170" t="s">
        <v>340</v>
      </c>
      <c r="C170" s="1">
        <v>46155</v>
      </c>
      <c r="D170" t="str">
        <f>VLOOKUP(B170,Trades!A$1:M100529,3,FALSE)</f>
        <v>QUBT</v>
      </c>
      <c r="E170" t="s">
        <v>61</v>
      </c>
      <c r="F170">
        <v>11.08</v>
      </c>
      <c r="G170">
        <v>8</v>
      </c>
      <c r="H170">
        <f>IF(VLOOKUP(B170,Trades!A:M,4,FALSE)="Long",(F170-VLOOKUP(B170,Trades!A:M,6,FALSE))*G170,(VLOOKUP(B170,Trades!A:M,6,FALSE)-F170)*G170)</f>
        <v>-4.1599999999999966</v>
      </c>
      <c r="I170">
        <f>H170/VLOOKUP(B170,Trades!A$1:$M$100361,9,FALSE)</f>
        <v>-1.0399999999999991</v>
      </c>
    </row>
    <row r="171" spans="1:9" x14ac:dyDescent="0.25">
      <c r="A171">
        <f t="shared" si="12"/>
        <v>170</v>
      </c>
      <c r="B171" t="s">
        <v>342</v>
      </c>
      <c r="C171" s="1">
        <v>46155</v>
      </c>
      <c r="D171" t="str">
        <f>VLOOKUP(B171,Trades!A$1:M100530,3,FALSE)</f>
        <v>TXN</v>
      </c>
      <c r="E171" t="s">
        <v>61</v>
      </c>
      <c r="F171">
        <v>308.42</v>
      </c>
      <c r="G171">
        <v>3</v>
      </c>
      <c r="H171">
        <f>IF(VLOOKUP(B171,Trades!A:M,4,FALSE)="Long",(F171-VLOOKUP(B171,Trades!A:M,6,FALSE))*G171,(VLOOKUP(B171,Trades!A:M,6,FALSE)-F171)*G171)</f>
        <v>8.310000000000116</v>
      </c>
      <c r="I171">
        <f>H171/VLOOKUP(B171,Trades!A$1:$M$100361,9,FALSE)</f>
        <v>1.2256637168141813</v>
      </c>
    </row>
    <row r="172" spans="1:9" x14ac:dyDescent="0.25">
      <c r="A172">
        <f t="shared" si="12"/>
        <v>171</v>
      </c>
      <c r="B172" t="s">
        <v>343</v>
      </c>
      <c r="C172" s="1">
        <v>46155</v>
      </c>
      <c r="D172" t="str">
        <f>VLOOKUP(B172,Trades!A$1:M100531,3,FALSE)</f>
        <v>RKT</v>
      </c>
      <c r="E172" t="s">
        <v>61</v>
      </c>
      <c r="F172">
        <v>13.88</v>
      </c>
      <c r="G172">
        <v>6</v>
      </c>
      <c r="H172">
        <f>IF(VLOOKUP(B172,Trades!A:M,4,FALSE)="Long",(F172-VLOOKUP(B172,Trades!A:M,6,FALSE))*G172,(VLOOKUP(B172,Trades!A:M,6,FALSE)-F172)*G172)</f>
        <v>-4.9800000000000004</v>
      </c>
      <c r="I172">
        <f>H172/VLOOKUP(B172,Trades!A$1:$M$100361,9,FALSE)</f>
        <v>-1</v>
      </c>
    </row>
    <row r="173" spans="1:9" x14ac:dyDescent="0.25">
      <c r="A173">
        <f t="shared" si="12"/>
        <v>172</v>
      </c>
      <c r="B173" t="s">
        <v>344</v>
      </c>
      <c r="C173" s="1">
        <v>46155</v>
      </c>
      <c r="D173" t="str">
        <f>VLOOKUP(B173,Trades!A$1:M100532,3,FALSE)</f>
        <v>MU</v>
      </c>
      <c r="E173" t="s">
        <v>61</v>
      </c>
      <c r="F173">
        <v>809.41</v>
      </c>
      <c r="G173">
        <v>3</v>
      </c>
      <c r="H173">
        <f>IF(VLOOKUP(B173,Trades!A:M,4,FALSE)="Long",(F173-VLOOKUP(B173,Trades!A:M,6,FALSE))*G173,(VLOOKUP(B173,Trades!A:M,6,FALSE)-F173)*G173)</f>
        <v>32.550000000000068</v>
      </c>
      <c r="I173">
        <f>H173/VLOOKUP(B173,Trades!A$1:$M$100361,9,FALSE)</f>
        <v>2.7125000000000057</v>
      </c>
    </row>
    <row r="174" spans="1:9" x14ac:dyDescent="0.25">
      <c r="A174">
        <f t="shared" si="12"/>
        <v>173</v>
      </c>
      <c r="B174" t="s">
        <v>344</v>
      </c>
      <c r="C174" s="1">
        <v>46155</v>
      </c>
      <c r="D174" t="str">
        <f>VLOOKUP(B174,Trades!A$1:M100533,3,FALSE)</f>
        <v>MU</v>
      </c>
      <c r="E174" t="s">
        <v>61</v>
      </c>
      <c r="F174">
        <v>806.88</v>
      </c>
      <c r="G174">
        <v>1</v>
      </c>
      <c r="H174">
        <f>IF(VLOOKUP(B174,Trades!A:M,4,FALSE)="Long",(F174-VLOOKUP(B174,Trades!A:M,6,FALSE))*G174,(VLOOKUP(B174,Trades!A:M,6,FALSE)-F174)*G174)</f>
        <v>8.32000000000005</v>
      </c>
      <c r="I174">
        <f>H174/VLOOKUP(B174,Trades!A$1:$M$100361,9,FALSE)</f>
        <v>0.69333333333333746</v>
      </c>
    </row>
    <row r="175" spans="1:9" x14ac:dyDescent="0.25">
      <c r="A175">
        <f t="shared" ref="A175:A181" si="13">ROW()-1</f>
        <v>174</v>
      </c>
      <c r="B175" t="s">
        <v>346</v>
      </c>
      <c r="C175" s="1">
        <v>46156</v>
      </c>
      <c r="D175" t="str">
        <f>VLOOKUP(B175,Trades!A$1:M100534,3,FALSE)</f>
        <v>MU</v>
      </c>
      <c r="E175" t="s">
        <v>61</v>
      </c>
      <c r="F175">
        <v>786.5</v>
      </c>
      <c r="G175">
        <v>2</v>
      </c>
      <c r="H175">
        <f>IF(VLOOKUP(B175,Trades!A:M,4,FALSE)="Long",(F175-VLOOKUP(B175,Trades!A:M,6,FALSE))*G175,(VLOOKUP(B175,Trades!A:M,6,FALSE)-F175)*G175)</f>
        <v>-2.4400000000000546</v>
      </c>
      <c r="I175">
        <f>H175/VLOOKUP(B175,Trades!A$1:$M$100361,9,FALSE)</f>
        <v>-1</v>
      </c>
    </row>
    <row r="176" spans="1:9" x14ac:dyDescent="0.25">
      <c r="A176">
        <f t="shared" si="13"/>
        <v>175</v>
      </c>
      <c r="B176" t="s">
        <v>347</v>
      </c>
      <c r="C176" s="1">
        <v>46156</v>
      </c>
      <c r="D176" t="str">
        <f>VLOOKUP(B176,Trades!A$1:M100535,3,FALSE)</f>
        <v>ON</v>
      </c>
      <c r="E176" t="s">
        <v>61</v>
      </c>
      <c r="F176">
        <v>113.34</v>
      </c>
      <c r="G176">
        <v>3</v>
      </c>
      <c r="H176">
        <f>IF(VLOOKUP(B176,Trades!A:M,4,FALSE)="Long",(F176-VLOOKUP(B176,Trades!A:M,6,FALSE))*G176,(VLOOKUP(B176,Trades!A:M,6,FALSE)-F176)*G176)</f>
        <v>-4.9799999999999898</v>
      </c>
      <c r="I176">
        <f>H176/VLOOKUP(B176,Trades!A$1:$M$100361,9,FALSE)</f>
        <v>-1.1140939597315451</v>
      </c>
    </row>
    <row r="177" spans="1:9" x14ac:dyDescent="0.25">
      <c r="A177">
        <f t="shared" si="13"/>
        <v>176</v>
      </c>
      <c r="B177" t="s">
        <v>349</v>
      </c>
      <c r="C177" s="1">
        <v>46156</v>
      </c>
      <c r="D177" t="str">
        <f>VLOOKUP(B177,Trades!A$1:M100536,3,FALSE)</f>
        <v>MU</v>
      </c>
      <c r="E177" t="s">
        <v>61</v>
      </c>
      <c r="F177">
        <v>801.79</v>
      </c>
      <c r="G177">
        <v>2</v>
      </c>
      <c r="H177">
        <f>IF(VLOOKUP(B177,Trades!A:M,4,FALSE)="Long",(F177-VLOOKUP(B177,Trades!A:M,6,FALSE))*G177,(VLOOKUP(B177,Trades!A:M,6,FALSE)-F177)*G177)</f>
        <v>-4</v>
      </c>
      <c r="I177">
        <f>H177/VLOOKUP(B177,Trades!A$1:$M$100361,9,FALSE)</f>
        <v>-0.92165898617513264</v>
      </c>
    </row>
    <row r="178" spans="1:9" x14ac:dyDescent="0.25">
      <c r="A178">
        <f t="shared" si="13"/>
        <v>177</v>
      </c>
      <c r="B178" t="s">
        <v>350</v>
      </c>
      <c r="C178" s="1">
        <v>46156</v>
      </c>
      <c r="D178" t="str">
        <f>VLOOKUP(B178,Trades!A$1:M100537,3,FALSE)</f>
        <v>GOOG</v>
      </c>
      <c r="E178" t="s">
        <v>61</v>
      </c>
      <c r="F178">
        <v>393.59</v>
      </c>
      <c r="G178">
        <v>3</v>
      </c>
      <c r="H178">
        <f>IF(VLOOKUP(B178,Trades!A:M,4,FALSE)="Long",(F178-VLOOKUP(B178,Trades!A:M,6,FALSE))*G178,(VLOOKUP(B178,Trades!A:M,6,FALSE)-F178)*G178)</f>
        <v>-3.0900000000000887</v>
      </c>
      <c r="I178">
        <f>H178/VLOOKUP(B178,Trades!A$1:$M$100361,9,FALSE)</f>
        <v>-1.0300000000000296</v>
      </c>
    </row>
    <row r="179" spans="1:9" x14ac:dyDescent="0.25">
      <c r="A179">
        <f t="shared" si="13"/>
        <v>178</v>
      </c>
      <c r="B179" t="s">
        <v>351</v>
      </c>
      <c r="C179" s="1">
        <v>46156</v>
      </c>
      <c r="D179" t="str">
        <f>VLOOKUP(B179,Trades!A$1:M100538,3,FALSE)</f>
        <v>MU</v>
      </c>
      <c r="E179" t="s">
        <v>61</v>
      </c>
      <c r="F179">
        <v>783.41</v>
      </c>
      <c r="G179">
        <v>2</v>
      </c>
      <c r="H179">
        <f>IF(VLOOKUP(B179,Trades!A:M,4,FALSE)="Long",(F179-VLOOKUP(B179,Trades!A:M,6,FALSE))*G179,(VLOOKUP(B179,Trades!A:M,6,FALSE)-F179)*G179)</f>
        <v>-10.680000000000064</v>
      </c>
      <c r="I179">
        <f>H179/VLOOKUP(B179,Trades!A$1:$M$100361,9,FALSE)</f>
        <v>-1</v>
      </c>
    </row>
    <row r="180" spans="1:9" x14ac:dyDescent="0.25">
      <c r="A180">
        <f t="shared" si="13"/>
        <v>179</v>
      </c>
      <c r="B180" t="s">
        <v>352</v>
      </c>
      <c r="C180" s="1">
        <v>46156</v>
      </c>
      <c r="D180" t="str">
        <f>VLOOKUP(B180,Trades!A$1:M100539,3,FALSE)</f>
        <v>NVDA</v>
      </c>
      <c r="E180" t="s">
        <v>61</v>
      </c>
      <c r="F180">
        <v>235.06</v>
      </c>
      <c r="G180">
        <v>4</v>
      </c>
      <c r="H180">
        <f>IF(VLOOKUP(B180,Trades!A:M,4,FALSE)="Long",(F180-VLOOKUP(B180,Trades!A:M,6,FALSE))*G180,(VLOOKUP(B180,Trades!A:M,6,FALSE)-F180)*G180)</f>
        <v>20.240000000000009</v>
      </c>
      <c r="I180">
        <f>H180/VLOOKUP(B180,Trades!A$1:$M$100361,9,FALSE)</f>
        <v>5.0600000000000023</v>
      </c>
    </row>
    <row r="181" spans="1:9" x14ac:dyDescent="0.25">
      <c r="A181">
        <f t="shared" si="13"/>
        <v>180</v>
      </c>
      <c r="B181" t="s">
        <v>353</v>
      </c>
      <c r="C181" s="1">
        <v>46156</v>
      </c>
      <c r="D181" t="str">
        <f>VLOOKUP(B181,Trades!A$1:M100540,3,FALSE)</f>
        <v>MU</v>
      </c>
      <c r="E181" t="s">
        <v>61</v>
      </c>
      <c r="F181">
        <v>787.2</v>
      </c>
      <c r="G181">
        <v>2</v>
      </c>
      <c r="H181">
        <f>IF(VLOOKUP(B181,Trades!A:M,4,FALSE)="Long",(F181-VLOOKUP(B181,Trades!A:M,6,FALSE))*G181,(VLOOKUP(B181,Trades!A:M,6,FALSE)-F181)*G181)</f>
        <v>-8</v>
      </c>
      <c r="I181">
        <f>H181/VLOOKUP(B181,Trades!A$1:$M$100361,9,FALSE)</f>
        <v>-1</v>
      </c>
    </row>
    <row r="182" spans="1:9" x14ac:dyDescent="0.25">
      <c r="A182">
        <f t="shared" ref="A182:A192" si="14">ROW()-1</f>
        <v>181</v>
      </c>
      <c r="B182" t="s">
        <v>354</v>
      </c>
      <c r="C182" s="1">
        <v>46157</v>
      </c>
      <c r="D182" t="str">
        <f>VLOOKUP(B182,Trades!A$1:M100541,3,FALSE)</f>
        <v>ASM</v>
      </c>
      <c r="E182" t="s">
        <v>61</v>
      </c>
      <c r="F182">
        <v>7.02</v>
      </c>
      <c r="G182">
        <v>14</v>
      </c>
      <c r="H182">
        <f>IF(VLOOKUP(B182,Trades!A:M,4,FALSE)="Long",(F182-VLOOKUP(B182,Trades!A:M,6,FALSE))*G182,(VLOOKUP(B182,Trades!A:M,6,FALSE)-F182)*G182)</f>
        <v>8.1199999999999886</v>
      </c>
      <c r="I182">
        <f>H182/VLOOKUP(B182,Trades!A$1:$M$100361,9,FALSE)</f>
        <v>1.1372549019607812</v>
      </c>
    </row>
    <row r="183" spans="1:9" x14ac:dyDescent="0.25">
      <c r="A183">
        <f t="shared" si="14"/>
        <v>182</v>
      </c>
      <c r="B183" t="s">
        <v>222</v>
      </c>
      <c r="C183" s="1">
        <v>46157</v>
      </c>
      <c r="D183" t="str">
        <f>VLOOKUP(B183,Trades!A$1:M100542,3,FALSE)</f>
        <v>INTC</v>
      </c>
      <c r="E183" t="s">
        <v>61</v>
      </c>
      <c r="F183">
        <v>108.04</v>
      </c>
      <c r="G183">
        <v>1</v>
      </c>
      <c r="H183">
        <f>IF(VLOOKUP(B183,Trades!A:M,4,FALSE)="Long",(F183-VLOOKUP(B183,Trades!A:M,6,FALSE))*G183,(VLOOKUP(B183,Trades!A:M,6,FALSE)-F183)*G183)</f>
        <v>41.03</v>
      </c>
      <c r="I183">
        <f>H183/VLOOKUP(B183,Trades!A$1:$M$100361,9,FALSE)</f>
        <v>3.3603603603603545</v>
      </c>
    </row>
    <row r="184" spans="1:9" x14ac:dyDescent="0.25">
      <c r="A184">
        <f t="shared" si="14"/>
        <v>183</v>
      </c>
      <c r="B184" t="s">
        <v>355</v>
      </c>
      <c r="C184" s="1">
        <v>46157</v>
      </c>
      <c r="D184" t="str">
        <f>VLOOKUP(B184,Trades!A$1:M100543,3,FALSE)</f>
        <v>NG</v>
      </c>
      <c r="E184" t="s">
        <v>61</v>
      </c>
      <c r="F184">
        <v>8.1999999999999993</v>
      </c>
      <c r="G184">
        <v>10</v>
      </c>
      <c r="H184">
        <f>IF(VLOOKUP(B184,Trades!A:M,4,FALSE)="Long",(F184-VLOOKUP(B184,Trades!A:M,6,FALSE))*G184,(VLOOKUP(B184,Trades!A:M,6,FALSE)-F184)*G184)</f>
        <v>3.3999999999999897</v>
      </c>
      <c r="I184">
        <f>H184/VLOOKUP(B184,Trades!A$1:$M$100361,9,FALSE)</f>
        <v>0.69387755102040571</v>
      </c>
    </row>
    <row r="185" spans="1:9" x14ac:dyDescent="0.25">
      <c r="A185">
        <f t="shared" si="14"/>
        <v>184</v>
      </c>
      <c r="B185" t="s">
        <v>313</v>
      </c>
      <c r="C185" s="1">
        <v>46157</v>
      </c>
      <c r="D185" t="str">
        <f>VLOOKUP(B185,Trades!A$1:M100544,3,FALSE)</f>
        <v>SMCI</v>
      </c>
      <c r="E185" t="s">
        <v>61</v>
      </c>
      <c r="F185">
        <v>30.92</v>
      </c>
      <c r="G185">
        <v>2</v>
      </c>
      <c r="H185">
        <f>IF(VLOOKUP(B185,Trades!A:M,4,FALSE)="Long",(F185-VLOOKUP(B185,Trades!A:M,6,FALSE))*G185,(VLOOKUP(B185,Trades!A:M,6,FALSE)-F185)*G185)</f>
        <v>6.7000000000000028</v>
      </c>
      <c r="I185">
        <f>H185/VLOOKUP(B185,Trades!A$1:$M$100361,9,FALSE)</f>
        <v>0.75112107623318403</v>
      </c>
    </row>
    <row r="186" spans="1:9" x14ac:dyDescent="0.25">
      <c r="A186">
        <f t="shared" si="14"/>
        <v>185</v>
      </c>
      <c r="B186" t="s">
        <v>356</v>
      </c>
      <c r="C186" s="1">
        <v>46157</v>
      </c>
      <c r="D186" t="str">
        <f>VLOOKUP(B186,Trades!A$1:M100545,3,FALSE)</f>
        <v>MU</v>
      </c>
      <c r="E186" t="s">
        <v>61</v>
      </c>
      <c r="F186">
        <v>725.34</v>
      </c>
      <c r="G186">
        <v>2</v>
      </c>
      <c r="H186">
        <f>IF(VLOOKUP(B186,Trades!A:M,4,FALSE)="Long",(F186-VLOOKUP(B186,Trades!A:M,6,FALSE))*G186,(VLOOKUP(B186,Trades!A:M,6,FALSE)-F186)*G186)</f>
        <v>-5.5399999999999636</v>
      </c>
      <c r="I186">
        <f>H186/VLOOKUP(B186,Trades!A$1:$M$100361,9,FALSE)</f>
        <v>-1</v>
      </c>
    </row>
    <row r="187" spans="1:9" x14ac:dyDescent="0.25">
      <c r="A187">
        <f t="shared" si="14"/>
        <v>186</v>
      </c>
      <c r="B187" t="s">
        <v>357</v>
      </c>
      <c r="C187" s="1">
        <v>46157</v>
      </c>
      <c r="D187" t="str">
        <f>VLOOKUP(B187,Trades!A$1:M100546,3,FALSE)</f>
        <v>MU</v>
      </c>
      <c r="E187" t="s">
        <v>61</v>
      </c>
      <c r="F187">
        <v>721.55</v>
      </c>
      <c r="G187">
        <v>2</v>
      </c>
      <c r="H187">
        <f>IF(VLOOKUP(B187,Trades!A:M,4,FALSE)="Long",(F187-VLOOKUP(B187,Trades!A:M,6,FALSE))*G187,(VLOOKUP(B187,Trades!A:M,6,FALSE)-F187)*G187)</f>
        <v>-3.9400000000000546</v>
      </c>
      <c r="I187">
        <f>H187/VLOOKUP(B187,Trades!A$1:$M$100361,9,FALSE)</f>
        <v>-0.97524752475249754</v>
      </c>
    </row>
    <row r="188" spans="1:9" x14ac:dyDescent="0.25">
      <c r="A188">
        <f t="shared" si="14"/>
        <v>187</v>
      </c>
      <c r="B188" t="s">
        <v>358</v>
      </c>
      <c r="C188" s="1">
        <v>46157</v>
      </c>
      <c r="D188" t="str">
        <f>VLOOKUP(B188,Trades!A$1:M100547,3,FALSE)</f>
        <v>RTX</v>
      </c>
      <c r="E188" t="s">
        <v>61</v>
      </c>
      <c r="F188">
        <v>174.32</v>
      </c>
      <c r="G188">
        <v>2</v>
      </c>
      <c r="H188">
        <f>IF(VLOOKUP(B188,Trades!A:M,4,FALSE)="Long",(F188-VLOOKUP(B188,Trades!A:M,6,FALSE))*G188,(VLOOKUP(B188,Trades!A:M,6,FALSE)-F188)*G188)</f>
        <v>-8.1800000000000068</v>
      </c>
      <c r="I188">
        <f>H188/VLOOKUP(B188,Trades!A$1:$M$100361,9,FALSE)</f>
        <v>-0.87768240343347781</v>
      </c>
    </row>
    <row r="189" spans="1:9" x14ac:dyDescent="0.25">
      <c r="A189">
        <f t="shared" si="14"/>
        <v>188</v>
      </c>
      <c r="B189" t="s">
        <v>360</v>
      </c>
      <c r="C189" s="1">
        <v>46157</v>
      </c>
      <c r="D189" t="str">
        <f>VLOOKUP(B189,Trades!A$1:M100548,3,FALSE)</f>
        <v>MSFT</v>
      </c>
      <c r="E189" t="s">
        <v>61</v>
      </c>
      <c r="F189">
        <v>421.83</v>
      </c>
      <c r="G189">
        <v>3</v>
      </c>
      <c r="H189">
        <f>IF(VLOOKUP(B189,Trades!A:M,4,FALSE)="Long",(F189-VLOOKUP(B189,Trades!A:M,6,FALSE))*G189,(VLOOKUP(B189,Trades!A:M,6,FALSE)-F189)*G189)</f>
        <v>-4.7400000000001228</v>
      </c>
      <c r="I189">
        <f>H189/VLOOKUP(B189,Trades!A$1:$M$100361,9,FALSE)</f>
        <v>-1</v>
      </c>
    </row>
    <row r="190" spans="1:9" x14ac:dyDescent="0.25">
      <c r="A190">
        <f t="shared" si="14"/>
        <v>189</v>
      </c>
      <c r="B190" t="s">
        <v>361</v>
      </c>
      <c r="C190" s="1">
        <v>46157</v>
      </c>
      <c r="D190" t="str">
        <f>VLOOKUP(B190,Trades!A$1:M100549,3,FALSE)</f>
        <v>NFLX</v>
      </c>
      <c r="E190" t="s">
        <v>61</v>
      </c>
      <c r="F190">
        <v>86.98</v>
      </c>
      <c r="G190">
        <v>10</v>
      </c>
      <c r="H190">
        <f>IF(VLOOKUP(B190,Trades!A:M,4,FALSE)="Long",(F190-VLOOKUP(B190,Trades!A:M,6,FALSE))*G190,(VLOOKUP(B190,Trades!A:M,6,FALSE)-F190)*G190)</f>
        <v>-4.7999999999998977</v>
      </c>
      <c r="I190">
        <f>H190/VLOOKUP(B190,Trades!A$1:$M$100361,9,FALSE)</f>
        <v>-1.0212765957446615</v>
      </c>
    </row>
    <row r="191" spans="1:9" x14ac:dyDescent="0.25">
      <c r="A191">
        <f t="shared" si="14"/>
        <v>190</v>
      </c>
      <c r="B191" t="s">
        <v>362</v>
      </c>
      <c r="C191" s="1">
        <v>46157</v>
      </c>
      <c r="D191" t="str">
        <f>VLOOKUP(B191,Trades!A$1:M100550,3,FALSE)</f>
        <v>WMT</v>
      </c>
      <c r="E191" t="s">
        <v>61</v>
      </c>
      <c r="F191">
        <v>131.13</v>
      </c>
      <c r="G191">
        <v>4</v>
      </c>
      <c r="H191">
        <f>IF(VLOOKUP(B191,Trades!A:M,4,FALSE)="Long",(F191-VLOOKUP(B191,Trades!A:M,6,FALSE))*G191,(VLOOKUP(B191,Trades!A:M,6,FALSE)-F191)*G191)</f>
        <v>-4.1200000000000045</v>
      </c>
      <c r="I191">
        <f>H191/VLOOKUP(B191,Trades!A$1:$M$100361,9,FALSE)</f>
        <v>-1.0300000000000011</v>
      </c>
    </row>
    <row r="192" spans="1:9" x14ac:dyDescent="0.25">
      <c r="A192">
        <f t="shared" si="14"/>
        <v>191</v>
      </c>
      <c r="B192" t="s">
        <v>363</v>
      </c>
      <c r="C192" s="1">
        <v>46157</v>
      </c>
      <c r="D192" t="str">
        <f>VLOOKUP(B192,Trades!A$1:M100551,3,FALSE)</f>
        <v>MSFT</v>
      </c>
      <c r="E192" t="s">
        <v>61</v>
      </c>
      <c r="F192">
        <v>426.68</v>
      </c>
      <c r="G192">
        <v>3</v>
      </c>
      <c r="H192">
        <f>IF(VLOOKUP(B192,Trades!A:M,4,FALSE)="Long",(F192-VLOOKUP(B192,Trades!A:M,6,FALSE))*G192,(VLOOKUP(B192,Trades!A:M,6,FALSE)-F192)*G192)</f>
        <v>17.550000000000068</v>
      </c>
      <c r="I192">
        <f>H192/VLOOKUP(B192,Trades!A$1:$M$100361,9,FALSE)</f>
        <v>4.9576271186440586</v>
      </c>
    </row>
    <row r="193" spans="1:9" x14ac:dyDescent="0.25">
      <c r="A193">
        <f t="shared" ref="A193:A198" si="15">ROW()-1</f>
        <v>192</v>
      </c>
      <c r="B193" t="s">
        <v>364</v>
      </c>
      <c r="C193" s="1">
        <v>46160</v>
      </c>
      <c r="D193" t="str">
        <f>VLOOKUP(B193,Trades!A$1:M100552,3,FALSE)</f>
        <v>NVDA</v>
      </c>
      <c r="E193" t="s">
        <v>61</v>
      </c>
      <c r="F193">
        <v>226.93</v>
      </c>
      <c r="G193">
        <v>4</v>
      </c>
      <c r="H193">
        <f>IF(VLOOKUP(B193,Trades!A:M,4,FALSE)="Long",(F193-VLOOKUP(B193,Trades!A:M,6,FALSE))*G193,(VLOOKUP(B193,Trades!A:M,6,FALSE)-F193)*G193)</f>
        <v>-7.9599999999999227</v>
      </c>
      <c r="I193">
        <f>H193/VLOOKUP(B193,Trades!A$1:$M$100361,9,FALSE)</f>
        <v>-0.99499999999999034</v>
      </c>
    </row>
    <row r="194" spans="1:9" x14ac:dyDescent="0.25">
      <c r="A194">
        <f t="shared" si="15"/>
        <v>193</v>
      </c>
      <c r="B194" t="s">
        <v>365</v>
      </c>
      <c r="C194" s="1">
        <v>46160</v>
      </c>
      <c r="D194" t="str">
        <f>VLOOKUP(B194,Trades!A$1:M100553,3,FALSE)</f>
        <v>MU</v>
      </c>
      <c r="E194" t="s">
        <v>61</v>
      </c>
      <c r="F194">
        <v>719</v>
      </c>
      <c r="G194">
        <v>2</v>
      </c>
      <c r="H194">
        <f>IF(VLOOKUP(B194,Trades!A:M,4,FALSE)="Long",(F194-VLOOKUP(B194,Trades!A:M,6,FALSE))*G194,(VLOOKUP(B194,Trades!A:M,6,FALSE)-F194)*G194)</f>
        <v>-4</v>
      </c>
      <c r="I194">
        <f>H194/VLOOKUP(B194,Trades!A$1:$M$100361,9,FALSE)</f>
        <v>-0.66666666666666663</v>
      </c>
    </row>
    <row r="195" spans="1:9" x14ac:dyDescent="0.25">
      <c r="A195">
        <f t="shared" si="15"/>
        <v>194</v>
      </c>
      <c r="B195" t="s">
        <v>366</v>
      </c>
      <c r="C195" s="1">
        <v>46160</v>
      </c>
      <c r="D195" t="str">
        <f>VLOOKUP(B195,Trades!A$1:M100554,3,FALSE)</f>
        <v>MU</v>
      </c>
      <c r="E195" t="s">
        <v>61</v>
      </c>
      <c r="F195">
        <v>710.64</v>
      </c>
      <c r="G195">
        <v>2</v>
      </c>
      <c r="H195">
        <f>IF(VLOOKUP(B195,Trades!A:M,4,FALSE)="Long",(F195-VLOOKUP(B195,Trades!A:M,6,FALSE))*G195,(VLOOKUP(B195,Trades!A:M,6,FALSE)-F195)*G195)</f>
        <v>-10.5</v>
      </c>
      <c r="I195">
        <f>H195/VLOOKUP(B195,Trades!A$1:$M$100361,9,FALSE)</f>
        <v>-1.1931818181818243</v>
      </c>
    </row>
    <row r="196" spans="1:9" x14ac:dyDescent="0.25">
      <c r="A196">
        <f t="shared" si="15"/>
        <v>195</v>
      </c>
      <c r="B196" t="s">
        <v>367</v>
      </c>
      <c r="C196" s="1">
        <v>46160</v>
      </c>
      <c r="D196" t="str">
        <f>VLOOKUP(B196,Trades!A$1:M100555,3,FALSE)</f>
        <v>NVDA</v>
      </c>
      <c r="E196" t="s">
        <v>61</v>
      </c>
      <c r="F196">
        <v>223.19</v>
      </c>
      <c r="G196">
        <v>4</v>
      </c>
      <c r="H196">
        <f>IF(VLOOKUP(B196,Trades!A:M,4,FALSE)="Long",(F196-VLOOKUP(B196,Trades!A:M,6,FALSE))*G196,(VLOOKUP(B196,Trades!A:M,6,FALSE)-F196)*G196)</f>
        <v>-6.32000000000005</v>
      </c>
      <c r="I196">
        <f>H196/VLOOKUP(B196,Trades!A$1:$M$100361,9,FALSE)</f>
        <v>-1.0533333333333417</v>
      </c>
    </row>
    <row r="197" spans="1:9" x14ac:dyDescent="0.25">
      <c r="A197">
        <f t="shared" si="15"/>
        <v>196</v>
      </c>
      <c r="B197" t="s">
        <v>368</v>
      </c>
      <c r="C197" s="1">
        <v>46160</v>
      </c>
      <c r="D197" t="str">
        <f>VLOOKUP(B197,Trades!A$1:M100556,3,FALSE)</f>
        <v>GOOG</v>
      </c>
      <c r="E197" t="s">
        <v>61</v>
      </c>
      <c r="F197">
        <v>397.03</v>
      </c>
      <c r="G197">
        <v>3</v>
      </c>
      <c r="H197">
        <f>IF(VLOOKUP(B197,Trades!A:M,4,FALSE)="Long",(F197-VLOOKUP(B197,Trades!A:M,6,FALSE))*G197,(VLOOKUP(B197,Trades!A:M,6,FALSE)-F197)*G197)</f>
        <v>-5.9400000000000546</v>
      </c>
      <c r="I197">
        <f>H197/VLOOKUP(B197,Trades!A$1:$M$100361,9,FALSE)</f>
        <v>-0.99000000000000909</v>
      </c>
    </row>
    <row r="198" spans="1:9" x14ac:dyDescent="0.25">
      <c r="A198">
        <f t="shared" si="15"/>
        <v>197</v>
      </c>
      <c r="B198" t="s">
        <v>369</v>
      </c>
      <c r="C198" s="1">
        <v>46160</v>
      </c>
      <c r="D198" t="str">
        <f>VLOOKUP(B198,Trades!A$1:M100557,3,FALSE)</f>
        <v>AMZN</v>
      </c>
      <c r="E198" t="s">
        <v>61</v>
      </c>
      <c r="F198">
        <v>265.32</v>
      </c>
      <c r="G198">
        <v>4</v>
      </c>
      <c r="H198">
        <f>IF(VLOOKUP(B198,Trades!A:M,4,FALSE)="Long",(F198-VLOOKUP(B198,Trades!A:M,6,FALSE))*G198,(VLOOKUP(B198,Trades!A:M,6,FALSE)-F198)*G198)</f>
        <v>-5.1200000000001182</v>
      </c>
      <c r="I198">
        <f>H198/VLOOKUP(B198,Trades!A$1:$M$100361,9,FALSE)</f>
        <v>-1.0240000000000236</v>
      </c>
    </row>
    <row r="199" spans="1:9" x14ac:dyDescent="0.25">
      <c r="A199">
        <f t="shared" ref="A199:A205" si="16">ROW()-1</f>
        <v>198</v>
      </c>
      <c r="B199" t="s">
        <v>371</v>
      </c>
      <c r="C199" s="1">
        <v>46161</v>
      </c>
      <c r="D199" t="str">
        <f>VLOOKUP(B199,Trades!A$1:M100558,3,FALSE)</f>
        <v>MSFT</v>
      </c>
      <c r="E199" t="s">
        <v>61</v>
      </c>
      <c r="F199">
        <v>422.93</v>
      </c>
      <c r="G199">
        <v>2</v>
      </c>
      <c r="H199">
        <f>IF(VLOOKUP(B199,Trades!A:M,4,FALSE)="Long",(F199-VLOOKUP(B199,Trades!A:M,6,FALSE))*G199,(VLOOKUP(B199,Trades!A:M,6,FALSE)-F199)*G199)</f>
        <v>-6.0399999999999636</v>
      </c>
      <c r="I199">
        <f>H199/VLOOKUP(B199,Trades!A$1:$M$100361,9,FALSE)</f>
        <v>-1.0237288135593199</v>
      </c>
    </row>
    <row r="200" spans="1:9" x14ac:dyDescent="0.25">
      <c r="A200">
        <f t="shared" si="16"/>
        <v>199</v>
      </c>
      <c r="B200" t="s">
        <v>372</v>
      </c>
      <c r="C200" s="1">
        <v>46161</v>
      </c>
      <c r="D200" t="str">
        <f>VLOOKUP(B200,Trades!A$1:M100559,3,FALSE)</f>
        <v>MU</v>
      </c>
      <c r="E200" t="s">
        <v>61</v>
      </c>
      <c r="F200">
        <v>689.25</v>
      </c>
      <c r="G200">
        <v>3</v>
      </c>
      <c r="H200">
        <f>IF(VLOOKUP(B200,Trades!A:M,4,FALSE)="Long",(F200-VLOOKUP(B200,Trades!A:M,6,FALSE))*G200,(VLOOKUP(B200,Trades!A:M,6,FALSE)-F200)*G200)</f>
        <v>45.96000000000015</v>
      </c>
      <c r="I200">
        <f>H200/VLOOKUP(B200,Trades!A$1:$M$100361,9,FALSE)</f>
        <v>3.8300000000000125</v>
      </c>
    </row>
    <row r="201" spans="1:9" x14ac:dyDescent="0.25">
      <c r="A201">
        <f t="shared" si="16"/>
        <v>200</v>
      </c>
      <c r="B201" t="s">
        <v>372</v>
      </c>
      <c r="C201" s="1">
        <v>46161</v>
      </c>
      <c r="D201" t="str">
        <f>VLOOKUP(B201,Trades!A$1:M100560,3,FALSE)</f>
        <v>MU</v>
      </c>
      <c r="E201" t="s">
        <v>61</v>
      </c>
      <c r="F201">
        <v>699.98</v>
      </c>
      <c r="G201">
        <v>1</v>
      </c>
      <c r="H201">
        <f>IF(VLOOKUP(B201,Trades!A:M,4,FALSE)="Long",(F201-VLOOKUP(B201,Trades!A:M,6,FALSE))*G201,(VLOOKUP(B201,Trades!A:M,6,FALSE)-F201)*G201)</f>
        <v>26.050000000000068</v>
      </c>
      <c r="I201">
        <f>H201/VLOOKUP(B201,Trades!A$1:$M$100361,9,FALSE)</f>
        <v>2.1708333333333392</v>
      </c>
    </row>
    <row r="202" spans="1:9" x14ac:dyDescent="0.25">
      <c r="A202">
        <f t="shared" si="16"/>
        <v>201</v>
      </c>
      <c r="B202" t="s">
        <v>373</v>
      </c>
      <c r="C202" s="1">
        <v>46161</v>
      </c>
      <c r="D202" t="str">
        <f>VLOOKUP(B202,Trades!A$1:M100561,3,FALSE)</f>
        <v>NVDA</v>
      </c>
      <c r="E202" t="s">
        <v>61</v>
      </c>
      <c r="F202">
        <v>222.92</v>
      </c>
      <c r="G202">
        <v>5</v>
      </c>
      <c r="H202">
        <f>IF(VLOOKUP(B202,Trades!A:M,4,FALSE)="Long",(F202-VLOOKUP(B202,Trades!A:M,6,FALSE))*G202,(VLOOKUP(B202,Trades!A:M,6,FALSE)-F202)*G202)</f>
        <v>11.599999999999966</v>
      </c>
      <c r="I202">
        <f>H202/VLOOKUP(B202,Trades!A$1:$M$100361,9,FALSE)</f>
        <v>2.3199999999999932</v>
      </c>
    </row>
    <row r="203" spans="1:9" x14ac:dyDescent="0.25">
      <c r="A203">
        <f t="shared" si="16"/>
        <v>202</v>
      </c>
      <c r="B203" t="s">
        <v>374</v>
      </c>
      <c r="C203" s="1">
        <v>46161</v>
      </c>
      <c r="D203" t="str">
        <f>VLOOKUP(B203,Trades!A$1:M100562,3,FALSE)</f>
        <v>AAPL</v>
      </c>
      <c r="E203" t="s">
        <v>61</v>
      </c>
      <c r="F203">
        <v>298.35000000000002</v>
      </c>
      <c r="G203">
        <v>4</v>
      </c>
      <c r="H203">
        <f>IF(VLOOKUP(B203,Trades!A:M,4,FALSE)="Long",(F203-VLOOKUP(B203,Trades!A:M,6,FALSE))*G203,(VLOOKUP(B203,Trades!A:M,6,FALSE)-F203)*G203)</f>
        <v>2.5199999999999818</v>
      </c>
      <c r="I203">
        <f>H203/VLOOKUP(B203,Trades!A$1:$M$100361,9,FALSE)</f>
        <v>0.62999999999999545</v>
      </c>
    </row>
    <row r="204" spans="1:9" x14ac:dyDescent="0.25">
      <c r="A204">
        <f t="shared" si="16"/>
        <v>203</v>
      </c>
      <c r="B204" t="s">
        <v>375</v>
      </c>
      <c r="C204" s="1">
        <v>46161</v>
      </c>
      <c r="D204" t="str">
        <f>VLOOKUP(B204,Trades!A$1:M100563,3,FALSE)</f>
        <v>PLTR</v>
      </c>
      <c r="E204" t="s">
        <v>61</v>
      </c>
      <c r="F204">
        <v>135.46</v>
      </c>
      <c r="G204">
        <v>8</v>
      </c>
      <c r="H204">
        <f>IF(VLOOKUP(B204,Trades!A:M,4,FALSE)="Long",(F204-VLOOKUP(B204,Trades!A:M,6,FALSE))*G204,(VLOOKUP(B204,Trades!A:M,6,FALSE)-F204)*G204)</f>
        <v>3.6000000000001364</v>
      </c>
      <c r="I204">
        <f>H204/VLOOKUP(B204,Trades!A$1:$M$100361,9,FALSE)</f>
        <v>0.59210526315792422</v>
      </c>
    </row>
    <row r="205" spans="1:9" x14ac:dyDescent="0.25">
      <c r="A205">
        <f t="shared" si="16"/>
        <v>204</v>
      </c>
      <c r="B205" t="s">
        <v>376</v>
      </c>
      <c r="C205" s="1">
        <v>46161</v>
      </c>
      <c r="D205" t="str">
        <f>VLOOKUP(B205,Trades!A$1:M100564,3,FALSE)</f>
        <v>GOOG</v>
      </c>
      <c r="E205" t="s">
        <v>61</v>
      </c>
      <c r="F205">
        <v>384.81</v>
      </c>
      <c r="G205">
        <v>2</v>
      </c>
      <c r="H205">
        <f>IF(VLOOKUP(B205,Trades!A:M,4,FALSE)="Long",(F205-VLOOKUP(B205,Trades!A:M,6,FALSE))*G205,(VLOOKUP(B205,Trades!A:M,6,FALSE)-F205)*G205)</f>
        <v>-3.6599999999999682</v>
      </c>
      <c r="I205">
        <f>H205/VLOOKUP(B205,Trades!A$1:$M$100361,9,FALSE)</f>
        <v>-0.73199999999999366</v>
      </c>
    </row>
    <row r="206" spans="1:9" x14ac:dyDescent="0.25">
      <c r="A206">
        <f t="shared" ref="A206:A211" si="17">ROW()-1</f>
        <v>205</v>
      </c>
      <c r="B206" t="s">
        <v>377</v>
      </c>
      <c r="C206" s="1">
        <v>46162</v>
      </c>
      <c r="D206" t="str">
        <f>VLOOKUP(B206,Trades!A$1:M100565,3,FALSE)</f>
        <v>INTC</v>
      </c>
      <c r="E206" t="s">
        <v>61</v>
      </c>
      <c r="F206">
        <v>120.73</v>
      </c>
      <c r="G206">
        <v>4</v>
      </c>
      <c r="H206">
        <f>IF(VLOOKUP(B206,Trades!A:M,4,FALSE)="Long",(F206-VLOOKUP(B206,Trades!A:M,6,FALSE))*G206,(VLOOKUP(B206,Trades!A:M,6,FALSE)-F206)*G206)</f>
        <v>15.360000000000014</v>
      </c>
      <c r="I206">
        <f>H206/VLOOKUP(B206,Trades!A$1:$M$100361,9,FALSE)</f>
        <v>2.5600000000000023</v>
      </c>
    </row>
    <row r="207" spans="1:9" x14ac:dyDescent="0.25">
      <c r="A207">
        <f t="shared" si="17"/>
        <v>206</v>
      </c>
      <c r="B207" t="s">
        <v>377</v>
      </c>
      <c r="C207" s="1">
        <v>46162</v>
      </c>
      <c r="D207" t="str">
        <f>VLOOKUP(B207,Trades!A$1:M100566,3,FALSE)</f>
        <v>INTC</v>
      </c>
      <c r="E207" t="s">
        <v>61</v>
      </c>
      <c r="F207">
        <v>118.2</v>
      </c>
      <c r="G207">
        <v>2</v>
      </c>
      <c r="H207">
        <f>IF(VLOOKUP(B207,Trades!A:M,4,FALSE)="Long",(F207-VLOOKUP(B207,Trades!A:M,6,FALSE))*G207,(VLOOKUP(B207,Trades!A:M,6,FALSE)-F207)*G207)</f>
        <v>2.6200000000000045</v>
      </c>
      <c r="I207">
        <f>H207/VLOOKUP(B207,Trades!A$1:$M$100361,9,FALSE)</f>
        <v>0.43666666666666742</v>
      </c>
    </row>
    <row r="208" spans="1:9" x14ac:dyDescent="0.25">
      <c r="A208">
        <f t="shared" si="17"/>
        <v>207</v>
      </c>
      <c r="B208" t="s">
        <v>378</v>
      </c>
      <c r="C208" s="1">
        <v>46162</v>
      </c>
      <c r="D208" t="str">
        <f>VLOOKUP(B208,Trades!A$1:M100567,3,FALSE)</f>
        <v>INTC</v>
      </c>
      <c r="E208" t="s">
        <v>61</v>
      </c>
      <c r="F208">
        <v>116.21</v>
      </c>
      <c r="G208">
        <v>6</v>
      </c>
      <c r="H208">
        <f>IF(VLOOKUP(B208,Trades!A:M,4,FALSE)="Long",(F208-VLOOKUP(B208,Trades!A:M,6,FALSE))*G208,(VLOOKUP(B208,Trades!A:M,6,FALSE)-F208)*G208)</f>
        <v>-8.2200000000000273</v>
      </c>
      <c r="I208">
        <f>H208/VLOOKUP(B208,Trades!A$1:$M$100361,9,FALSE)</f>
        <v>-1.0703125000000027</v>
      </c>
    </row>
    <row r="209" spans="1:9" x14ac:dyDescent="0.25">
      <c r="A209">
        <f t="shared" si="17"/>
        <v>208</v>
      </c>
      <c r="B209" t="s">
        <v>380</v>
      </c>
      <c r="C209" s="1">
        <v>46162</v>
      </c>
      <c r="D209" t="str">
        <f>VLOOKUP(B209,Trades!A$1:M100568,3,FALSE)</f>
        <v>MU</v>
      </c>
      <c r="E209" t="s">
        <v>61</v>
      </c>
      <c r="F209">
        <v>725.76</v>
      </c>
      <c r="G209">
        <v>4</v>
      </c>
      <c r="H209">
        <f>IF(VLOOKUP(B209,Trades!A:M,4,FALSE)="Long",(F209-VLOOKUP(B209,Trades!A:M,6,FALSE))*G209,(VLOOKUP(B209,Trades!A:M,6,FALSE)-F209)*G209)</f>
        <v>12.480000000000018</v>
      </c>
      <c r="I209">
        <f>H209/VLOOKUP(B209,Trades!A$1:$M$100361,9,FALSE)</f>
        <v>0.36533957845433462</v>
      </c>
    </row>
    <row r="210" spans="1:9" x14ac:dyDescent="0.25">
      <c r="A210">
        <f t="shared" si="17"/>
        <v>209</v>
      </c>
      <c r="B210" t="s">
        <v>379</v>
      </c>
      <c r="C210" s="1">
        <v>46162</v>
      </c>
      <c r="D210" t="str">
        <f>VLOOKUP(B210,Trades!A$1:M100569,3,FALSE)</f>
        <v>AMZN</v>
      </c>
      <c r="E210" t="s">
        <v>61</v>
      </c>
      <c r="F210">
        <v>264.20999999999998</v>
      </c>
      <c r="G210">
        <v>4</v>
      </c>
      <c r="H210">
        <f>IF(VLOOKUP(B210,Trades!A:M,4,FALSE)="Long",(F210-VLOOKUP(B210,Trades!A:M,6,FALSE))*G210,(VLOOKUP(B210,Trades!A:M,6,FALSE)-F210)*G210)</f>
        <v>6.0399999999999636</v>
      </c>
      <c r="I210">
        <f>H210/VLOOKUP(B210,Trades!A$1:$M$100361,9,FALSE)</f>
        <v>1.5099999999999909</v>
      </c>
    </row>
    <row r="211" spans="1:9" x14ac:dyDescent="0.25">
      <c r="A211">
        <f t="shared" si="17"/>
        <v>210</v>
      </c>
      <c r="B211" t="s">
        <v>381</v>
      </c>
      <c r="C211" s="1">
        <v>46162</v>
      </c>
      <c r="D211" t="str">
        <f>VLOOKUP(B211,Trades!A$1:M100570,3,FALSE)</f>
        <v>ARM</v>
      </c>
      <c r="E211" t="s">
        <v>61</v>
      </c>
      <c r="F211">
        <v>255.68</v>
      </c>
      <c r="G211">
        <v>3</v>
      </c>
      <c r="H211">
        <f>IF(VLOOKUP(B211,Trades!A:M,4,FALSE)="Long",(F211-VLOOKUP(B211,Trades!A:M,6,FALSE))*G211,(VLOOKUP(B211,Trades!A:M,6,FALSE)-F211)*G211)</f>
        <v>8.8199999999999932</v>
      </c>
      <c r="I211">
        <f>H211/VLOOKUP(B211,Trades!A$1:$M$100361,9,FALSE)</f>
        <v>1.8490566037735796</v>
      </c>
    </row>
    <row r="212" spans="1:9" x14ac:dyDescent="0.25">
      <c r="A212">
        <f t="shared" ref="A212:A217" si="18">ROW()-1</f>
        <v>211</v>
      </c>
      <c r="B212" t="s">
        <v>382</v>
      </c>
      <c r="C212" s="1">
        <v>46163</v>
      </c>
      <c r="D212" t="str">
        <f>VLOOKUP(B212,Trades!A$1:M100571,3,FALSE)</f>
        <v>MSFT</v>
      </c>
      <c r="E212" t="s">
        <v>61</v>
      </c>
      <c r="F212">
        <v>420.63</v>
      </c>
      <c r="G212">
        <v>3</v>
      </c>
      <c r="H212">
        <f>IF(VLOOKUP(B212,Trades!A:M,4,FALSE)="Long",(F212-VLOOKUP(B212,Trades!A:M,6,FALSE))*G212,(VLOOKUP(B212,Trades!A:M,6,FALSE)-F212)*G212)</f>
        <v>-5.8799999999999386</v>
      </c>
      <c r="I212">
        <f>H212/VLOOKUP(B212,Trades!A$1:$M$100361,9,FALSE)</f>
        <v>-0.98492462311559126</v>
      </c>
    </row>
    <row r="213" spans="1:9" x14ac:dyDescent="0.25">
      <c r="A213">
        <f t="shared" si="18"/>
        <v>212</v>
      </c>
      <c r="B213" t="s">
        <v>384</v>
      </c>
      <c r="C213" s="1">
        <v>46163</v>
      </c>
      <c r="D213" t="str">
        <f>VLOOKUP(B213,Trades!A$1:M100572,3,FALSE)</f>
        <v>CRWD</v>
      </c>
      <c r="E213" t="s">
        <v>61</v>
      </c>
      <c r="F213">
        <v>649.42999999999995</v>
      </c>
      <c r="G213">
        <v>2</v>
      </c>
      <c r="H213">
        <f>IF(VLOOKUP(B213,Trades!A:M,4,FALSE)="Long",(F213-VLOOKUP(B213,Trades!A:M,6,FALSE))*G213,(VLOOKUP(B213,Trades!A:M,6,FALSE)-F213)*G213)</f>
        <v>-8.5800000000001546</v>
      </c>
      <c r="I213">
        <f>H213/VLOOKUP(B213,Trades!A$1:$M$100361,9,FALSE)</f>
        <v>-1.0725000000000193</v>
      </c>
    </row>
    <row r="214" spans="1:9" x14ac:dyDescent="0.25">
      <c r="A214">
        <f t="shared" si="18"/>
        <v>213</v>
      </c>
      <c r="B214" t="s">
        <v>386</v>
      </c>
      <c r="C214" s="1">
        <v>46163</v>
      </c>
      <c r="D214" t="str">
        <f>VLOOKUP(B214,Trades!A$1:M100573,3,FALSE)</f>
        <v>MU</v>
      </c>
      <c r="E214" t="s">
        <v>61</v>
      </c>
      <c r="F214">
        <v>754.12</v>
      </c>
      <c r="G214">
        <v>2</v>
      </c>
      <c r="H214">
        <f>IF(VLOOKUP(B214,Trades!A:M,4,FALSE)="Long",(F214-VLOOKUP(B214,Trades!A:M,6,FALSE))*G214,(VLOOKUP(B214,Trades!A:M,6,FALSE)-F214)*G214)</f>
        <v>17.779999999999973</v>
      </c>
      <c r="I214">
        <f>H214/VLOOKUP(B214,Trades!A$1:$M$100361,9,FALSE)</f>
        <v>2.2224999999999966</v>
      </c>
    </row>
    <row r="215" spans="1:9" x14ac:dyDescent="0.25">
      <c r="A215">
        <f t="shared" si="18"/>
        <v>214</v>
      </c>
      <c r="B215" t="s">
        <v>388</v>
      </c>
      <c r="C215" s="1">
        <v>46163</v>
      </c>
      <c r="D215" t="str">
        <f>VLOOKUP(B215,Trades!A$1:M100574,3,FALSE)</f>
        <v>CRWD</v>
      </c>
      <c r="E215" t="s">
        <v>61</v>
      </c>
      <c r="F215">
        <v>645.34</v>
      </c>
      <c r="G215">
        <v>2</v>
      </c>
      <c r="H215">
        <f>IF(VLOOKUP(B215,Trades!A:M,4,FALSE)="Long",(F215-VLOOKUP(B215,Trades!A:M,6,FALSE))*G215,(VLOOKUP(B215,Trades!A:M,6,FALSE)-F215)*G215)</f>
        <v>-6.7599999999999909</v>
      </c>
      <c r="I215">
        <f>H215/VLOOKUP(B215,Trades!A$1:$M$100361,9,FALSE)</f>
        <v>-1.1266666666666652</v>
      </c>
    </row>
    <row r="216" spans="1:9" x14ac:dyDescent="0.25">
      <c r="A216">
        <f t="shared" si="18"/>
        <v>215</v>
      </c>
      <c r="B216" t="s">
        <v>389</v>
      </c>
      <c r="C216" s="1">
        <v>46163</v>
      </c>
      <c r="D216" t="str">
        <f>VLOOKUP(B216,Trades!A$1:M100575,3,FALSE)</f>
        <v>AVGO</v>
      </c>
      <c r="E216" t="s">
        <v>61</v>
      </c>
      <c r="F216">
        <v>413.89</v>
      </c>
      <c r="G216">
        <v>3</v>
      </c>
      <c r="H216">
        <f>IF(VLOOKUP(B216,Trades!A:M,4,FALSE)="Long",(F216-VLOOKUP(B216,Trades!A:M,6,FALSE))*G216,(VLOOKUP(B216,Trades!A:M,6,FALSE)-F216)*G216)</f>
        <v>3.5099999999998772</v>
      </c>
      <c r="I216">
        <f>H216/VLOOKUP(B216,Trades!A$1:$M$100361,9,FALSE)</f>
        <v>0.81249999999994083</v>
      </c>
    </row>
    <row r="217" spans="1:9" x14ac:dyDescent="0.25">
      <c r="A217">
        <f t="shared" si="18"/>
        <v>216</v>
      </c>
      <c r="B217" t="s">
        <v>390</v>
      </c>
      <c r="C217" s="1">
        <v>46163</v>
      </c>
      <c r="D217" t="str">
        <f>VLOOKUP(B217,Trades!A$1:M100576,3,FALSE)</f>
        <v>NVDA</v>
      </c>
      <c r="E217" t="s">
        <v>61</v>
      </c>
      <c r="F217">
        <v>220.49</v>
      </c>
      <c r="G217">
        <v>4</v>
      </c>
      <c r="H217">
        <f>IF(VLOOKUP(B217,Trades!A:M,4,FALSE)="Long",(F217-VLOOKUP(B217,Trades!A:M,6,FALSE))*G217,(VLOOKUP(B217,Trades!A:M,6,FALSE)-F217)*G217)</f>
        <v>-8.0799999999999272</v>
      </c>
      <c r="I217">
        <f>H217/VLOOKUP(B217,Trades!A$1:$M$100361,9,FALSE)</f>
        <v>-1.0099999999999909</v>
      </c>
    </row>
    <row r="218" spans="1:9" x14ac:dyDescent="0.25">
      <c r="A218">
        <f t="shared" ref="A218:A226" si="19">ROW()-1</f>
        <v>217</v>
      </c>
      <c r="B218" t="s">
        <v>391</v>
      </c>
      <c r="C218" s="1">
        <v>46164</v>
      </c>
      <c r="D218" t="str">
        <f>VLOOKUP(B218,Trades!A$1:M100577,3,FALSE)</f>
        <v>INTC</v>
      </c>
      <c r="E218" t="s">
        <v>61</v>
      </c>
      <c r="F218">
        <v>120.92</v>
      </c>
      <c r="G218">
        <v>6</v>
      </c>
      <c r="H218">
        <f>IF(VLOOKUP(B218,Trades!A:M,4,FALSE)="Long",(F218-VLOOKUP(B218,Trades!A:M,6,FALSE))*G218,(VLOOKUP(B218,Trades!A:M,6,FALSE)-F218)*G218)</f>
        <v>6.6599999999999966</v>
      </c>
      <c r="I218">
        <f>H218/VLOOKUP(B218,Trades!A$1:$M$100361,9,FALSE)</f>
        <v>1.1099999999999994</v>
      </c>
    </row>
    <row r="219" spans="1:9" x14ac:dyDescent="0.25">
      <c r="A219">
        <f t="shared" si="19"/>
        <v>218</v>
      </c>
      <c r="B219" t="s">
        <v>392</v>
      </c>
      <c r="C219" s="1">
        <v>46164</v>
      </c>
      <c r="D219" t="str">
        <f>VLOOKUP(B219,Trades!A$1:M100578,3,FALSE)</f>
        <v>AMD</v>
      </c>
      <c r="E219" t="s">
        <v>61</v>
      </c>
      <c r="F219">
        <v>469.33</v>
      </c>
      <c r="G219">
        <v>3</v>
      </c>
      <c r="H219">
        <f>IF(VLOOKUP(B219,Trades!A:M,4,FALSE)="Long",(F219-VLOOKUP(B219,Trades!A:M,6,FALSE))*G219,(VLOOKUP(B219,Trades!A:M,6,FALSE)-F219)*G219)</f>
        <v>-7.8600000000000136</v>
      </c>
      <c r="I219">
        <f>H219/VLOOKUP(B219,Trades!A$1:$M$100361,9,FALSE)</f>
        <v>-1.1696428571428543</v>
      </c>
    </row>
    <row r="220" spans="1:9" x14ac:dyDescent="0.25">
      <c r="A220">
        <f t="shared" si="19"/>
        <v>219</v>
      </c>
      <c r="B220" t="s">
        <v>393</v>
      </c>
      <c r="C220" s="1">
        <v>46164</v>
      </c>
      <c r="D220" t="str">
        <f>VLOOKUP(B220,Trades!A$1:M100579,3,FALSE)</f>
        <v>INTC</v>
      </c>
      <c r="E220" t="s">
        <v>61</v>
      </c>
      <c r="F220">
        <v>118.25</v>
      </c>
      <c r="G220">
        <v>6</v>
      </c>
      <c r="H220">
        <f>IF(VLOOKUP(B220,Trades!A:M,4,FALSE)="Long",(F220-VLOOKUP(B220,Trades!A:M,6,FALSE))*G220,(VLOOKUP(B220,Trades!A:M,6,FALSE)-F220)*G220)</f>
        <v>-8.2799999999999727</v>
      </c>
      <c r="I220">
        <f>H220/VLOOKUP(B220,Trades!A$1:$M$100361,9,FALSE)</f>
        <v>-1</v>
      </c>
    </row>
    <row r="221" spans="1:9" x14ac:dyDescent="0.25">
      <c r="A221">
        <f t="shared" si="19"/>
        <v>220</v>
      </c>
      <c r="B221" t="s">
        <v>394</v>
      </c>
      <c r="C221" s="1">
        <v>46164</v>
      </c>
      <c r="D221" t="str">
        <f>VLOOKUP(B221,Trades!A$1:M100580,3,FALSE)</f>
        <v>MSFT</v>
      </c>
      <c r="E221" t="s">
        <v>61</v>
      </c>
      <c r="F221">
        <v>418.63</v>
      </c>
      <c r="G221">
        <v>3</v>
      </c>
      <c r="H221">
        <f>IF(VLOOKUP(B221,Trades!A:M,4,FALSE)="Long",(F221-VLOOKUP(B221,Trades!A:M,6,FALSE))*G221,(VLOOKUP(B221,Trades!A:M,6,FALSE)-F221)*G221)</f>
        <v>-4.4400000000000546</v>
      </c>
      <c r="I221">
        <f>H221/VLOOKUP(B221,Trades!A$1:$M$100361,9,FALSE)</f>
        <v>-1.0422535211267616</v>
      </c>
    </row>
    <row r="222" spans="1:9" x14ac:dyDescent="0.25">
      <c r="A222">
        <f t="shared" si="19"/>
        <v>221</v>
      </c>
      <c r="B222" t="s">
        <v>395</v>
      </c>
      <c r="C222" s="1">
        <v>46164</v>
      </c>
      <c r="D222" t="str">
        <f>VLOOKUP(B222,Trades!A$1:M100581,3,FALSE)</f>
        <v>INTC</v>
      </c>
      <c r="E222" t="s">
        <v>61</v>
      </c>
      <c r="F222">
        <v>121.26</v>
      </c>
      <c r="G222">
        <v>6</v>
      </c>
      <c r="H222">
        <f>IF(VLOOKUP(B222,Trades!A:M,4,FALSE)="Long",(F222-VLOOKUP(B222,Trades!A:M,6,FALSE))*G222,(VLOOKUP(B222,Trades!A:M,6,FALSE)-F222)*G222)</f>
        <v>9.780000000000058</v>
      </c>
      <c r="I222">
        <f>H222/VLOOKUP(B222,Trades!A$1:$M$100361,9,FALSE)</f>
        <v>0.97023809523810522</v>
      </c>
    </row>
    <row r="223" spans="1:9" x14ac:dyDescent="0.25">
      <c r="A223">
        <f t="shared" si="19"/>
        <v>222</v>
      </c>
      <c r="B223" t="s">
        <v>396</v>
      </c>
      <c r="C223" s="1">
        <v>46164</v>
      </c>
      <c r="D223" t="str">
        <f>VLOOKUP(B223,Trades!A$1:M100582,3,FALSE)</f>
        <v>APPS</v>
      </c>
      <c r="E223" t="s">
        <v>61</v>
      </c>
      <c r="F223">
        <v>4.4800000000000004</v>
      </c>
      <c r="G223">
        <v>20</v>
      </c>
      <c r="H223">
        <f>IF(VLOOKUP(B223,Trades!A:M,4,FALSE)="Long",(F223-VLOOKUP(B223,Trades!A:M,6,FALSE))*G223,(VLOOKUP(B223,Trades!A:M,6,FALSE)-F223)*G223)</f>
        <v>10.200000000000005</v>
      </c>
      <c r="I223">
        <f>H223/VLOOKUP(B223,Trades!A$1:$M$100361,9,FALSE)</f>
        <v>2.0400000000000009</v>
      </c>
    </row>
    <row r="224" spans="1:9" x14ac:dyDescent="0.25">
      <c r="A224">
        <f t="shared" si="19"/>
        <v>223</v>
      </c>
      <c r="B224" t="s">
        <v>397</v>
      </c>
      <c r="C224" s="1">
        <v>46164</v>
      </c>
      <c r="D224" t="str">
        <f>VLOOKUP(B224,Trades!A$1:M100583,3,FALSE)</f>
        <v>MU</v>
      </c>
      <c r="E224" t="s">
        <v>61</v>
      </c>
      <c r="F224">
        <v>766.01</v>
      </c>
      <c r="G224">
        <v>2</v>
      </c>
      <c r="H224">
        <f>IF(VLOOKUP(B224,Trades!A:M,4,FALSE)="Long",(F224-VLOOKUP(B224,Trades!A:M,6,FALSE))*G224,(VLOOKUP(B224,Trades!A:M,6,FALSE)-F224)*G224)</f>
        <v>22.779999999999973</v>
      </c>
      <c r="I224">
        <f>H224/VLOOKUP(B224,Trades!A$1:$M$100361,9,FALSE)</f>
        <v>3.796666666666662</v>
      </c>
    </row>
    <row r="225" spans="1:9" x14ac:dyDescent="0.25">
      <c r="A225">
        <f t="shared" si="19"/>
        <v>224</v>
      </c>
      <c r="B225" t="s">
        <v>398</v>
      </c>
      <c r="C225" s="1">
        <v>46164</v>
      </c>
      <c r="D225" t="str">
        <f>VLOOKUP(B225,Trades!A$1:M100584,3,FALSE)</f>
        <v>AMD</v>
      </c>
      <c r="E225" t="s">
        <v>61</v>
      </c>
      <c r="F225">
        <v>468.86</v>
      </c>
      <c r="G225">
        <v>2</v>
      </c>
      <c r="H225">
        <f>IF(VLOOKUP(B225,Trades!A:M,4,FALSE)="Long",(F225-VLOOKUP(B225,Trades!A:M,6,FALSE))*G225,(VLOOKUP(B225,Trades!A:M,6,FALSE)-F225)*G225)</f>
        <v>-3.8999999999999773</v>
      </c>
      <c r="I225">
        <f>H225/VLOOKUP(B225,Trades!A$1:$M$100361,9,FALSE)</f>
        <v>-0.97499999999999432</v>
      </c>
    </row>
    <row r="226" spans="1:9" x14ac:dyDescent="0.25">
      <c r="A226">
        <f t="shared" si="19"/>
        <v>225</v>
      </c>
      <c r="B226" t="s">
        <v>400</v>
      </c>
      <c r="C226" s="1">
        <v>46164</v>
      </c>
      <c r="D226" t="str">
        <f>VLOOKUP(B226,Trades!A$1:M100585,3,FALSE)</f>
        <v>AMPY</v>
      </c>
      <c r="E226" t="s">
        <v>61</v>
      </c>
      <c r="F226">
        <v>4.9400000000000004</v>
      </c>
      <c r="G226">
        <v>20</v>
      </c>
      <c r="H226">
        <f>IF(VLOOKUP(B226,Trades!A:M,4,FALSE)="Long",(F226-VLOOKUP(B226,Trades!A:M,6,FALSE))*G226,(VLOOKUP(B226,Trades!A:M,6,FALSE)-F226)*G226)</f>
        <v>-6.1999999999999922</v>
      </c>
      <c r="I226">
        <f>H226/VLOOKUP(B226,Trades!A$1:$M$100361,9,FALSE)</f>
        <v>-1.0333333333333325</v>
      </c>
    </row>
    <row r="227" spans="1:9" x14ac:dyDescent="0.25">
      <c r="A227">
        <f t="shared" ref="A227:A235" si="20">ROW()-1</f>
        <v>226</v>
      </c>
      <c r="B227" t="s">
        <v>404</v>
      </c>
      <c r="C227" s="1">
        <v>46168</v>
      </c>
      <c r="D227" t="str">
        <f>VLOOKUP(B227,Trades!A$1:M100586,3,FALSE)</f>
        <v>VUZI</v>
      </c>
      <c r="E227" t="s">
        <v>61</v>
      </c>
      <c r="F227">
        <v>4.72</v>
      </c>
      <c r="G227">
        <v>10</v>
      </c>
      <c r="H227">
        <f>IF(VLOOKUP(B227,Trades!A:M,4,FALSE)="Long",(F227-VLOOKUP(B227,Trades!A:M,6,FALSE))*G227,(VLOOKUP(B227,Trades!A:M,6,FALSE)-F227)*G227)</f>
        <v>-4.7000000000000064</v>
      </c>
      <c r="I227">
        <f>H227/VLOOKUP(B227,Trades!A$1:$M$100361,9,FALSE)</f>
        <v>-1.0681818181818188</v>
      </c>
    </row>
    <row r="228" spans="1:9" x14ac:dyDescent="0.25">
      <c r="A228">
        <f t="shared" si="20"/>
        <v>227</v>
      </c>
      <c r="B228" t="s">
        <v>403</v>
      </c>
      <c r="C228" s="1">
        <v>46168</v>
      </c>
      <c r="D228" t="str">
        <f>VLOOKUP(B228,Trades!A$1:M100587,3,FALSE)</f>
        <v>INTC</v>
      </c>
      <c r="E228" t="s">
        <v>61</v>
      </c>
      <c r="F228">
        <v>122.86</v>
      </c>
      <c r="G228">
        <v>4</v>
      </c>
      <c r="H228">
        <f>IF(VLOOKUP(B228,Trades!A:M,4,FALSE)="Long",(F228-VLOOKUP(B228,Trades!A:M,6,FALSE))*G228,(VLOOKUP(B228,Trades!A:M,6,FALSE)-F228)*G228)</f>
        <v>15.360000000000014</v>
      </c>
      <c r="I228">
        <f>H228/VLOOKUP(B228,Trades!A$1:$M$100361,9,FALSE)</f>
        <v>1.9200000000000017</v>
      </c>
    </row>
    <row r="229" spans="1:9" x14ac:dyDescent="0.25">
      <c r="A229">
        <f t="shared" si="20"/>
        <v>228</v>
      </c>
      <c r="B229" t="s">
        <v>403</v>
      </c>
      <c r="C229" s="1">
        <v>46168</v>
      </c>
      <c r="D229" t="str">
        <f>VLOOKUP(B229,Trades!A$1:M100588,3,FALSE)</f>
        <v>INTC</v>
      </c>
      <c r="E229" t="s">
        <v>61</v>
      </c>
      <c r="F229">
        <v>121.23</v>
      </c>
      <c r="G229">
        <v>4</v>
      </c>
      <c r="H229">
        <f>IF(VLOOKUP(B229,Trades!A:M,4,FALSE)="Long",(F229-VLOOKUP(B229,Trades!A:M,6,FALSE))*G229,(VLOOKUP(B229,Trades!A:M,6,FALSE)-F229)*G229)</f>
        <v>8.8400000000000318</v>
      </c>
      <c r="I229">
        <f>H229/VLOOKUP(B229,Trades!A$1:$M$100361,9,FALSE)</f>
        <v>1.105000000000004</v>
      </c>
    </row>
    <row r="230" spans="1:9" x14ac:dyDescent="0.25">
      <c r="A230">
        <f t="shared" si="20"/>
        <v>229</v>
      </c>
      <c r="B230" t="s">
        <v>405</v>
      </c>
      <c r="C230" s="1">
        <v>46168</v>
      </c>
      <c r="D230" t="str">
        <f>VLOOKUP(B230,Trades!A$1:M100589,3,FALSE)</f>
        <v>MU</v>
      </c>
      <c r="E230" t="s">
        <v>61</v>
      </c>
      <c r="F230">
        <v>867.25</v>
      </c>
      <c r="G230">
        <v>2</v>
      </c>
      <c r="H230">
        <f>IF(VLOOKUP(B230,Trades!A:M,4,FALSE)="Long",(F230-VLOOKUP(B230,Trades!A:M,6,FALSE))*G230,(VLOOKUP(B230,Trades!A:M,6,FALSE)-F230)*G230)</f>
        <v>45.980000000000018</v>
      </c>
      <c r="I230">
        <f>H230/VLOOKUP(B230,Trades!A$1:$M$100361,9,FALSE)</f>
        <v>1.1495000000000004</v>
      </c>
    </row>
    <row r="231" spans="1:9" x14ac:dyDescent="0.25">
      <c r="A231">
        <f t="shared" si="20"/>
        <v>230</v>
      </c>
      <c r="B231" t="s">
        <v>308</v>
      </c>
      <c r="C231" s="1">
        <v>46168</v>
      </c>
      <c r="D231" t="str">
        <f>VLOOKUP(B231,Trades!A$1:M100590,3,FALSE)</f>
        <v>FROG</v>
      </c>
      <c r="E231" t="s">
        <v>61</v>
      </c>
      <c r="F231">
        <v>74.75</v>
      </c>
      <c r="G231">
        <v>2</v>
      </c>
      <c r="H231">
        <f>IF(VLOOKUP(B231,Trades!A:M,4,FALSE)="Long",(F231-VLOOKUP(B231,Trades!A:M,6,FALSE))*G231,(VLOOKUP(B231,Trades!A:M,6,FALSE)-F231)*G231)</f>
        <v>38.5</v>
      </c>
      <c r="I231">
        <f>H231/VLOOKUP(B231,Trades!A$1:$M$100361,9,FALSE)</f>
        <v>9.625</v>
      </c>
    </row>
    <row r="232" spans="1:9" x14ac:dyDescent="0.25">
      <c r="A232">
        <f t="shared" si="20"/>
        <v>231</v>
      </c>
      <c r="B232" t="s">
        <v>406</v>
      </c>
      <c r="C232" s="1">
        <v>46168</v>
      </c>
      <c r="D232" t="str">
        <f>VLOOKUP(B232,Trades!A$1:M100591,3,FALSE)</f>
        <v>HPQ</v>
      </c>
      <c r="E232" t="s">
        <v>61</v>
      </c>
      <c r="F232">
        <v>24.26</v>
      </c>
      <c r="G232">
        <v>8</v>
      </c>
      <c r="H232">
        <f>IF(VLOOKUP(B232,Trades!A:M,4,FALSE)="Long",(F232-VLOOKUP(B232,Trades!A:M,6,FALSE))*G232,(VLOOKUP(B232,Trades!A:M,6,FALSE)-F232)*G232)</f>
        <v>-8</v>
      </c>
      <c r="I232">
        <f>H232/VLOOKUP(B232,Trades!A$1:$M$100361,9,FALSE)</f>
        <v>-1</v>
      </c>
    </row>
    <row r="233" spans="1:9" x14ac:dyDescent="0.25">
      <c r="A233">
        <f t="shared" si="20"/>
        <v>232</v>
      </c>
      <c r="B233" t="s">
        <v>407</v>
      </c>
      <c r="C233" s="1">
        <v>46168</v>
      </c>
      <c r="D233" t="str">
        <f>VLOOKUP(B233,Trades!A$1:M100592,3,FALSE)</f>
        <v>NVDA</v>
      </c>
      <c r="E233" t="s">
        <v>61</v>
      </c>
      <c r="F233">
        <v>214.01</v>
      </c>
      <c r="G233">
        <v>4</v>
      </c>
      <c r="H233">
        <f>IF(VLOOKUP(B233,Trades!A:M,4,FALSE)="Long",(F233-VLOOKUP(B233,Trades!A:M,6,FALSE))*G233,(VLOOKUP(B233,Trades!A:M,6,FALSE)-F233)*G233)</f>
        <v>-4.0800000000000409</v>
      </c>
      <c r="I233">
        <f>H233/VLOOKUP(B233,Trades!A$1:$M$100361,9,FALSE)</f>
        <v>-1</v>
      </c>
    </row>
    <row r="234" spans="1:9" x14ac:dyDescent="0.25">
      <c r="A234">
        <f t="shared" si="20"/>
        <v>233</v>
      </c>
      <c r="B234" t="s">
        <v>408</v>
      </c>
      <c r="C234" s="1">
        <v>46168</v>
      </c>
      <c r="D234" t="str">
        <f>VLOOKUP(B234,Trades!A$1:M100593,3,FALSE)</f>
        <v>INTC</v>
      </c>
      <c r="E234" t="s">
        <v>61</v>
      </c>
      <c r="F234">
        <v>121.74</v>
      </c>
      <c r="G234">
        <v>8</v>
      </c>
      <c r="H234">
        <f>IF(VLOOKUP(B234,Trades!A:M,4,FALSE)="Long",(F234-VLOOKUP(B234,Trades!A:M,6,FALSE))*G234,(VLOOKUP(B234,Trades!A:M,6,FALSE)-F234)*G234)</f>
        <v>-6.32000000000005</v>
      </c>
      <c r="I234">
        <f>H234/VLOOKUP(B234,Trades!A$1:$M$100361,9,FALSE)</f>
        <v>-1</v>
      </c>
    </row>
    <row r="235" spans="1:9" x14ac:dyDescent="0.25">
      <c r="A235">
        <f t="shared" si="20"/>
        <v>234</v>
      </c>
      <c r="B235" t="s">
        <v>409</v>
      </c>
      <c r="C235" s="1">
        <v>46168</v>
      </c>
      <c r="D235" t="str">
        <f>VLOOKUP(B235,Trades!A$1:M100594,3,FALSE)</f>
        <v>MU</v>
      </c>
      <c r="E235" t="s">
        <v>61</v>
      </c>
      <c r="F235">
        <v>879.44</v>
      </c>
      <c r="G235">
        <v>3</v>
      </c>
      <c r="H235">
        <f>IF(VLOOKUP(B235,Trades!A:M,4,FALSE)="Long",(F235-VLOOKUP(B235,Trades!A:M,6,FALSE))*G235,(VLOOKUP(B235,Trades!A:M,6,FALSE)-F235)*G235)</f>
        <v>16.050000000000068</v>
      </c>
      <c r="I235">
        <f>H235/VLOOKUP(B235,Trades!A$1:$M$100361,9,FALSE)</f>
        <v>1.2441860465116135</v>
      </c>
    </row>
    <row r="236" spans="1:9" x14ac:dyDescent="0.25">
      <c r="A236">
        <f t="shared" ref="A236:A249" si="21">ROW()-1</f>
        <v>235</v>
      </c>
      <c r="B236" t="s">
        <v>412</v>
      </c>
      <c r="C236" s="1">
        <v>46169</v>
      </c>
      <c r="D236" t="str">
        <f>VLOOKUP(B236,Trades!A$1:M100595,3,FALSE)</f>
        <v>MU</v>
      </c>
      <c r="E236" t="s">
        <v>61</v>
      </c>
      <c r="F236">
        <v>916.7</v>
      </c>
      <c r="G236">
        <v>4</v>
      </c>
      <c r="H236">
        <f>IF(VLOOKUP(B236,Trades!A:M,4,FALSE)="Long",(F236-VLOOKUP(B236,Trades!A:M,6,FALSE))*G236,(VLOOKUP(B236,Trades!A:M,6,FALSE)-F236)*G236)</f>
        <v>-7.2399999999997817</v>
      </c>
      <c r="I236">
        <f>H236/VLOOKUP(B236,Trades!A$1:$M$100361,9,FALSE)</f>
        <v>-0.90499999999997272</v>
      </c>
    </row>
    <row r="237" spans="1:9" x14ac:dyDescent="0.25">
      <c r="A237">
        <f t="shared" si="21"/>
        <v>236</v>
      </c>
      <c r="B237" t="s">
        <v>413</v>
      </c>
      <c r="C237" s="1">
        <v>46169</v>
      </c>
      <c r="D237" t="str">
        <f>VLOOKUP(B237,Trades!A$1:M100596,3,FALSE)</f>
        <v>AMD</v>
      </c>
      <c r="E237" t="s">
        <v>61</v>
      </c>
      <c r="F237">
        <v>498.1</v>
      </c>
      <c r="G237">
        <v>2</v>
      </c>
      <c r="H237">
        <f>IF(VLOOKUP(B237,Trades!A:M,4,FALSE)="Long",(F237-VLOOKUP(B237,Trades!A:M,6,FALSE))*G237,(VLOOKUP(B237,Trades!A:M,6,FALSE)-F237)*G237)</f>
        <v>-11.919999999999959</v>
      </c>
      <c r="I237">
        <f>H237/VLOOKUP(B237,Trades!A$1:$M$100361,9,FALSE)</f>
        <v>-0.99333333333332996</v>
      </c>
    </row>
    <row r="238" spans="1:9" x14ac:dyDescent="0.25">
      <c r="A238">
        <f t="shared" si="21"/>
        <v>237</v>
      </c>
      <c r="B238" t="s">
        <v>414</v>
      </c>
      <c r="C238" s="1">
        <v>46169</v>
      </c>
      <c r="D238" t="str">
        <f>VLOOKUP(B238,Trades!A$1:M100597,3,FALSE)</f>
        <v>AMZN</v>
      </c>
      <c r="E238" t="s">
        <v>61</v>
      </c>
      <c r="F238">
        <v>271.43</v>
      </c>
      <c r="G238">
        <v>4</v>
      </c>
      <c r="H238">
        <f>IF(VLOOKUP(B238,Trades!A:M,4,FALSE)="Long",(F238-VLOOKUP(B238,Trades!A:M,6,FALSE))*G238,(VLOOKUP(B238,Trades!A:M,6,FALSE)-F238)*G238)</f>
        <v>6.4400000000000546</v>
      </c>
      <c r="I238">
        <f>H238/VLOOKUP(B238,Trades!A$1:$M$100361,9,FALSE)</f>
        <v>1.4907407407407753</v>
      </c>
    </row>
    <row r="239" spans="1:9" x14ac:dyDescent="0.25">
      <c r="A239">
        <f t="shared" si="21"/>
        <v>238</v>
      </c>
      <c r="B239" t="s">
        <v>415</v>
      </c>
      <c r="C239" s="1">
        <v>46169</v>
      </c>
      <c r="D239" t="str">
        <f>VLOOKUP(B239,Trades!A$1:M100598,3,FALSE)</f>
        <v>SMTC</v>
      </c>
      <c r="E239" t="s">
        <v>61</v>
      </c>
      <c r="F239">
        <v>155.72999999999999</v>
      </c>
      <c r="G239">
        <v>4</v>
      </c>
      <c r="H239">
        <f>IF(VLOOKUP(B239,Trades!A:M,4,FALSE)="Long",(F239-VLOOKUP(B239,Trades!A:M,6,FALSE))*G239,(VLOOKUP(B239,Trades!A:M,6,FALSE)-F239)*G239)</f>
        <v>-25.879999999999995</v>
      </c>
      <c r="I239">
        <f>H239/VLOOKUP(B239,Trades!A$1:$M$100361,9,FALSE)</f>
        <v>-0.92428571428571416</v>
      </c>
    </row>
    <row r="240" spans="1:9" x14ac:dyDescent="0.25">
      <c r="A240">
        <f t="shared" si="21"/>
        <v>239</v>
      </c>
      <c r="B240" t="s">
        <v>416</v>
      </c>
      <c r="C240" s="1">
        <v>46170</v>
      </c>
      <c r="D240" t="str">
        <f>VLOOKUP(B240,Trades!A$1:M100599,3,FALSE)</f>
        <v>NVDA</v>
      </c>
      <c r="E240" t="s">
        <v>61</v>
      </c>
      <c r="F240">
        <v>212.44</v>
      </c>
      <c r="G240">
        <v>4</v>
      </c>
      <c r="H240">
        <f>IF(VLOOKUP(B240,Trades!A:M,4,FALSE)="Long",(F240-VLOOKUP(B240,Trades!A:M,6,FALSE))*G240,(VLOOKUP(B240,Trades!A:M,6,FALSE)-F240)*G240)</f>
        <v>-4.8799999999999955</v>
      </c>
      <c r="I240">
        <f>H240/VLOOKUP(B240,Trades!A$1:$M$100361,9,FALSE)</f>
        <v>-1.0166666666666753</v>
      </c>
    </row>
    <row r="241" spans="1:9" x14ac:dyDescent="0.25">
      <c r="A241">
        <f t="shared" si="21"/>
        <v>240</v>
      </c>
      <c r="B241" t="s">
        <v>418</v>
      </c>
      <c r="C241" s="1">
        <v>46170</v>
      </c>
      <c r="D241" t="str">
        <f>VLOOKUP(B241,Trades!A$1:M100600,3,FALSE)</f>
        <v>SNOW</v>
      </c>
      <c r="E241" t="s">
        <v>61</v>
      </c>
      <c r="F241">
        <v>238.11</v>
      </c>
      <c r="G241">
        <v>4</v>
      </c>
      <c r="H241">
        <f>IF(VLOOKUP(B241,Trades!A:M,4,FALSE)="Long",(F241-VLOOKUP(B241,Trades!A:M,6,FALSE))*G241,(VLOOKUP(B241,Trades!A:M,6,FALSE)-F241)*G241)</f>
        <v>17.160000000000082</v>
      </c>
      <c r="I241">
        <f>H241/VLOOKUP(B241,Trades!A$1:$M$100361,9,FALSE)</f>
        <v>4.2900000000000205</v>
      </c>
    </row>
    <row r="242" spans="1:9" x14ac:dyDescent="0.25">
      <c r="A242">
        <f t="shared" si="21"/>
        <v>241</v>
      </c>
      <c r="B242" t="s">
        <v>419</v>
      </c>
      <c r="C242" s="1">
        <v>46170</v>
      </c>
      <c r="D242" t="str">
        <f>VLOOKUP(B242,Trades!A$1:M100601,3,FALSE)</f>
        <v>KTOS</v>
      </c>
      <c r="E242" t="s">
        <v>61</v>
      </c>
      <c r="F242">
        <v>65.459999999999994</v>
      </c>
      <c r="G242">
        <v>5</v>
      </c>
      <c r="H242">
        <f>IF(VLOOKUP(B242,Trades!A:M,4,FALSE)="Long",(F242-VLOOKUP(B242,Trades!A:M,6,FALSE))*G242,(VLOOKUP(B242,Trades!A:M,6,FALSE)-F242)*G242)</f>
        <v>12.64999999999997</v>
      </c>
      <c r="I242">
        <f>H242/VLOOKUP(B242,Trades!A$1:$M$100361,9,FALSE)</f>
        <v>2.529999999999994</v>
      </c>
    </row>
    <row r="243" spans="1:9" x14ac:dyDescent="0.25">
      <c r="A243">
        <f t="shared" si="21"/>
        <v>242</v>
      </c>
      <c r="B243" t="s">
        <v>420</v>
      </c>
      <c r="C243" s="1">
        <v>46170</v>
      </c>
      <c r="D243" t="str">
        <f>VLOOKUP(B243,Trades!A$1:M100602,3,FALSE)</f>
        <v>APP</v>
      </c>
      <c r="E243" t="s">
        <v>61</v>
      </c>
      <c r="F243">
        <v>596.38</v>
      </c>
      <c r="G243">
        <v>2</v>
      </c>
      <c r="H243">
        <f>IF(VLOOKUP(B243,Trades!A:M,4,FALSE)="Long",(F243-VLOOKUP(B243,Trades!A:M,6,FALSE))*G243,(VLOOKUP(B243,Trades!A:M,6,FALSE)-F243)*G243)</f>
        <v>36.240000000000009</v>
      </c>
      <c r="I243">
        <f>H243/VLOOKUP(B243,Trades!A$1:$M$100361,9,FALSE)</f>
        <v>4.5300000000000011</v>
      </c>
    </row>
    <row r="244" spans="1:9" x14ac:dyDescent="0.25">
      <c r="A244">
        <f t="shared" si="21"/>
        <v>243</v>
      </c>
      <c r="B244" t="s">
        <v>421</v>
      </c>
      <c r="C244" s="1">
        <v>46170</v>
      </c>
      <c r="D244" t="str">
        <f>VLOOKUP(B244,Trades!A$1:M100603,3,FALSE)</f>
        <v>NVDA</v>
      </c>
      <c r="E244" t="s">
        <v>61</v>
      </c>
      <c r="F244">
        <v>211.55</v>
      </c>
      <c r="G244">
        <v>4</v>
      </c>
      <c r="H244">
        <f>IF(VLOOKUP(B244,Trades!A:M,4,FALSE)="Long",(F244-VLOOKUP(B244,Trades!A:M,6,FALSE))*G244,(VLOOKUP(B244,Trades!A:M,6,FALSE)-F244)*G244)</f>
        <v>-4</v>
      </c>
      <c r="I244">
        <f>H244/VLOOKUP(B244,Trades!A$1:$M$100361,9,FALSE)</f>
        <v>-1</v>
      </c>
    </row>
    <row r="245" spans="1:9" x14ac:dyDescent="0.25">
      <c r="A245">
        <f t="shared" si="21"/>
        <v>244</v>
      </c>
      <c r="B245" t="s">
        <v>422</v>
      </c>
      <c r="C245" s="1">
        <v>46170</v>
      </c>
      <c r="D245" t="str">
        <f>VLOOKUP(B245,Trades!A$1:M100604,3,FALSE)</f>
        <v>SMCI</v>
      </c>
      <c r="E245" t="s">
        <v>61</v>
      </c>
      <c r="F245">
        <v>40.950000000000003</v>
      </c>
      <c r="G245">
        <v>2</v>
      </c>
      <c r="H245">
        <f>IF(VLOOKUP(B245,Trades!A:M,4,FALSE)="Long",(F245-VLOOKUP(B245,Trades!A:M,6,FALSE))*G245,(VLOOKUP(B245,Trades!A:M,6,FALSE)-F245)*G245)</f>
        <v>19.580000000000005</v>
      </c>
      <c r="I245">
        <f>H245/VLOOKUP(B245,Trades!A$1:$M$100361,9,FALSE)</f>
        <v>1.9979591836734705</v>
      </c>
    </row>
    <row r="246" spans="1:9" x14ac:dyDescent="0.25">
      <c r="A246">
        <f t="shared" si="21"/>
        <v>245</v>
      </c>
      <c r="B246" t="s">
        <v>423</v>
      </c>
      <c r="C246" s="1">
        <v>46170</v>
      </c>
      <c r="D246" t="str">
        <f>VLOOKUP(B246,Trades!A$1:M100605,3,FALSE)</f>
        <v>MU</v>
      </c>
      <c r="E246" t="s">
        <v>61</v>
      </c>
      <c r="F246">
        <v>945.1</v>
      </c>
      <c r="G246">
        <v>2</v>
      </c>
      <c r="H246">
        <f>IF(VLOOKUP(B246,Trades!A:M,4,FALSE)="Long",(F246-VLOOKUP(B246,Trades!A:M,6,FALSE))*G246,(VLOOKUP(B246,Trades!A:M,6,FALSE)-F246)*G246)</f>
        <v>28.799999999999955</v>
      </c>
      <c r="I246">
        <f>H246/VLOOKUP(B246,Trades!A$1:$M$100361,9,FALSE)</f>
        <v>3.8918918918918379</v>
      </c>
    </row>
    <row r="247" spans="1:9" x14ac:dyDescent="0.25">
      <c r="A247">
        <f t="shared" si="21"/>
        <v>246</v>
      </c>
      <c r="B247" t="s">
        <v>424</v>
      </c>
      <c r="C247" s="1">
        <v>46170</v>
      </c>
      <c r="D247" t="str">
        <f>VLOOKUP(B247,Trades!A$1:M100606,3,FALSE)</f>
        <v>GOOG</v>
      </c>
      <c r="E247" t="s">
        <v>61</v>
      </c>
      <c r="F247">
        <v>386.92</v>
      </c>
      <c r="G247">
        <v>3</v>
      </c>
      <c r="H247">
        <f>IF(VLOOKUP(B247,Trades!A:M,4,FALSE)="Long",(F247-VLOOKUP(B247,Trades!A:M,6,FALSE))*G247,(VLOOKUP(B247,Trades!A:M,6,FALSE)-F247)*G247)</f>
        <v>5.9700000000000273</v>
      </c>
      <c r="I247">
        <f>H247/VLOOKUP(B247,Trades!A$1:$M$100361,9,FALSE)</f>
        <v>1.3266666666666727</v>
      </c>
    </row>
    <row r="248" spans="1:9" x14ac:dyDescent="0.25">
      <c r="A248">
        <f t="shared" si="21"/>
        <v>247</v>
      </c>
      <c r="B248" t="s">
        <v>425</v>
      </c>
      <c r="C248" s="1">
        <v>46160</v>
      </c>
      <c r="D248" t="str">
        <f>VLOOKUP(B248,Trades!A$1:M100607,3,FALSE)</f>
        <v>INTC</v>
      </c>
      <c r="E248" t="s">
        <v>61</v>
      </c>
      <c r="F248">
        <v>106.93</v>
      </c>
      <c r="G248">
        <v>4</v>
      </c>
      <c r="H248">
        <f>IF(VLOOKUP(B248,Trades!A:M,4,FALSE)="Long",(F248-VLOOKUP(B248,Trades!A:M,6,FALSE))*G248,(VLOOKUP(B248,Trades!A:M,6,FALSE)-F248)*G248)</f>
        <v>-8</v>
      </c>
      <c r="I248">
        <f>H248/VLOOKUP(B248,Trades!A$1:$M$100361,9,FALSE)</f>
        <v>-1</v>
      </c>
    </row>
    <row r="249" spans="1:9" x14ac:dyDescent="0.25">
      <c r="A249">
        <f t="shared" si="21"/>
        <v>248</v>
      </c>
      <c r="B249" t="s">
        <v>419</v>
      </c>
      <c r="C249" s="1">
        <v>46170</v>
      </c>
      <c r="D249" t="str">
        <f>VLOOKUP(B249,Trades!A$1:M100608,3,FALSE)</f>
        <v>KTOS</v>
      </c>
      <c r="E249" t="s">
        <v>61</v>
      </c>
      <c r="F249">
        <v>65.72</v>
      </c>
      <c r="G249">
        <v>5</v>
      </c>
      <c r="H249">
        <f>IF(VLOOKUP(B249,Trades!A:M,4,FALSE)="Long",(F249-VLOOKUP(B249,Trades!A:M,6,FALSE))*G249,(VLOOKUP(B249,Trades!A:M,6,FALSE)-F249)*G249)</f>
        <v>13.949999999999996</v>
      </c>
      <c r="I249">
        <f>H249/VLOOKUP(B249,Trades!A$1:$M$100361,9,FALSE)</f>
        <v>2.7899999999999991</v>
      </c>
    </row>
    <row r="250" spans="1:9" x14ac:dyDescent="0.25">
      <c r="A250">
        <f t="shared" ref="A250:A257" si="22">ROW()-1</f>
        <v>249</v>
      </c>
      <c r="B250" t="s">
        <v>427</v>
      </c>
      <c r="C250" s="1">
        <v>46171</v>
      </c>
      <c r="D250" t="str">
        <f>VLOOKUP(B250,Trades!A$1:M100609,3,FALSE)</f>
        <v>APP</v>
      </c>
      <c r="E250" t="s">
        <v>61</v>
      </c>
      <c r="F250">
        <v>589.47</v>
      </c>
      <c r="G250">
        <v>2</v>
      </c>
      <c r="H250">
        <f>IF(VLOOKUP(B250,Trades!A:M,4,FALSE)="Long",(F250-VLOOKUP(B250,Trades!A:M,6,FALSE))*G250,(VLOOKUP(B250,Trades!A:M,6,FALSE)-F250)*G250)</f>
        <v>-7.3999999999998636</v>
      </c>
      <c r="I250">
        <f>H250/VLOOKUP(B250,Trades!A$1:$M$100361,9,FALSE)</f>
        <v>-1.2333333333333105</v>
      </c>
    </row>
    <row r="251" spans="1:9" x14ac:dyDescent="0.25">
      <c r="A251">
        <f t="shared" si="22"/>
        <v>250</v>
      </c>
      <c r="B251" t="s">
        <v>426</v>
      </c>
      <c r="C251" s="1">
        <v>46171</v>
      </c>
      <c r="D251" t="str">
        <f>VLOOKUP(B251,Trades!A$1:M100610,3,FALSE)</f>
        <v>PLTR</v>
      </c>
      <c r="E251" t="s">
        <v>61</v>
      </c>
      <c r="F251">
        <v>152.49</v>
      </c>
      <c r="G251">
        <v>4</v>
      </c>
      <c r="H251">
        <f>IF(VLOOKUP(B251,Trades!A:M,4,FALSE)="Long",(F251-VLOOKUP(B251,Trades!A:M,6,FALSE))*G251,(VLOOKUP(B251,Trades!A:M,6,FALSE)-F251)*G251)</f>
        <v>10.400000000000091</v>
      </c>
      <c r="I251">
        <f>H251/VLOOKUP(B251,Trades!A$1:$M$100361,9,FALSE)</f>
        <v>0.65000000000000568</v>
      </c>
    </row>
    <row r="252" spans="1:9" x14ac:dyDescent="0.25">
      <c r="A252">
        <f t="shared" si="22"/>
        <v>251</v>
      </c>
      <c r="B252" t="s">
        <v>429</v>
      </c>
      <c r="C252" s="1">
        <v>46171</v>
      </c>
      <c r="D252" t="str">
        <f>VLOOKUP(B252,Trades!A$1:M100611,3,FALSE)</f>
        <v>DELL</v>
      </c>
      <c r="E252" t="s">
        <v>61</v>
      </c>
      <c r="F252">
        <v>422</v>
      </c>
      <c r="G252">
        <v>2</v>
      </c>
      <c r="H252">
        <f>IF(VLOOKUP(B252,Trades!A:M,4,FALSE)="Long",(F252-VLOOKUP(B252,Trades!A:M,6,FALSE))*G252,(VLOOKUP(B252,Trades!A:M,6,FALSE)-F252)*G252)</f>
        <v>-4.3600000000000136</v>
      </c>
      <c r="I252">
        <f>H252/VLOOKUP(B252,Trades!A$1:$M$100361,9,FALSE)</f>
        <v>-1.0900000000000034</v>
      </c>
    </row>
    <row r="253" spans="1:9" x14ac:dyDescent="0.25">
      <c r="A253">
        <f t="shared" si="22"/>
        <v>252</v>
      </c>
      <c r="B253" t="s">
        <v>430</v>
      </c>
      <c r="C253" s="1">
        <v>46171</v>
      </c>
      <c r="D253" t="str">
        <f>VLOOKUP(B253,Trades!A$1:M100612,3,FALSE)</f>
        <v>QUBT</v>
      </c>
      <c r="E253" t="s">
        <v>61</v>
      </c>
      <c r="F253">
        <v>11.62</v>
      </c>
      <c r="G253">
        <v>30</v>
      </c>
      <c r="H253">
        <f>IF(VLOOKUP(B253,Trades!A:M,4,FALSE)="Long",(F253-VLOOKUP(B253,Trades!A:M,6,FALSE))*G253,(VLOOKUP(B253,Trades!A:M,6,FALSE)-F253)*G253)</f>
        <v>-5.4000000000000448</v>
      </c>
      <c r="I253">
        <f>H253/VLOOKUP(B253,Trades!A$1:$M$100361,9,FALSE)</f>
        <v>-0.90000000000000269</v>
      </c>
    </row>
    <row r="254" spans="1:9" x14ac:dyDescent="0.25">
      <c r="A254">
        <f t="shared" si="22"/>
        <v>253</v>
      </c>
      <c r="B254" t="s">
        <v>431</v>
      </c>
      <c r="C254" s="1">
        <v>46171</v>
      </c>
      <c r="D254" t="str">
        <f>VLOOKUP(B254,Trades!A$1:M100613,3,FALSE)</f>
        <v>AMD</v>
      </c>
      <c r="E254" t="s">
        <v>61</v>
      </c>
      <c r="F254">
        <v>515.41999999999996</v>
      </c>
      <c r="G254">
        <v>2</v>
      </c>
      <c r="H254">
        <f>IF(VLOOKUP(B254,Trades!A:M,4,FALSE)="Long",(F254-VLOOKUP(B254,Trades!A:M,6,FALSE))*G254,(VLOOKUP(B254,Trades!A:M,6,FALSE)-F254)*G254)</f>
        <v>-7.3800000000001091</v>
      </c>
      <c r="I254">
        <f>H254/VLOOKUP(B254,Trades!A$1:$M$100361,9,FALSE)</f>
        <v>-0.98138297872342117</v>
      </c>
    </row>
    <row r="255" spans="1:9" x14ac:dyDescent="0.25">
      <c r="A255">
        <f t="shared" si="22"/>
        <v>254</v>
      </c>
      <c r="B255" t="s">
        <v>432</v>
      </c>
      <c r="C255" s="1">
        <v>46171</v>
      </c>
      <c r="D255" t="str">
        <f>VLOOKUP(B255,Trades!A$1:M100614,3,FALSE)</f>
        <v>MU</v>
      </c>
      <c r="E255" t="s">
        <v>61</v>
      </c>
      <c r="F255">
        <v>969.2</v>
      </c>
      <c r="G255">
        <v>2</v>
      </c>
      <c r="H255">
        <f>IF(VLOOKUP(B255,Trades!A:M,4,FALSE)="Long",(F255-VLOOKUP(B255,Trades!A:M,6,FALSE))*G255,(VLOOKUP(B255,Trades!A:M,6,FALSE)-F255)*G255)</f>
        <v>-3.2599999999999909</v>
      </c>
      <c r="I255">
        <f>H255/VLOOKUP(B255,Trades!A$1:$M$100361,9,FALSE)</f>
        <v>-1.6299999999999955</v>
      </c>
    </row>
    <row r="256" spans="1:9" x14ac:dyDescent="0.25">
      <c r="A256">
        <f t="shared" si="22"/>
        <v>255</v>
      </c>
      <c r="B256" t="s">
        <v>426</v>
      </c>
      <c r="C256" s="1">
        <v>46171</v>
      </c>
      <c r="D256" t="str">
        <f>VLOOKUP(B256,Trades!A$1:M100615,3,FALSE)</f>
        <v>PLTR</v>
      </c>
      <c r="E256" t="s">
        <v>61</v>
      </c>
      <c r="F256">
        <v>157.63999999999999</v>
      </c>
      <c r="G256">
        <v>4</v>
      </c>
      <c r="H256">
        <f>IF(VLOOKUP(B256,Trades!A:M,4,FALSE)="Long",(F256-VLOOKUP(B256,Trades!A:M,6,FALSE))*G256,(VLOOKUP(B256,Trades!A:M,6,FALSE)-F256)*G256)</f>
        <v>31</v>
      </c>
      <c r="I256">
        <f>H256/VLOOKUP(B256,Trades!A$1:$M$100361,9,FALSE)</f>
        <v>1.9375</v>
      </c>
    </row>
    <row r="257" spans="1:9" x14ac:dyDescent="0.25">
      <c r="A257">
        <f t="shared" si="22"/>
        <v>256</v>
      </c>
      <c r="B257" t="s">
        <v>433</v>
      </c>
      <c r="C257" s="1">
        <v>46171</v>
      </c>
      <c r="D257" t="str">
        <f>VLOOKUP(B257,Trades!A$1:M100616,3,FALSE)</f>
        <v>NVDA</v>
      </c>
      <c r="E257" t="s">
        <v>61</v>
      </c>
      <c r="F257">
        <v>214.75</v>
      </c>
      <c r="G257">
        <v>4</v>
      </c>
      <c r="H257">
        <f>IF(VLOOKUP(B257,Trades!A:M,4,FALSE)="Long",(F257-VLOOKUP(B257,Trades!A:M,6,FALSE))*G257,(VLOOKUP(B257,Trades!A:M,6,FALSE)-F257)*G257)</f>
        <v>-4</v>
      </c>
      <c r="I257">
        <f>H257/VLOOKUP(B257,Trades!A$1:$M$100361,9,FALSE)</f>
        <v>-1</v>
      </c>
    </row>
    <row r="258" spans="1:9" x14ac:dyDescent="0.25">
      <c r="A258">
        <f t="shared" ref="A258:A269" si="23">ROW()-1</f>
        <v>257</v>
      </c>
      <c r="B258" t="s">
        <v>434</v>
      </c>
      <c r="C258" s="1">
        <v>46174</v>
      </c>
      <c r="D258" t="str">
        <f>VLOOKUP(B258,Trades!A$1:M100617,3,FALSE)</f>
        <v>KTOS</v>
      </c>
      <c r="E258" t="s">
        <v>61</v>
      </c>
      <c r="F258">
        <v>63.3</v>
      </c>
      <c r="G258">
        <v>8</v>
      </c>
      <c r="H258">
        <f>IF(VLOOKUP(B258,Trades!A:M,4,FALSE)="Long",(F258-VLOOKUP(B258,Trades!A:M,6,FALSE))*G258,(VLOOKUP(B258,Trades!A:M,6,FALSE)-F258)*G258)</f>
        <v>-6</v>
      </c>
      <c r="I258">
        <f>H258/VLOOKUP(B258,Trades!A$1:$M$100361,9,FALSE)</f>
        <v>-2.2727272727272845</v>
      </c>
    </row>
    <row r="259" spans="1:9" x14ac:dyDescent="0.25">
      <c r="A259">
        <f t="shared" si="23"/>
        <v>258</v>
      </c>
      <c r="B259" t="s">
        <v>435</v>
      </c>
      <c r="C259" s="1">
        <v>46174</v>
      </c>
      <c r="D259" t="str">
        <f>VLOOKUP(B259,Trades!A$1:M100618,3,FALSE)</f>
        <v>APPS</v>
      </c>
      <c r="E259" t="s">
        <v>61</v>
      </c>
      <c r="F259">
        <v>9.3800000000000008</v>
      </c>
      <c r="G259">
        <v>20</v>
      </c>
      <c r="H259">
        <f>IF(VLOOKUP(B259,Trades!A:M,4,FALSE)="Long",(F259-VLOOKUP(B259,Trades!A:M,6,FALSE))*G259,(VLOOKUP(B259,Trades!A:M,6,FALSE)-F259)*G259)</f>
        <v>16.20000000000001</v>
      </c>
      <c r="I259">
        <f>H259/VLOOKUP(B259,Trades!A$1:$M$100361,9,FALSE)</f>
        <v>2.6999999999999953</v>
      </c>
    </row>
    <row r="260" spans="1:9" x14ac:dyDescent="0.25">
      <c r="A260">
        <f t="shared" si="23"/>
        <v>259</v>
      </c>
      <c r="B260" t="s">
        <v>436</v>
      </c>
      <c r="C260" s="1">
        <v>46174</v>
      </c>
      <c r="D260" t="str">
        <f>VLOOKUP(B260,Trades!A$1:M100619,3,FALSE)</f>
        <v>HPQ</v>
      </c>
      <c r="E260" t="s">
        <v>61</v>
      </c>
      <c r="F260">
        <v>28.36</v>
      </c>
      <c r="G260">
        <v>10</v>
      </c>
      <c r="H260">
        <f>IF(VLOOKUP(B260,Trades!A:M,4,FALSE)="Long",(F260-VLOOKUP(B260,Trades!A:M,6,FALSE))*G260,(VLOOKUP(B260,Trades!A:M,6,FALSE)-F260)*G260)</f>
        <v>10.799999999999983</v>
      </c>
      <c r="I260">
        <f>H260/VLOOKUP(B260,Trades!A$1:$M$100361,9,FALSE)</f>
        <v>2.0377358490565962</v>
      </c>
    </row>
    <row r="261" spans="1:9" x14ac:dyDescent="0.25">
      <c r="A261">
        <f t="shared" si="23"/>
        <v>260</v>
      </c>
      <c r="B261" t="s">
        <v>437</v>
      </c>
      <c r="C261" s="1">
        <v>46174</v>
      </c>
      <c r="D261" t="str">
        <f>VLOOKUP(B261,Trades!A$1:M100620,3,FALSE)</f>
        <v>ORCL</v>
      </c>
      <c r="E261" t="s">
        <v>61</v>
      </c>
      <c r="F261">
        <v>233.88</v>
      </c>
      <c r="G261">
        <v>2</v>
      </c>
      <c r="H261">
        <f>IF(VLOOKUP(B261,Trades!A:M,4,FALSE)="Long",(F261-VLOOKUP(B261,Trades!A:M,6,FALSE))*G261,(VLOOKUP(B261,Trades!A:M,6,FALSE)-F261)*G261)</f>
        <v>12.379999999999995</v>
      </c>
      <c r="I261">
        <f>H261/VLOOKUP(B261,Trades!A$1:$M$100361,9,FALSE)</f>
        <v>1.4530516431924909</v>
      </c>
    </row>
    <row r="262" spans="1:9" x14ac:dyDescent="0.25">
      <c r="A262">
        <f t="shared" si="23"/>
        <v>261</v>
      </c>
      <c r="B262" t="s">
        <v>438</v>
      </c>
      <c r="C262" s="1">
        <v>46174</v>
      </c>
      <c r="D262" t="str">
        <f>VLOOKUP(B262,Trades!A$1:M100621,3,FALSE)</f>
        <v>MSFT</v>
      </c>
      <c r="E262" t="s">
        <v>61</v>
      </c>
      <c r="F262">
        <v>459.52</v>
      </c>
      <c r="G262">
        <v>2</v>
      </c>
      <c r="H262">
        <f>IF(VLOOKUP(B262,Trades!A:M,4,FALSE)="Long",(F262-VLOOKUP(B262,Trades!A:M,6,FALSE))*G262,(VLOOKUP(B262,Trades!A:M,6,FALSE)-F262)*G262)</f>
        <v>-6</v>
      </c>
      <c r="I262">
        <f>H262/VLOOKUP(B262,Trades!A$1:$M$100361,9,FALSE)</f>
        <v>-1</v>
      </c>
    </row>
    <row r="263" spans="1:9" x14ac:dyDescent="0.25">
      <c r="A263">
        <f t="shared" si="23"/>
        <v>262</v>
      </c>
      <c r="B263" t="s">
        <v>437</v>
      </c>
      <c r="C263" s="1">
        <v>46174</v>
      </c>
      <c r="D263" t="str">
        <f>VLOOKUP(B263,Trades!A$1:M100622,3,FALSE)</f>
        <v>ORCL</v>
      </c>
      <c r="E263" t="s">
        <v>61</v>
      </c>
      <c r="F263">
        <v>235.33</v>
      </c>
      <c r="G263">
        <v>2</v>
      </c>
      <c r="H263">
        <f>IF(VLOOKUP(B263,Trades!A:M,4,FALSE)="Long",(F263-VLOOKUP(B263,Trades!A:M,6,FALSE))*G263,(VLOOKUP(B263,Trades!A:M,6,FALSE)-F263)*G263)</f>
        <v>15.28000000000003</v>
      </c>
      <c r="I263">
        <f>H263/VLOOKUP(B263,Trades!A$1:$M$100361,9,FALSE)</f>
        <v>1.7934272300469556</v>
      </c>
    </row>
    <row r="264" spans="1:9" x14ac:dyDescent="0.25">
      <c r="A264">
        <f t="shared" si="23"/>
        <v>263</v>
      </c>
      <c r="B264" t="s">
        <v>439</v>
      </c>
      <c r="C264" s="1">
        <v>46174</v>
      </c>
      <c r="D264" t="str">
        <f>VLOOKUP(B264,Trades!A$1:M100623,3,FALSE)</f>
        <v>ARM</v>
      </c>
      <c r="E264" t="s">
        <v>61</v>
      </c>
      <c r="F264">
        <v>418.46</v>
      </c>
      <c r="G264">
        <v>1</v>
      </c>
      <c r="H264">
        <f>IF(VLOOKUP(B264,Trades!A:M,4,FALSE)="Long",(F264-VLOOKUP(B264,Trades!A:M,6,FALSE))*G264,(VLOOKUP(B264,Trades!A:M,6,FALSE)-F264)*G264)</f>
        <v>165.71999999999997</v>
      </c>
      <c r="I264">
        <f>H264/VLOOKUP(B264,Trades!A$1:$M$100361,9,FALSE)</f>
        <v>29.073684210526224</v>
      </c>
    </row>
    <row r="265" spans="1:9" x14ac:dyDescent="0.25">
      <c r="A265">
        <f t="shared" si="23"/>
        <v>264</v>
      </c>
      <c r="B265" t="s">
        <v>440</v>
      </c>
      <c r="C265" s="1">
        <v>46174</v>
      </c>
      <c r="D265" t="str">
        <f>VLOOKUP(B265,Trades!A$1:M100624,3,FALSE)</f>
        <v>DELL</v>
      </c>
      <c r="E265" t="s">
        <v>61</v>
      </c>
      <c r="F265">
        <v>452.72</v>
      </c>
      <c r="G265">
        <v>2</v>
      </c>
      <c r="H265">
        <f>IF(VLOOKUP(B265,Trades!A:M,4,FALSE)="Long",(F265-VLOOKUP(B265,Trades!A:M,6,FALSE))*G265,(VLOOKUP(B265,Trades!A:M,6,FALSE)-F265)*G265)</f>
        <v>-5.8799999999999955</v>
      </c>
      <c r="I265">
        <f>H265/VLOOKUP(B265,Trades!A$1:$M$100361,9,FALSE)</f>
        <v>-0.97999999999999921</v>
      </c>
    </row>
    <row r="266" spans="1:9" x14ac:dyDescent="0.25">
      <c r="A266">
        <f t="shared" si="23"/>
        <v>265</v>
      </c>
      <c r="B266" t="s">
        <v>441</v>
      </c>
      <c r="C266" s="1">
        <v>46174</v>
      </c>
      <c r="D266" t="str">
        <f>VLOOKUP(B266,Trades!A$1:M100625,3,FALSE)</f>
        <v>APP</v>
      </c>
      <c r="E266" t="s">
        <v>61</v>
      </c>
      <c r="F266">
        <v>608.44000000000005</v>
      </c>
      <c r="G266">
        <v>2</v>
      </c>
      <c r="H266">
        <f>IF(VLOOKUP(B266,Trades!A:M,4,FALSE)="Long",(F266-VLOOKUP(B266,Trades!A:M,6,FALSE))*G266,(VLOOKUP(B266,Trades!A:M,6,FALSE)-F266)*G266)</f>
        <v>29.7800000000002</v>
      </c>
      <c r="I266">
        <f>H266/VLOOKUP(B266,Trades!A$1:$M$100361,9,FALSE)</f>
        <v>4.609907120743201</v>
      </c>
    </row>
    <row r="267" spans="1:9" x14ac:dyDescent="0.25">
      <c r="A267">
        <f t="shared" si="23"/>
        <v>266</v>
      </c>
      <c r="B267" t="s">
        <v>442</v>
      </c>
      <c r="C267" s="1">
        <v>46174</v>
      </c>
      <c r="D267" t="str">
        <f>VLOOKUP(B267,Trades!A$1:M100626,3,FALSE)</f>
        <v>AMZN</v>
      </c>
      <c r="E267" t="s">
        <v>61</v>
      </c>
      <c r="F267">
        <v>263</v>
      </c>
      <c r="G267">
        <v>4</v>
      </c>
      <c r="H267">
        <f>IF(VLOOKUP(B267,Trades!A:M,4,FALSE)="Long",(F267-VLOOKUP(B267,Trades!A:M,6,FALSE))*G267,(VLOOKUP(B267,Trades!A:M,6,FALSE)-F267)*G267)</f>
        <v>-4</v>
      </c>
      <c r="I267">
        <f>H267/VLOOKUP(B267,Trades!A$1:$M$100361,9,FALSE)</f>
        <v>-1</v>
      </c>
    </row>
    <row r="268" spans="1:9" x14ac:dyDescent="0.25">
      <c r="A268">
        <f t="shared" si="23"/>
        <v>267</v>
      </c>
      <c r="B268" t="s">
        <v>443</v>
      </c>
      <c r="C268" s="1">
        <v>46174</v>
      </c>
      <c r="D268" t="str">
        <f>VLOOKUP(B268,Trades!A$1:M100627,3,FALSE)</f>
        <v>PLTR</v>
      </c>
      <c r="E268" t="s">
        <v>61</v>
      </c>
      <c r="F268">
        <v>161.30000000000001</v>
      </c>
      <c r="G268">
        <v>5</v>
      </c>
      <c r="H268">
        <f>IF(VLOOKUP(B268,Trades!A:M,4,FALSE)="Long",(F268-VLOOKUP(B268,Trades!A:M,6,FALSE))*G268,(VLOOKUP(B268,Trades!A:M,6,FALSE)-F268)*G268)</f>
        <v>18.599999999999994</v>
      </c>
      <c r="I268">
        <f>H268/VLOOKUP(B268,Trades!A$1:$M$100361,9,FALSE)</f>
        <v>1.4418604651162716</v>
      </c>
    </row>
    <row r="269" spans="1:9" x14ac:dyDescent="0.25">
      <c r="A269">
        <f t="shared" si="23"/>
        <v>268</v>
      </c>
      <c r="B269" t="s">
        <v>444</v>
      </c>
      <c r="C269" s="1">
        <v>46174</v>
      </c>
      <c r="D269" t="str">
        <f>VLOOKUP(B269,Trades!A$1:M100628,3,FALSE)</f>
        <v>QCOM</v>
      </c>
      <c r="E269" t="s">
        <v>61</v>
      </c>
      <c r="F269">
        <v>231.81</v>
      </c>
      <c r="G269">
        <v>3</v>
      </c>
      <c r="H269">
        <f>IF(VLOOKUP(B269,Trades!A:M,4,FALSE)="Long",(F269-VLOOKUP(B269,Trades!A:M,6,FALSE))*G269,(VLOOKUP(B269,Trades!A:M,6,FALSE)-F269)*G269)</f>
        <v>-4.7399999999999523</v>
      </c>
      <c r="I269">
        <f>H269/VLOOKUP(B269,Trades!A$1:$M$100361,9,FALSE)</f>
        <v>-0.95757575757576108</v>
      </c>
    </row>
    <row r="270" spans="1:9" x14ac:dyDescent="0.25">
      <c r="A270">
        <f t="shared" ref="A270:A279" si="24">ROW()-1</f>
        <v>269</v>
      </c>
      <c r="B270" t="s">
        <v>446</v>
      </c>
      <c r="C270" s="1">
        <v>46175</v>
      </c>
      <c r="D270" t="str">
        <f>VLOOKUP(B270,Trades!A$1:M100629,3,FALSE)</f>
        <v>HPE</v>
      </c>
      <c r="E270" t="s">
        <v>61</v>
      </c>
      <c r="F270">
        <v>62.01</v>
      </c>
      <c r="G270">
        <v>6</v>
      </c>
      <c r="H270">
        <f>IF(VLOOKUP(B270,Trades!A:M,4,FALSE)="Long",(F270-VLOOKUP(B270,Trades!A:M,6,FALSE))*G270,(VLOOKUP(B270,Trades!A:M,6,FALSE)-F270)*G270)</f>
        <v>-7.7399999999999949</v>
      </c>
      <c r="I270">
        <f>H270/VLOOKUP(B270,Trades!A$1:$M$100361,9,FALSE)</f>
        <v>-1</v>
      </c>
    </row>
    <row r="271" spans="1:9" x14ac:dyDescent="0.25">
      <c r="A271">
        <f t="shared" si="24"/>
        <v>270</v>
      </c>
      <c r="B271" t="s">
        <v>447</v>
      </c>
      <c r="C271" s="1">
        <v>46175</v>
      </c>
      <c r="D271" t="str">
        <f>VLOOKUP(B271,Trades!A$1:M100630,3,FALSE)</f>
        <v>TXN</v>
      </c>
      <c r="E271" t="s">
        <v>61</v>
      </c>
      <c r="F271">
        <v>300.3</v>
      </c>
      <c r="G271">
        <v>3</v>
      </c>
      <c r="H271">
        <f>IF(VLOOKUP(B271,Trades!A:M,4,FALSE)="Long",(F271-VLOOKUP(B271,Trades!A:M,6,FALSE))*G271,(VLOOKUP(B271,Trades!A:M,6,FALSE)-F271)*G271)</f>
        <v>-6</v>
      </c>
      <c r="I271">
        <f>H271/VLOOKUP(B271,Trades!A$1:$M$100361,9,FALSE)</f>
        <v>-1</v>
      </c>
    </row>
    <row r="272" spans="1:9" x14ac:dyDescent="0.25">
      <c r="A272">
        <f t="shared" si="24"/>
        <v>271</v>
      </c>
      <c r="B272" t="s">
        <v>448</v>
      </c>
      <c r="C272" s="1">
        <v>46175</v>
      </c>
      <c r="D272" t="str">
        <f>VLOOKUP(B272,Trades!A$1:M100631,3,FALSE)</f>
        <v>MRVL</v>
      </c>
      <c r="E272" t="s">
        <v>61</v>
      </c>
      <c r="F272">
        <v>267.54000000000002</v>
      </c>
      <c r="G272">
        <v>4</v>
      </c>
      <c r="H272">
        <f>IF(VLOOKUP(B272,Trades!A:M,4,FALSE)="Long",(F272-VLOOKUP(B272,Trades!A:M,6,FALSE))*G272,(VLOOKUP(B272,Trades!A:M,6,FALSE)-F272)*G272)</f>
        <v>11.480000000000018</v>
      </c>
      <c r="I272">
        <f>H272/VLOOKUP(B272,Trades!A$1:$M$100361,9,FALSE)</f>
        <v>1.1480000000000019</v>
      </c>
    </row>
    <row r="273" spans="1:9" x14ac:dyDescent="0.25">
      <c r="A273">
        <f t="shared" si="24"/>
        <v>272</v>
      </c>
      <c r="B273" t="s">
        <v>449</v>
      </c>
      <c r="C273" s="1">
        <v>46175</v>
      </c>
      <c r="D273" t="str">
        <f>VLOOKUP(B273,Trades!A$1:M100632,3,FALSE)</f>
        <v>APP</v>
      </c>
      <c r="E273" t="s">
        <v>61</v>
      </c>
      <c r="F273">
        <v>593.15</v>
      </c>
      <c r="G273">
        <v>2</v>
      </c>
      <c r="H273">
        <f>IF(VLOOKUP(B273,Trades!A:M,4,FALSE)="Long",(F273-VLOOKUP(B273,Trades!A:M,6,FALSE))*G273,(VLOOKUP(B273,Trades!A:M,6,FALSE)-F273)*G273)</f>
        <v>-6</v>
      </c>
      <c r="I273">
        <f>H273/VLOOKUP(B273,Trades!A$1:$M$100361,9,FALSE)</f>
        <v>-1</v>
      </c>
    </row>
    <row r="274" spans="1:9" x14ac:dyDescent="0.25">
      <c r="A274">
        <f t="shared" si="24"/>
        <v>273</v>
      </c>
      <c r="B274" t="s">
        <v>450</v>
      </c>
      <c r="C274" s="1">
        <v>46175</v>
      </c>
      <c r="D274" t="str">
        <f>VLOOKUP(B274,Trades!A$1:M100633,3,FALSE)</f>
        <v>DELL</v>
      </c>
      <c r="E274" t="s">
        <v>61</v>
      </c>
      <c r="F274">
        <v>451.13</v>
      </c>
      <c r="G274">
        <v>2</v>
      </c>
      <c r="H274">
        <f>IF(VLOOKUP(B274,Trades!A:M,4,FALSE)="Long",(F274-VLOOKUP(B274,Trades!A:M,6,FALSE))*G274,(VLOOKUP(B274,Trades!A:M,6,FALSE)-F274)*G274)</f>
        <v>-11.32000000000005</v>
      </c>
      <c r="I274">
        <f>H274/VLOOKUP(B274,Trades!A$1:$M$100361,9,FALSE)</f>
        <v>-0.99472759226714014</v>
      </c>
    </row>
    <row r="275" spans="1:9" x14ac:dyDescent="0.25">
      <c r="A275">
        <f t="shared" si="24"/>
        <v>274</v>
      </c>
      <c r="B275" t="s">
        <v>451</v>
      </c>
      <c r="C275" s="1">
        <v>46175</v>
      </c>
      <c r="D275" t="str">
        <f>VLOOKUP(B275,Trades!A$1:M100634,3,FALSE)</f>
        <v>MRVL</v>
      </c>
      <c r="E275" t="s">
        <v>61</v>
      </c>
      <c r="F275">
        <v>278.72000000000003</v>
      </c>
      <c r="G275">
        <v>2</v>
      </c>
      <c r="H275">
        <f>IF(VLOOKUP(B275,Trades!A:M,4,FALSE)="Long",(F275-VLOOKUP(B275,Trades!A:M,6,FALSE))*G275,(VLOOKUP(B275,Trades!A:M,6,FALSE)-F275)*G275)</f>
        <v>20.300000000000068</v>
      </c>
      <c r="I275">
        <f>H275/VLOOKUP(B275,Trades!A$1:$M$100361,9,FALSE)</f>
        <v>5.0750000000000171</v>
      </c>
    </row>
    <row r="276" spans="1:9" x14ac:dyDescent="0.25">
      <c r="A276">
        <f t="shared" si="24"/>
        <v>275</v>
      </c>
      <c r="B276" t="s">
        <v>451</v>
      </c>
      <c r="C276" s="1">
        <v>46175</v>
      </c>
      <c r="D276" t="str">
        <f>VLOOKUP(B276,Trades!A$1:M100635,3,FALSE)</f>
        <v>MRVL</v>
      </c>
      <c r="E276" t="s">
        <v>61</v>
      </c>
      <c r="F276">
        <v>283.35000000000002</v>
      </c>
      <c r="G276">
        <v>2</v>
      </c>
      <c r="H276">
        <f>IF(VLOOKUP(B276,Trades!A:M,4,FALSE)="Long",(F276-VLOOKUP(B276,Trades!A:M,6,FALSE))*G276,(VLOOKUP(B276,Trades!A:M,6,FALSE)-F276)*G276)</f>
        <v>29.560000000000059</v>
      </c>
      <c r="I276">
        <f>H276/VLOOKUP(B276,Trades!A$1:$M$100361,9,FALSE)</f>
        <v>7.3900000000000148</v>
      </c>
    </row>
    <row r="277" spans="1:9" x14ac:dyDescent="0.25">
      <c r="A277">
        <f t="shared" si="24"/>
        <v>276</v>
      </c>
      <c r="B277" t="s">
        <v>422</v>
      </c>
      <c r="C277" s="1">
        <v>46175</v>
      </c>
      <c r="D277" t="str">
        <f>VLOOKUP(B277,Trades!A$1:M100636,3,FALSE)</f>
        <v>SMCI</v>
      </c>
      <c r="E277" t="s">
        <v>61</v>
      </c>
      <c r="F277">
        <v>50.09</v>
      </c>
      <c r="G277">
        <v>2</v>
      </c>
      <c r="H277">
        <f>IF(VLOOKUP(B277,Trades!A:M,4,FALSE)="Long",(F277-VLOOKUP(B277,Trades!A:M,6,FALSE))*G277,(VLOOKUP(B277,Trades!A:M,6,FALSE)-F277)*G277)</f>
        <v>37.860000000000007</v>
      </c>
      <c r="I277">
        <f>H277/VLOOKUP(B277,Trades!A$1:$M$100361,9,FALSE)</f>
        <v>3.8632653061224507</v>
      </c>
    </row>
    <row r="278" spans="1:9" x14ac:dyDescent="0.25">
      <c r="A278">
        <f t="shared" si="24"/>
        <v>277</v>
      </c>
      <c r="B278" t="s">
        <v>452</v>
      </c>
      <c r="C278" s="1">
        <v>46175</v>
      </c>
      <c r="D278" t="str">
        <f>VLOOKUP(B278,Trades!A$1:M100637,3,FALSE)</f>
        <v>APP</v>
      </c>
      <c r="E278" t="s">
        <v>61</v>
      </c>
      <c r="F278">
        <v>598.96</v>
      </c>
      <c r="G278">
        <v>2</v>
      </c>
      <c r="H278">
        <f>IF(VLOOKUP(B278,Trades!A:M,4,FALSE)="Long",(F278-VLOOKUP(B278,Trades!A:M,6,FALSE))*G278,(VLOOKUP(B278,Trades!A:M,6,FALSE)-F278)*G278)</f>
        <v>2.4200000000000728</v>
      </c>
      <c r="I278">
        <f>H278/VLOOKUP(B278,Trades!A$1:$M$100361,9,FALSE)</f>
        <v>0.30250000000000909</v>
      </c>
    </row>
    <row r="279" spans="1:9" x14ac:dyDescent="0.25">
      <c r="A279">
        <f t="shared" si="24"/>
        <v>278</v>
      </c>
      <c r="B279" t="s">
        <v>453</v>
      </c>
      <c r="C279" s="1">
        <v>46175</v>
      </c>
      <c r="D279" t="str">
        <f>VLOOKUP(B279,Trades!A$1:M100638,3,FALSE)</f>
        <v>HPE</v>
      </c>
      <c r="E279" t="s">
        <v>61</v>
      </c>
      <c r="F279">
        <v>55.56</v>
      </c>
      <c r="G279">
        <v>20</v>
      </c>
      <c r="H279">
        <f>IF(VLOOKUP(B279,Trades!A:M,4,FALSE)="Long",(F279-VLOOKUP(B279,Trades!A:M,6,FALSE))*G279,(VLOOKUP(B279,Trades!A:M,6,FALSE)-F279)*G279)</f>
        <v>-57.599999999999909</v>
      </c>
      <c r="I279">
        <f>H279/VLOOKUP(B279,Trades!A$1:$M$100361,9,FALSE)</f>
        <v>-1</v>
      </c>
    </row>
    <row r="280" spans="1:9" x14ac:dyDescent="0.25">
      <c r="A280">
        <f t="shared" ref="A280:A288" si="25">ROW()-1</f>
        <v>279</v>
      </c>
      <c r="B280" t="s">
        <v>454</v>
      </c>
      <c r="C280" s="1">
        <v>46176</v>
      </c>
      <c r="D280" t="str">
        <f>VLOOKUP(B280,Trades!A$1:M100639,3,FALSE)</f>
        <v>INTC</v>
      </c>
      <c r="E280" t="s">
        <v>61</v>
      </c>
      <c r="F280">
        <v>114.73</v>
      </c>
      <c r="G280">
        <v>8</v>
      </c>
      <c r="H280">
        <f>IF(VLOOKUP(B280,Trades!A:M,4,FALSE)="Long",(F280-VLOOKUP(B280,Trades!A:M,6,FALSE))*G280,(VLOOKUP(B280,Trades!A:M,6,FALSE)-F280)*G280)</f>
        <v>-7.0399999999999636</v>
      </c>
      <c r="I280">
        <f>H280/VLOOKUP(B280,Trades!A$1:$M$100361,9,FALSE)</f>
        <v>-1</v>
      </c>
    </row>
    <row r="281" spans="1:9" x14ac:dyDescent="0.25">
      <c r="A281">
        <f t="shared" si="25"/>
        <v>280</v>
      </c>
      <c r="B281" t="s">
        <v>455</v>
      </c>
      <c r="C281" s="1">
        <v>46176</v>
      </c>
      <c r="D281" t="str">
        <f>VLOOKUP(B281,Trades!A$1:M100640,3,FALSE)</f>
        <v>KTOS</v>
      </c>
      <c r="E281" t="s">
        <v>61</v>
      </c>
      <c r="F281">
        <v>61.3</v>
      </c>
      <c r="G281">
        <v>4</v>
      </c>
      <c r="H281">
        <f>IF(VLOOKUP(B281,Trades!A:M,4,FALSE)="Long",(F281-VLOOKUP(B281,Trades!A:M,6,FALSE))*G281,(VLOOKUP(B281,Trades!A:M,6,FALSE)-F281)*G281)</f>
        <v>-9.0400000000000205</v>
      </c>
      <c r="I281">
        <f>H281/VLOOKUP(B281,Trades!A$1:$M$100361,9,FALSE)</f>
        <v>-1.1300000000000026</v>
      </c>
    </row>
    <row r="282" spans="1:9" x14ac:dyDescent="0.25">
      <c r="A282">
        <f t="shared" si="25"/>
        <v>281</v>
      </c>
      <c r="B282" t="s">
        <v>456</v>
      </c>
      <c r="C282" s="1">
        <v>46176</v>
      </c>
      <c r="D282" t="str">
        <f>VLOOKUP(B282,Trades!A$1:M100641,3,FALSE)</f>
        <v>AAPL</v>
      </c>
      <c r="E282" t="s">
        <v>61</v>
      </c>
      <c r="F282">
        <v>313.67</v>
      </c>
      <c r="G282">
        <v>3</v>
      </c>
      <c r="H282">
        <f>IF(VLOOKUP(B282,Trades!A:M,4,FALSE)="Long",(F282-VLOOKUP(B282,Trades!A:M,6,FALSE))*G282,(VLOOKUP(B282,Trades!A:M,6,FALSE)-F282)*G282)</f>
        <v>-9</v>
      </c>
      <c r="I282">
        <f>H282/VLOOKUP(B282,Trades!A$1:$M$100361,9,FALSE)</f>
        <v>-1</v>
      </c>
    </row>
    <row r="283" spans="1:9" x14ac:dyDescent="0.25">
      <c r="A283">
        <f t="shared" si="25"/>
        <v>282</v>
      </c>
      <c r="B283" t="s">
        <v>457</v>
      </c>
      <c r="C283" s="1">
        <v>46176</v>
      </c>
      <c r="D283" t="str">
        <f>VLOOKUP(B283,Trades!A$1:M100642,3,FALSE)</f>
        <v>GTLB</v>
      </c>
      <c r="E283" t="s">
        <v>61</v>
      </c>
      <c r="F283">
        <v>30.17</v>
      </c>
      <c r="G283">
        <v>4</v>
      </c>
      <c r="H283">
        <f>IF(VLOOKUP(B283,Trades!A:M,4,FALSE)="Long",(F283-VLOOKUP(B283,Trades!A:M,6,FALSE))*G283,(VLOOKUP(B283,Trades!A:M,6,FALSE)-F283)*G283)</f>
        <v>19.28</v>
      </c>
      <c r="I283">
        <f>H283/VLOOKUP(B283,Trades!A$1:$M$100361,9,FALSE)</f>
        <v>2.7386363636363615</v>
      </c>
    </row>
    <row r="284" spans="1:9" x14ac:dyDescent="0.25">
      <c r="A284">
        <f t="shared" si="25"/>
        <v>283</v>
      </c>
      <c r="B284" t="s">
        <v>458</v>
      </c>
      <c r="C284" s="1">
        <v>46176</v>
      </c>
      <c r="D284" t="str">
        <f>VLOOKUP(B284,Trades!A$1:M100643,3,FALSE)</f>
        <v>INTC</v>
      </c>
      <c r="E284" t="s">
        <v>61</v>
      </c>
      <c r="F284">
        <v>112.17</v>
      </c>
      <c r="G284">
        <v>16</v>
      </c>
      <c r="H284">
        <f>IF(VLOOKUP(B284,Trades!A:M,4,FALSE)="Long",(F284-VLOOKUP(B284,Trades!A:M,6,FALSE))*G284,(VLOOKUP(B284,Trades!A:M,6,FALSE)-F284)*G284)</f>
        <v>-42.079999999999927</v>
      </c>
      <c r="I284">
        <f>H284/VLOOKUP(B284,Trades!A$1:$M$100361,9,FALSE)</f>
        <v>-1</v>
      </c>
    </row>
    <row r="285" spans="1:9" x14ac:dyDescent="0.25">
      <c r="A285">
        <f t="shared" si="25"/>
        <v>284</v>
      </c>
      <c r="B285" t="s">
        <v>459</v>
      </c>
      <c r="C285" s="1">
        <v>46176</v>
      </c>
      <c r="D285" t="str">
        <f>VLOOKUP(B285,Trades!A$1:M100644,3,FALSE)</f>
        <v>MRVL</v>
      </c>
      <c r="E285" t="s">
        <v>61</v>
      </c>
      <c r="F285">
        <v>305.56</v>
      </c>
      <c r="G285">
        <v>3</v>
      </c>
      <c r="H285">
        <f>IF(VLOOKUP(B285,Trades!A:M,4,FALSE)="Long",(F285-VLOOKUP(B285,Trades!A:M,6,FALSE))*G285,(VLOOKUP(B285,Trades!A:M,6,FALSE)-F285)*G285)</f>
        <v>-11.970000000000027</v>
      </c>
      <c r="I285">
        <f>H285/VLOOKUP(B285,Trades!A$1:$M$100361,9,FALSE)</f>
        <v>-0.99750000000000227</v>
      </c>
    </row>
    <row r="286" spans="1:9" x14ac:dyDescent="0.25">
      <c r="A286">
        <f t="shared" si="25"/>
        <v>285</v>
      </c>
      <c r="B286" t="s">
        <v>460</v>
      </c>
      <c r="C286" s="1">
        <v>46176</v>
      </c>
      <c r="D286" t="str">
        <f>VLOOKUP(B286,Trades!A$1:M100645,3,FALSE)</f>
        <v>INTC</v>
      </c>
      <c r="E286" t="s">
        <v>61</v>
      </c>
      <c r="F286">
        <v>111.46</v>
      </c>
      <c r="G286">
        <v>10</v>
      </c>
      <c r="H286">
        <f>IF(VLOOKUP(B286,Trades!A:M,4,FALSE)="Long",(F286-VLOOKUP(B286,Trades!A:M,6,FALSE))*G286,(VLOOKUP(B286,Trades!A:M,6,FALSE)-F286)*G286)</f>
        <v>-14.200000000000017</v>
      </c>
      <c r="I286">
        <f>H286/VLOOKUP(B286,Trades!A$1:$M$100361,9,FALSE)</f>
        <v>-1.0215827338129504</v>
      </c>
    </row>
    <row r="287" spans="1:9" x14ac:dyDescent="0.25">
      <c r="A287">
        <f t="shared" si="25"/>
        <v>286</v>
      </c>
      <c r="B287" t="s">
        <v>461</v>
      </c>
      <c r="C287" s="1">
        <v>46176</v>
      </c>
      <c r="D287" t="str">
        <f>VLOOKUP(B287,Trades!A$1:M100646,3,FALSE)</f>
        <v>APP</v>
      </c>
      <c r="E287" t="s">
        <v>61</v>
      </c>
      <c r="F287">
        <v>568.65</v>
      </c>
      <c r="G287">
        <v>2</v>
      </c>
      <c r="H287">
        <f>IF(VLOOKUP(B287,Trades!A:M,4,FALSE)="Long",(F287-VLOOKUP(B287,Trades!A:M,6,FALSE))*G287,(VLOOKUP(B287,Trades!A:M,6,FALSE)-F287)*G287)</f>
        <v>-6.3600000000001273</v>
      </c>
      <c r="I287">
        <f>H287/VLOOKUP(B287,Trades!A$1:$M$100361,9,FALSE)</f>
        <v>-1.0600000000000211</v>
      </c>
    </row>
    <row r="288" spans="1:9" x14ac:dyDescent="0.25">
      <c r="A288">
        <f t="shared" si="25"/>
        <v>287</v>
      </c>
      <c r="B288" t="s">
        <v>463</v>
      </c>
      <c r="C288" s="1">
        <v>46176</v>
      </c>
      <c r="D288" t="str">
        <f>VLOOKUP(B288,Trades!A$1:M100647,3,FALSE)</f>
        <v>AMD</v>
      </c>
      <c r="E288" t="s">
        <v>61</v>
      </c>
      <c r="F288">
        <v>538.41999999999996</v>
      </c>
      <c r="G288">
        <v>2</v>
      </c>
      <c r="H288">
        <f>IF(VLOOKUP(B288,Trades!A:M,4,FALSE)="Long",(F288-VLOOKUP(B288,Trades!A:M,6,FALSE))*G288,(VLOOKUP(B288,Trades!A:M,6,FALSE)-F288)*G288)</f>
        <v>12.099999999999909</v>
      </c>
      <c r="I288">
        <f>H288/VLOOKUP(B288,Trades!A$1:$M$100361,9,FALSE)</f>
        <v>1.5124999999999886</v>
      </c>
    </row>
    <row r="289" spans="1:9" x14ac:dyDescent="0.25">
      <c r="A289">
        <f t="shared" ref="A289:A295" si="26">ROW()-1</f>
        <v>288</v>
      </c>
      <c r="B289" t="s">
        <v>464</v>
      </c>
      <c r="C289" s="1">
        <v>46177</v>
      </c>
      <c r="D289" t="str">
        <f>VLOOKUP(B289,Trades!A$1:M100648,3,FALSE)</f>
        <v>BB</v>
      </c>
      <c r="E289" t="s">
        <v>61</v>
      </c>
      <c r="F289">
        <v>10.35</v>
      </c>
      <c r="G289">
        <v>4</v>
      </c>
      <c r="H289">
        <f>IF(VLOOKUP(B289,Trades!A:M,4,FALSE)="Long",(F289-VLOOKUP(B289,Trades!A:M,6,FALSE))*G289,(VLOOKUP(B289,Trades!A:M,6,FALSE)-F289)*G289)</f>
        <v>8.519999999999996</v>
      </c>
      <c r="I289">
        <f>H289/VLOOKUP(B289,Trades!A$1:$M$100361,9,FALSE)</f>
        <v>2.1299999999999972</v>
      </c>
    </row>
    <row r="290" spans="1:9" x14ac:dyDescent="0.25">
      <c r="A290">
        <f t="shared" si="26"/>
        <v>289</v>
      </c>
      <c r="B290" t="s">
        <v>465</v>
      </c>
      <c r="C290" s="1">
        <v>46177</v>
      </c>
      <c r="D290" t="str">
        <f>VLOOKUP(B290,Trades!A$1:M100649,3,FALSE)</f>
        <v>AAPL</v>
      </c>
      <c r="E290" t="s">
        <v>61</v>
      </c>
      <c r="F290">
        <v>310.8</v>
      </c>
      <c r="G290">
        <v>3</v>
      </c>
      <c r="H290">
        <f>IF(VLOOKUP(B290,Trades!A:M,4,FALSE)="Long",(F290-VLOOKUP(B290,Trades!A:M,6,FALSE))*G290,(VLOOKUP(B290,Trades!A:M,6,FALSE)-F290)*G290)</f>
        <v>-4.1999999999999318</v>
      </c>
      <c r="I290">
        <f>H290/VLOOKUP(B290,Trades!A$1:$M$100361,9,FALSE)</f>
        <v>-1.0071942446043101</v>
      </c>
    </row>
    <row r="291" spans="1:9" x14ac:dyDescent="0.25">
      <c r="A291">
        <f t="shared" si="26"/>
        <v>290</v>
      </c>
      <c r="B291" t="s">
        <v>466</v>
      </c>
      <c r="C291" s="1">
        <v>46177</v>
      </c>
      <c r="D291" t="str">
        <f>VLOOKUP(B291,Trades!A$1:M100650,3,FALSE)</f>
        <v>VIPS</v>
      </c>
      <c r="E291" t="s">
        <v>61</v>
      </c>
      <c r="F291">
        <v>13.96</v>
      </c>
      <c r="G291">
        <v>13.96</v>
      </c>
      <c r="H291">
        <f>IF(VLOOKUP(B291,Trades!A:M,4,FALSE)="Long",(F291-VLOOKUP(B291,Trades!A:M,6,FALSE))*G291,(VLOOKUP(B291,Trades!A:M,6,FALSE)-F291)*G291)</f>
        <v>-7.8175999999999828</v>
      </c>
      <c r="I291">
        <f>H291/VLOOKUP(B291,Trades!A$1:$M$100361,9,FALSE)</f>
        <v>-1.3029333333333304</v>
      </c>
    </row>
    <row r="292" spans="1:9" x14ac:dyDescent="0.25">
      <c r="A292">
        <f t="shared" si="26"/>
        <v>291</v>
      </c>
      <c r="B292" t="s">
        <v>467</v>
      </c>
      <c r="C292" s="1">
        <v>46177</v>
      </c>
      <c r="D292" t="str">
        <f>VLOOKUP(B292,Trades!A$1:M100651,3,FALSE)</f>
        <v>APP</v>
      </c>
      <c r="E292" t="s">
        <v>61</v>
      </c>
      <c r="F292">
        <v>573.86</v>
      </c>
      <c r="G292">
        <v>2</v>
      </c>
      <c r="H292">
        <f>IF(VLOOKUP(B292,Trades!A:M,4,FALSE)="Long",(F292-VLOOKUP(B292,Trades!A:M,6,FALSE))*G292,(VLOOKUP(B292,Trades!A:M,6,FALSE)-F292)*G292)</f>
        <v>-9.2400000000000091</v>
      </c>
      <c r="I292">
        <f>H292/VLOOKUP(B292,Trades!A$1:$M$100361,9,FALSE)</f>
        <v>-1.5400000000000016</v>
      </c>
    </row>
    <row r="293" spans="1:9" x14ac:dyDescent="0.25">
      <c r="A293">
        <f t="shared" si="26"/>
        <v>292</v>
      </c>
      <c r="B293" t="s">
        <v>468</v>
      </c>
      <c r="C293" s="1">
        <v>46177</v>
      </c>
      <c r="D293" t="str">
        <f>VLOOKUP(B293,Trades!A$1:M100652,3,FALSE)</f>
        <v>MDT</v>
      </c>
      <c r="E293" t="s">
        <v>61</v>
      </c>
      <c r="F293">
        <v>81.31</v>
      </c>
      <c r="G293">
        <v>10</v>
      </c>
      <c r="H293">
        <f>IF(VLOOKUP(B293,Trades!A:M,4,FALSE)="Long",(F293-VLOOKUP(B293,Trades!A:M,6,FALSE))*G293,(VLOOKUP(B293,Trades!A:M,6,FALSE)-F293)*G293)</f>
        <v>-5.3000000000000114</v>
      </c>
      <c r="I293">
        <f>H293/VLOOKUP(B293,Trades!A$1:$M$100361,9,FALSE)</f>
        <v>-0.96363636363637073</v>
      </c>
    </row>
    <row r="294" spans="1:9" x14ac:dyDescent="0.25">
      <c r="A294">
        <f t="shared" si="26"/>
        <v>293</v>
      </c>
      <c r="B294" t="s">
        <v>469</v>
      </c>
      <c r="C294" s="1">
        <v>46177</v>
      </c>
      <c r="D294" t="str">
        <f>VLOOKUP(B294,Trades!A$1:M100653,3,FALSE)</f>
        <v>RTX</v>
      </c>
      <c r="E294" t="s">
        <v>61</v>
      </c>
      <c r="F294">
        <v>178.05</v>
      </c>
      <c r="G294">
        <v>10</v>
      </c>
      <c r="H294">
        <f>IF(VLOOKUP(B294,Trades!A:M,4,FALSE)="Long",(F294-VLOOKUP(B294,Trades!A:M,6,FALSE))*G294,(VLOOKUP(B294,Trades!A:M,6,FALSE)-F294)*G294)</f>
        <v>-11.099999999999852</v>
      </c>
      <c r="I294">
        <f>H294/VLOOKUP(B294,Trades!A$1:$M$100361,9,FALSE)</f>
        <v>-1.3874999999999815</v>
      </c>
    </row>
    <row r="295" spans="1:9" x14ac:dyDescent="0.25">
      <c r="A295">
        <f t="shared" si="26"/>
        <v>294</v>
      </c>
      <c r="B295" t="s">
        <v>470</v>
      </c>
      <c r="C295" s="1">
        <v>46177</v>
      </c>
      <c r="D295" t="str">
        <f>VLOOKUP(B295,Trades!A$1:M100654,3,FALSE)</f>
        <v>AVGO</v>
      </c>
      <c r="E295" t="s">
        <v>61</v>
      </c>
      <c r="F295">
        <v>410.2</v>
      </c>
      <c r="G295">
        <v>3</v>
      </c>
      <c r="H295">
        <f>IF(VLOOKUP(B295,Trades!A:M,4,FALSE)="Long",(F295-VLOOKUP(B295,Trades!A:M,6,FALSE))*G295,(VLOOKUP(B295,Trades!A:M,6,FALSE)-F295)*G295)</f>
        <v>-7.1699999999999591</v>
      </c>
      <c r="I295">
        <f>H295/VLOOKUP(B295,Trades!A$1:$M$100361,9,FALSE)</f>
        <v>-1.0084388185654174</v>
      </c>
    </row>
    <row r="296" spans="1:9" x14ac:dyDescent="0.25">
      <c r="A296">
        <f t="shared" ref="A296:A304" si="27">ROW()-1</f>
        <v>295</v>
      </c>
      <c r="B296" t="s">
        <v>471</v>
      </c>
      <c r="C296" s="1">
        <v>46178</v>
      </c>
      <c r="D296" t="str">
        <f>VLOOKUP(B296,Trades!A$1:M100655,3,FALSE)</f>
        <v>RIOT</v>
      </c>
      <c r="E296" t="s">
        <v>61</v>
      </c>
      <c r="F296">
        <v>26.03</v>
      </c>
      <c r="G296">
        <v>8</v>
      </c>
      <c r="H296">
        <f>IF(VLOOKUP(B296,Trades!A:M,4,FALSE)="Long",(F296-VLOOKUP(B296,Trades!A:M,6,FALSE))*G296,(VLOOKUP(B296,Trades!A:M,6,FALSE)-F296)*G296)</f>
        <v>-15.519999999999982</v>
      </c>
      <c r="I296">
        <f>H296/VLOOKUP(B296,Trades!A$1:$M$100361,9,FALSE)</f>
        <v>-0.96999999999999886</v>
      </c>
    </row>
    <row r="297" spans="1:9" x14ac:dyDescent="0.25">
      <c r="A297">
        <f t="shared" si="27"/>
        <v>296</v>
      </c>
      <c r="B297" t="s">
        <v>473</v>
      </c>
      <c r="C297" s="1">
        <v>46178</v>
      </c>
      <c r="D297" t="str">
        <f>VLOOKUP(B297,Trades!A$1:M100656,3,FALSE)</f>
        <v>APP</v>
      </c>
      <c r="E297" t="s">
        <v>61</v>
      </c>
      <c r="F297">
        <v>586.45000000000005</v>
      </c>
      <c r="G297">
        <v>2</v>
      </c>
      <c r="H297">
        <f>IF(VLOOKUP(B297,Trades!A:M,4,FALSE)="Long",(F297-VLOOKUP(B297,Trades!A:M,6,FALSE))*G297,(VLOOKUP(B297,Trades!A:M,6,FALSE)-F297)*G297)</f>
        <v>-12.799999999999955</v>
      </c>
      <c r="I297">
        <f>H297/VLOOKUP(B297,Trades!A$1:$M$100361,9,FALSE)</f>
        <v>-1.0666666666666629</v>
      </c>
    </row>
    <row r="298" spans="1:9" x14ac:dyDescent="0.25">
      <c r="A298">
        <f t="shared" si="27"/>
        <v>297</v>
      </c>
      <c r="B298" t="s">
        <v>475</v>
      </c>
      <c r="C298" s="1">
        <v>46178</v>
      </c>
      <c r="D298" t="str">
        <f>VLOOKUP(B298,Trades!A$1:M100657,3,FALSE)</f>
        <v>UNH</v>
      </c>
      <c r="E298" t="s">
        <v>61</v>
      </c>
      <c r="F298">
        <v>398.6</v>
      </c>
      <c r="G298">
        <v>2</v>
      </c>
      <c r="H298">
        <f>IF(VLOOKUP(B298,Trades!A:M,4,FALSE)="Long",(F298-VLOOKUP(B298,Trades!A:M,6,FALSE))*G298,(VLOOKUP(B298,Trades!A:M,6,FALSE)-F298)*G298)</f>
        <v>-6.4799999999999045</v>
      </c>
      <c r="I298">
        <f>H298/VLOOKUP(B298,Trades!A$1:$M$100361,9,FALSE)</f>
        <v>-1.018867924528303</v>
      </c>
    </row>
    <row r="299" spans="1:9" x14ac:dyDescent="0.25">
      <c r="A299">
        <f t="shared" si="27"/>
        <v>298</v>
      </c>
      <c r="B299" t="s">
        <v>476</v>
      </c>
      <c r="C299" s="1">
        <v>46178</v>
      </c>
      <c r="D299" t="str">
        <f>VLOOKUP(B299,Trades!A$1:M100658,3,FALSE)</f>
        <v>CRWD</v>
      </c>
      <c r="E299" t="s">
        <v>61</v>
      </c>
      <c r="F299">
        <v>692.78</v>
      </c>
      <c r="G299">
        <v>2</v>
      </c>
      <c r="H299">
        <f>IF(VLOOKUP(B299,Trades!A:M,4,FALSE)="Long",(F299-VLOOKUP(B299,Trades!A:M,6,FALSE))*G299,(VLOOKUP(B299,Trades!A:M,6,FALSE)-F299)*G299)</f>
        <v>-8.7200000000000273</v>
      </c>
      <c r="I299">
        <f>H299/VLOOKUP(B299,Trades!A$1:$M$100361,9,FALSE)</f>
        <v>-1.0900000000000034</v>
      </c>
    </row>
    <row r="300" spans="1:9" x14ac:dyDescent="0.25">
      <c r="A300">
        <f t="shared" si="27"/>
        <v>299</v>
      </c>
      <c r="B300" t="s">
        <v>477</v>
      </c>
      <c r="C300" s="1">
        <v>46178</v>
      </c>
      <c r="D300" t="str">
        <f>VLOOKUP(B300,Trades!A$1:M100659,3,FALSE)</f>
        <v>ABBV</v>
      </c>
      <c r="E300" t="s">
        <v>61</v>
      </c>
      <c r="F300">
        <v>227.49</v>
      </c>
      <c r="G300">
        <v>4</v>
      </c>
      <c r="H300">
        <f>IF(VLOOKUP(B300,Trades!A:M,4,FALSE)="Long",(F300-VLOOKUP(B300,Trades!A:M,6,FALSE))*G300,(VLOOKUP(B300,Trades!A:M,6,FALSE)-F300)*G300)</f>
        <v>-5.8399999999999181</v>
      </c>
      <c r="I300">
        <f>H300/VLOOKUP(B300,Trades!A$1:$M$100361,9,FALSE)</f>
        <v>-1.3153153153153059</v>
      </c>
    </row>
    <row r="301" spans="1:9" x14ac:dyDescent="0.25">
      <c r="A301">
        <f t="shared" si="27"/>
        <v>300</v>
      </c>
      <c r="B301" t="s">
        <v>478</v>
      </c>
      <c r="C301" s="1">
        <v>46178</v>
      </c>
      <c r="D301" t="str">
        <f>VLOOKUP(B301,Trades!A$1:M100660,3,FALSE)</f>
        <v>CRWD</v>
      </c>
      <c r="E301" t="s">
        <v>61</v>
      </c>
      <c r="F301">
        <v>686.75</v>
      </c>
      <c r="G301">
        <v>1</v>
      </c>
      <c r="H301">
        <f>IF(VLOOKUP(B301,Trades!A:M,4,FALSE)="Long",(F301-VLOOKUP(B301,Trades!A:M,6,FALSE))*G301,(VLOOKUP(B301,Trades!A:M,6,FALSE)-F301)*G301)</f>
        <v>-5.6399999999999864</v>
      </c>
      <c r="I301">
        <f>H301/VLOOKUP(B301,Trades!A$1:$M$100361,9,FALSE)</f>
        <v>-0.93999999999999773</v>
      </c>
    </row>
    <row r="302" spans="1:9" x14ac:dyDescent="0.25">
      <c r="A302">
        <f t="shared" si="27"/>
        <v>301</v>
      </c>
      <c r="B302" t="s">
        <v>479</v>
      </c>
      <c r="C302" s="1">
        <v>46178</v>
      </c>
      <c r="D302" t="str">
        <f>VLOOKUP(B302,Trades!A$1:M100661,3,FALSE)</f>
        <v>NVDA</v>
      </c>
      <c r="E302" t="s">
        <v>61</v>
      </c>
      <c r="F302">
        <v>212.46</v>
      </c>
      <c r="G302">
        <v>4</v>
      </c>
      <c r="H302">
        <f>IF(VLOOKUP(B302,Trades!A:M,4,FALSE)="Long",(F302-VLOOKUP(B302,Trades!A:M,6,FALSE))*G302,(VLOOKUP(B302,Trades!A:M,6,FALSE)-F302)*G302)</f>
        <v>-4</v>
      </c>
      <c r="I302">
        <f>H302/VLOOKUP(B302,Trades!A$1:$M$100361,9,FALSE)</f>
        <v>-1</v>
      </c>
    </row>
    <row r="303" spans="1:9" x14ac:dyDescent="0.25">
      <c r="A303">
        <f t="shared" si="27"/>
        <v>302</v>
      </c>
      <c r="B303" t="s">
        <v>481</v>
      </c>
      <c r="C303" s="1">
        <v>46178</v>
      </c>
      <c r="D303" t="str">
        <f>VLOOKUP(B303,Trades!A$1:M100662,3,FALSE)</f>
        <v>PZG</v>
      </c>
      <c r="E303" t="s">
        <v>61</v>
      </c>
      <c r="F303">
        <v>1.19</v>
      </c>
      <c r="G303">
        <v>20</v>
      </c>
      <c r="H303">
        <f>IF(VLOOKUP(B303,Trades!A:M,4,FALSE)="Long",(F303-VLOOKUP(B303,Trades!A:M,6,FALSE))*G303,(VLOOKUP(B303,Trades!A:M,6,FALSE)-F303)*G303)</f>
        <v>-6.2000000000000011</v>
      </c>
      <c r="I303">
        <f>H303/VLOOKUP(B303,Trades!A$1:$M$100361,9,FALSE)</f>
        <v>-1</v>
      </c>
    </row>
    <row r="304" spans="1:9" x14ac:dyDescent="0.25">
      <c r="A304">
        <f t="shared" si="27"/>
        <v>303</v>
      </c>
      <c r="B304" t="s">
        <v>482</v>
      </c>
      <c r="C304" s="1">
        <v>46178</v>
      </c>
      <c r="D304" t="str">
        <f>VLOOKUP(B304,Trades!A$1:M100663,3,FALSE)</f>
        <v>AMZN</v>
      </c>
      <c r="E304" t="s">
        <v>61</v>
      </c>
      <c r="F304">
        <v>251.53</v>
      </c>
      <c r="G304">
        <v>4</v>
      </c>
      <c r="H304">
        <f>IF(VLOOKUP(B304,Trades!A:M,4,FALSE)="Long",(F304-VLOOKUP(B304,Trades!A:M,6,FALSE))*G304,(VLOOKUP(B304,Trades!A:M,6,FALSE)-F304)*G304)</f>
        <v>-8.8799999999999955</v>
      </c>
      <c r="I304">
        <f>H304/VLOOKUP(B304,Trades!A$1:$M$100361,9,FALSE)</f>
        <v>-1.1099999999999994</v>
      </c>
    </row>
    <row r="305" spans="1:9" x14ac:dyDescent="0.25">
      <c r="A305">
        <f t="shared" ref="A305:A313" si="28">ROW()-1</f>
        <v>304</v>
      </c>
      <c r="B305" t="s">
        <v>483</v>
      </c>
      <c r="C305" s="1">
        <v>46181</v>
      </c>
      <c r="D305" t="str">
        <f>VLOOKUP(B305,Trades!A$1:M100664,3,FALSE)</f>
        <v>INTC</v>
      </c>
      <c r="E305" t="s">
        <v>61</v>
      </c>
      <c r="F305">
        <v>109.87</v>
      </c>
      <c r="G305">
        <v>8</v>
      </c>
      <c r="H305">
        <f>IF(VLOOKUP(B305,Trades!A:M,4,FALSE)="Long",(F305-VLOOKUP(B305,Trades!A:M,6,FALSE))*G305,(VLOOKUP(B305,Trades!A:M,6,FALSE)-F305)*G305)</f>
        <v>-2.8799999999999955</v>
      </c>
      <c r="I305">
        <f>H305/VLOOKUP(B305,Trades!A$1:$M$100361,9,FALSE)</f>
        <v>-0.35999999999999943</v>
      </c>
    </row>
    <row r="306" spans="1:9" x14ac:dyDescent="0.25">
      <c r="A306">
        <f t="shared" si="28"/>
        <v>305</v>
      </c>
      <c r="B306" t="s">
        <v>484</v>
      </c>
      <c r="C306" s="1">
        <v>46181</v>
      </c>
      <c r="D306" t="str">
        <f>VLOOKUP(B306,Trades!A$1:M100665,3,FALSE)</f>
        <v>APP</v>
      </c>
      <c r="E306" t="s">
        <v>61</v>
      </c>
      <c r="F306">
        <v>561.87</v>
      </c>
      <c r="G306">
        <v>2</v>
      </c>
      <c r="H306">
        <f>IF(VLOOKUP(B306,Trades!A:M,4,FALSE)="Long",(F306-VLOOKUP(B306,Trades!A:M,6,FALSE))*G306,(VLOOKUP(B306,Trades!A:M,6,FALSE)-F306)*G306)</f>
        <v>-10.319999999999936</v>
      </c>
      <c r="I306">
        <f>H306/VLOOKUP(B306,Trades!A$1:$M$100361,9,FALSE)</f>
        <v>-0.85999999999999466</v>
      </c>
    </row>
    <row r="307" spans="1:9" x14ac:dyDescent="0.25">
      <c r="A307">
        <f t="shared" si="28"/>
        <v>306</v>
      </c>
      <c r="B307" t="s">
        <v>485</v>
      </c>
      <c r="C307" s="1">
        <v>46181</v>
      </c>
      <c r="D307" t="str">
        <f>VLOOKUP(B307,Trades!A$1:M100666,3,FALSE)</f>
        <v>NVDA</v>
      </c>
      <c r="E307" t="s">
        <v>61</v>
      </c>
      <c r="F307">
        <v>208.03</v>
      </c>
      <c r="G307">
        <v>4</v>
      </c>
      <c r="H307">
        <f>IF(VLOOKUP(B307,Trades!A:M,4,FALSE)="Long",(F307-VLOOKUP(B307,Trades!A:M,6,FALSE))*G307,(VLOOKUP(B307,Trades!A:M,6,FALSE)-F307)*G307)</f>
        <v>-5.0800000000000409</v>
      </c>
      <c r="I307">
        <f>H307/VLOOKUP(B307,Trades!A$1:$M$100361,9,FALSE)</f>
        <v>-0.98449612403100006</v>
      </c>
    </row>
    <row r="308" spans="1:9" x14ac:dyDescent="0.25">
      <c r="A308">
        <f t="shared" si="28"/>
        <v>307</v>
      </c>
      <c r="B308" t="s">
        <v>487</v>
      </c>
      <c r="C308" s="1">
        <v>46181</v>
      </c>
      <c r="D308" t="str">
        <f>VLOOKUP(B308,Trades!A$1:M100667,3,FALSE)</f>
        <v>TSLA</v>
      </c>
      <c r="E308" t="s">
        <v>61</v>
      </c>
      <c r="F308">
        <v>400.15</v>
      </c>
      <c r="G308">
        <v>3</v>
      </c>
      <c r="H308">
        <f>IF(VLOOKUP(B308,Trades!A:M,4,FALSE)="Long",(F308-VLOOKUP(B308,Trades!A:M,6,FALSE))*G308,(VLOOKUP(B308,Trades!A:M,6,FALSE)-F308)*G308)</f>
        <v>-6.5400000000000205</v>
      </c>
      <c r="I308">
        <f>H308/VLOOKUP(B308,Trades!A$1:$M$100361,9,FALSE)</f>
        <v>-0.69426751592357205</v>
      </c>
    </row>
    <row r="309" spans="1:9" x14ac:dyDescent="0.25">
      <c r="A309">
        <f t="shared" si="28"/>
        <v>308</v>
      </c>
      <c r="B309" t="s">
        <v>488</v>
      </c>
      <c r="C309" s="1">
        <v>46177</v>
      </c>
      <c r="D309" t="str">
        <f>VLOOKUP(B309,Trades!A$1:M100668,3,FALSE)</f>
        <v>APP</v>
      </c>
      <c r="E309" t="s">
        <v>61</v>
      </c>
      <c r="F309">
        <v>572.05999999999995</v>
      </c>
      <c r="G309">
        <v>2</v>
      </c>
      <c r="H309">
        <f>IF(VLOOKUP(B309,Trades!A:M,4,FALSE)="Long",(F309-VLOOKUP(B309,Trades!A:M,6,FALSE))*G309,(VLOOKUP(B309,Trades!A:M,6,FALSE)-F309)*G309)</f>
        <v>-6.9800000000000182</v>
      </c>
      <c r="I309">
        <f>H309/VLOOKUP(B309,Trades!A$1:$M$100361,9,FALSE)</f>
        <v>-1.1633333333333364</v>
      </c>
    </row>
    <row r="310" spans="1:9" x14ac:dyDescent="0.25">
      <c r="A310">
        <f t="shared" si="28"/>
        <v>309</v>
      </c>
      <c r="B310" t="s">
        <v>489</v>
      </c>
      <c r="C310" s="1">
        <v>46181</v>
      </c>
      <c r="D310" t="str">
        <f>VLOOKUP(B310,Trades!A$1:M100669,3,FALSE)</f>
        <v>MNST</v>
      </c>
      <c r="E310" t="s">
        <v>61</v>
      </c>
      <c r="F310">
        <v>88.55</v>
      </c>
      <c r="G310">
        <v>8</v>
      </c>
      <c r="H310">
        <f>IF(VLOOKUP(B310,Trades!A:M,4,FALSE)="Long",(F310-VLOOKUP(B310,Trades!A:M,6,FALSE))*G310,(VLOOKUP(B310,Trades!A:M,6,FALSE)-F310)*G310)</f>
        <v>-8.1599999999999682</v>
      </c>
      <c r="I310">
        <f>H310/VLOOKUP(B310,Trades!A$1:$M$100361,9,FALSE)</f>
        <v>-1.019999999999996</v>
      </c>
    </row>
    <row r="311" spans="1:9" x14ac:dyDescent="0.25">
      <c r="A311">
        <f t="shared" si="28"/>
        <v>310</v>
      </c>
      <c r="B311" t="s">
        <v>490</v>
      </c>
      <c r="C311" s="1">
        <v>46181</v>
      </c>
      <c r="D311" t="str">
        <f>VLOOKUP(B311,Trades!A$1:M100670,3,FALSE)</f>
        <v>APP</v>
      </c>
      <c r="E311" t="s">
        <v>61</v>
      </c>
      <c r="F311">
        <v>565.4</v>
      </c>
      <c r="G311">
        <v>2</v>
      </c>
      <c r="H311">
        <f>IF(VLOOKUP(B311,Trades!A:M,4,FALSE)="Long",(F311-VLOOKUP(B311,Trades!A:M,6,FALSE))*G311,(VLOOKUP(B311,Trades!A:M,6,FALSE)-F311)*G311)</f>
        <v>3.2799999999999727</v>
      </c>
      <c r="I311">
        <f>H311/VLOOKUP(B311,Trades!A$1:$M$100361,9,FALSE)</f>
        <v>0.65599999999999459</v>
      </c>
    </row>
    <row r="312" spans="1:9" x14ac:dyDescent="0.25">
      <c r="A312">
        <f t="shared" si="28"/>
        <v>311</v>
      </c>
      <c r="B312" t="s">
        <v>492</v>
      </c>
      <c r="C312" s="1">
        <v>46181</v>
      </c>
      <c r="D312" t="str">
        <f>VLOOKUP(B312,Trades!A$1:M100671,3,FALSE)</f>
        <v>MRVL</v>
      </c>
      <c r="E312" t="s">
        <v>61</v>
      </c>
      <c r="F312">
        <v>293.76</v>
      </c>
      <c r="G312">
        <v>3</v>
      </c>
      <c r="H312">
        <f>IF(VLOOKUP(B312,Trades!A:M,4,FALSE)="Long",(F312-VLOOKUP(B312,Trades!A:M,6,FALSE))*G312,(VLOOKUP(B312,Trades!A:M,6,FALSE)-F312)*G312)</f>
        <v>12.269999999999925</v>
      </c>
      <c r="I312">
        <f>H312/VLOOKUP(B312,Trades!A$1:$M$100361,9,FALSE)</f>
        <v>1.1685714285714215</v>
      </c>
    </row>
    <row r="313" spans="1:9" x14ac:dyDescent="0.25">
      <c r="A313">
        <f t="shared" si="28"/>
        <v>312</v>
      </c>
      <c r="B313" t="s">
        <v>493</v>
      </c>
      <c r="C313" s="1">
        <v>46181</v>
      </c>
      <c r="D313" t="str">
        <f>VLOOKUP(B313,Trades!A$1:M100672,3,FALSE)</f>
        <v>ABAT</v>
      </c>
      <c r="E313" t="s">
        <v>61</v>
      </c>
      <c r="F313">
        <v>3.93</v>
      </c>
      <c r="G313">
        <v>50</v>
      </c>
      <c r="H313">
        <f>IF(VLOOKUP(B313,Trades!A:M,4,FALSE)="Long",(F313-VLOOKUP(B313,Trades!A:M,6,FALSE))*G313,(VLOOKUP(B313,Trades!A:M,6,FALSE)-F313)*G313)</f>
        <v>-5.0000000000000044</v>
      </c>
      <c r="I313">
        <f>H313/VLOOKUP(B313,Trades!A$1:$M$100361,9,FALSE)</f>
        <v>-1</v>
      </c>
    </row>
    <row r="314" spans="1:9" x14ac:dyDescent="0.25">
      <c r="A314">
        <f t="shared" ref="A314:A320" si="29">ROW()-1</f>
        <v>313</v>
      </c>
      <c r="B314" t="s">
        <v>496</v>
      </c>
      <c r="C314" s="1">
        <v>46182</v>
      </c>
      <c r="D314" t="str">
        <f>VLOOKUP(B314,Trades!A$1:M100673,3,FALSE)</f>
        <v>NVDA</v>
      </c>
      <c r="E314" t="s">
        <v>61</v>
      </c>
      <c r="F314">
        <v>209.38</v>
      </c>
      <c r="G314">
        <v>4</v>
      </c>
      <c r="H314">
        <f>IF(VLOOKUP(B314,Trades!A:M,4,FALSE)="Long",(F314-VLOOKUP(B314,Trades!A:M,6,FALSE))*G314,(VLOOKUP(B314,Trades!A:M,6,FALSE)-F314)*G314)</f>
        <v>-4.1200000000000045</v>
      </c>
      <c r="I314">
        <f>H314/VLOOKUP(B314,Trades!A$1:$M$100361,9,FALSE)</f>
        <v>-1.0300000000000011</v>
      </c>
    </row>
    <row r="315" spans="1:9" x14ac:dyDescent="0.25">
      <c r="A315">
        <f t="shared" si="29"/>
        <v>314</v>
      </c>
      <c r="B315" t="s">
        <v>497</v>
      </c>
      <c r="C315" s="1">
        <v>46182</v>
      </c>
      <c r="D315" t="str">
        <f>VLOOKUP(B315,Trades!A$1:M100674,3,FALSE)</f>
        <v>MU</v>
      </c>
      <c r="E315" t="s">
        <v>61</v>
      </c>
      <c r="F315">
        <v>967.91</v>
      </c>
      <c r="G315">
        <v>1</v>
      </c>
      <c r="H315">
        <f>IF(VLOOKUP(B315,Trades!A:M,4,FALSE)="Long",(F315-VLOOKUP(B315,Trades!A:M,6,FALSE))*G315,(VLOOKUP(B315,Trades!A:M,6,FALSE)-F315)*G315)</f>
        <v>-11.75</v>
      </c>
      <c r="I315">
        <f>H315/VLOOKUP(B315,Trades!A$1:$M$100361,9,FALSE)</f>
        <v>-0.97916666666666663</v>
      </c>
    </row>
    <row r="316" spans="1:9" x14ac:dyDescent="0.25">
      <c r="A316">
        <f t="shared" si="29"/>
        <v>315</v>
      </c>
      <c r="B316" t="s">
        <v>498</v>
      </c>
      <c r="C316" s="1">
        <v>46182</v>
      </c>
      <c r="D316" t="str">
        <f>VLOOKUP(B316,Trades!A$1:M100675,3,FALSE)</f>
        <v>INTC</v>
      </c>
      <c r="E316" t="s">
        <v>61</v>
      </c>
      <c r="F316">
        <v>111.23</v>
      </c>
      <c r="G316">
        <v>6</v>
      </c>
      <c r="H316">
        <f>IF(VLOOKUP(B316,Trades!A:M,4,FALSE)="Long",(F316-VLOOKUP(B316,Trades!A:M,6,FALSE))*G316,(VLOOKUP(B316,Trades!A:M,6,FALSE)-F316)*G316)</f>
        <v>-6.1199999999999761</v>
      </c>
      <c r="I316">
        <f>H316/VLOOKUP(B316,Trades!A$1:$M$100361,9,FALSE)</f>
        <v>-1.019999999999996</v>
      </c>
    </row>
    <row r="317" spans="1:9" x14ac:dyDescent="0.25">
      <c r="A317">
        <f t="shared" si="29"/>
        <v>316</v>
      </c>
      <c r="B317" t="s">
        <v>499</v>
      </c>
      <c r="C317" s="1">
        <v>46182</v>
      </c>
      <c r="D317" t="str">
        <f>VLOOKUP(B317,Trades!A$1:M100676,3,FALSE)</f>
        <v>AMZN</v>
      </c>
      <c r="E317" t="s">
        <v>61</v>
      </c>
      <c r="F317">
        <v>247.96</v>
      </c>
      <c r="G317">
        <v>4</v>
      </c>
      <c r="H317">
        <f>IF(VLOOKUP(B317,Trades!A:M,4,FALSE)="Long",(F317-VLOOKUP(B317,Trades!A:M,6,FALSE))*G317,(VLOOKUP(B317,Trades!A:M,6,FALSE)-F317)*G317)</f>
        <v>-3.7999999999999545</v>
      </c>
      <c r="I317">
        <f>H317/VLOOKUP(B317,Trades!A$1:$M$100361,9,FALSE)</f>
        <v>-0.94999999999998863</v>
      </c>
    </row>
    <row r="318" spans="1:9" x14ac:dyDescent="0.25">
      <c r="A318">
        <f t="shared" si="29"/>
        <v>317</v>
      </c>
      <c r="B318" t="s">
        <v>500</v>
      </c>
      <c r="C318" s="1">
        <v>46182</v>
      </c>
      <c r="D318" t="str">
        <f>VLOOKUP(B318,Trades!A$1:M100677,3,FALSE)</f>
        <v>META</v>
      </c>
      <c r="E318" t="s">
        <v>61</v>
      </c>
      <c r="F318">
        <v>590.63</v>
      </c>
      <c r="G318">
        <v>2</v>
      </c>
      <c r="H318">
        <f>IF(VLOOKUP(B318,Trades!A:M,4,FALSE)="Long",(F318-VLOOKUP(B318,Trades!A:M,6,FALSE))*G318,(VLOOKUP(B318,Trades!A:M,6,FALSE)-F318)*G318)</f>
        <v>-6.1400000000001</v>
      </c>
      <c r="I318">
        <f>H318/VLOOKUP(B318,Trades!A$1:$M$100361,9,FALSE)</f>
        <v>-1.0233333333333501</v>
      </c>
    </row>
    <row r="319" spans="1:9" x14ac:dyDescent="0.25">
      <c r="A319">
        <f t="shared" si="29"/>
        <v>318</v>
      </c>
      <c r="B319" t="s">
        <v>501</v>
      </c>
      <c r="C319" s="1">
        <v>46182</v>
      </c>
      <c r="D319" t="str">
        <f>VLOOKUP(B319,Trades!A$1:M100678,3,FALSE)</f>
        <v>HUM</v>
      </c>
      <c r="E319" t="s">
        <v>61</v>
      </c>
      <c r="F319">
        <v>356.4</v>
      </c>
      <c r="G319">
        <v>3</v>
      </c>
      <c r="H319">
        <f>IF(VLOOKUP(B319,Trades!A:M,4,FALSE)="Long",(F319-VLOOKUP(B319,Trades!A:M,6,FALSE))*G319,(VLOOKUP(B319,Trades!A:M,6,FALSE)-F319)*G319)</f>
        <v>-10.020000000000095</v>
      </c>
      <c r="I319">
        <f>H319/VLOOKUP(B319,Trades!A$1:$M$100361,9,FALSE)</f>
        <v>-1.1133333333333439</v>
      </c>
    </row>
    <row r="320" spans="1:9" x14ac:dyDescent="0.25">
      <c r="A320">
        <f t="shared" si="29"/>
        <v>319</v>
      </c>
      <c r="B320" t="s">
        <v>502</v>
      </c>
      <c r="C320" s="1">
        <v>46182</v>
      </c>
      <c r="D320" t="str">
        <f>VLOOKUP(B320,Trades!A$1:M100679,3,FALSE)</f>
        <v>MRVL</v>
      </c>
      <c r="E320" t="s">
        <v>61</v>
      </c>
      <c r="F320">
        <v>255.91</v>
      </c>
      <c r="G320">
        <v>5</v>
      </c>
      <c r="H320">
        <f>IF(VLOOKUP(B320,Trades!A:M,4,FALSE)="Long",(F320-VLOOKUP(B320,Trades!A:M,6,FALSE))*G320,(VLOOKUP(B320,Trades!A:M,6,FALSE)-F320)*G320)</f>
        <v>-155.00000000000014</v>
      </c>
      <c r="I320">
        <f>H320/VLOOKUP(B320,Trades!A$1:$M$100361,9,FALSE)</f>
        <v>-5.1666666666666714</v>
      </c>
    </row>
    <row r="321" spans="1:9" x14ac:dyDescent="0.25">
      <c r="A321">
        <f t="shared" ref="A321:A329" si="30">ROW()-1</f>
        <v>320</v>
      </c>
      <c r="B321" t="s">
        <v>503</v>
      </c>
      <c r="C321" s="1">
        <v>46183</v>
      </c>
      <c r="D321" t="str">
        <f>VLOOKUP(B321,Trades!A$1:M100680,3,FALSE)</f>
        <v>NVDA</v>
      </c>
      <c r="E321" t="s">
        <v>61</v>
      </c>
      <c r="F321">
        <v>205.44</v>
      </c>
      <c r="G321">
        <v>4</v>
      </c>
      <c r="H321">
        <f>IF(VLOOKUP(B321,Trades!A:M,4,FALSE)="Long",(F321-VLOOKUP(B321,Trades!A:M,6,FALSE))*G321,(VLOOKUP(B321,Trades!A:M,6,FALSE)-F321)*G321)</f>
        <v>-3.9600000000000364</v>
      </c>
      <c r="I321">
        <f>H321/VLOOKUP(B321,Trades!A$1:$M$100361,9,FALSE)</f>
        <v>-0.82499999999999585</v>
      </c>
    </row>
    <row r="322" spans="1:9" x14ac:dyDescent="0.25">
      <c r="A322">
        <f t="shared" si="30"/>
        <v>321</v>
      </c>
      <c r="B322" t="s">
        <v>504</v>
      </c>
      <c r="C322" s="1">
        <v>46183</v>
      </c>
      <c r="D322" t="str">
        <f>VLOOKUP(B322,Trades!A$1:M100681,3,FALSE)</f>
        <v>AMD</v>
      </c>
      <c r="E322" t="s">
        <v>61</v>
      </c>
      <c r="F322">
        <v>470.31</v>
      </c>
      <c r="G322">
        <v>2</v>
      </c>
      <c r="H322">
        <f>IF(VLOOKUP(B322,Trades!A:M,4,FALSE)="Long",(F322-VLOOKUP(B322,Trades!A:M,6,FALSE))*G322,(VLOOKUP(B322,Trades!A:M,6,FALSE)-F322)*G322)</f>
        <v>-10.399999999999977</v>
      </c>
      <c r="I322">
        <f>H322/VLOOKUP(B322,Trades!A$1:$M$100361,9,FALSE)</f>
        <v>-1.0399999999999978</v>
      </c>
    </row>
    <row r="323" spans="1:9" x14ac:dyDescent="0.25">
      <c r="A323">
        <f t="shared" si="30"/>
        <v>322</v>
      </c>
      <c r="B323" t="s">
        <v>505</v>
      </c>
      <c r="C323" s="1">
        <v>46183</v>
      </c>
      <c r="D323" t="str">
        <f>VLOOKUP(B323,Trades!A$1:M100682,3,FALSE)</f>
        <v>NVDA</v>
      </c>
      <c r="E323" t="s">
        <v>61</v>
      </c>
      <c r="F323">
        <v>204.89</v>
      </c>
      <c r="G323">
        <v>4</v>
      </c>
      <c r="H323">
        <f>IF(VLOOKUP(B323,Trades!A:M,4,FALSE)="Long",(F323-VLOOKUP(B323,Trades!A:M,6,FALSE))*G323,(VLOOKUP(B323,Trades!A:M,6,FALSE)-F323)*G323)</f>
        <v>-8.0800000000000409</v>
      </c>
      <c r="I323">
        <f>H323/VLOOKUP(B323,Trades!A$1:$M$100361,9,FALSE)</f>
        <v>-1.0100000000000051</v>
      </c>
    </row>
    <row r="324" spans="1:9" x14ac:dyDescent="0.25">
      <c r="A324">
        <f t="shared" si="30"/>
        <v>323</v>
      </c>
      <c r="B324" t="s">
        <v>506</v>
      </c>
      <c r="C324" s="1">
        <v>46183</v>
      </c>
      <c r="D324" t="str">
        <f>VLOOKUP(B324,Trades!A$1:M100683,3,FALSE)</f>
        <v>MU</v>
      </c>
      <c r="E324" t="s">
        <v>61</v>
      </c>
      <c r="F324">
        <v>941.98</v>
      </c>
      <c r="G324">
        <v>1</v>
      </c>
      <c r="H324">
        <f>IF(VLOOKUP(B324,Trades!A:M,4,FALSE)="Long",(F324-VLOOKUP(B324,Trades!A:M,6,FALSE))*G324,(VLOOKUP(B324,Trades!A:M,6,FALSE)-F324)*G324)</f>
        <v>28.050000000000068</v>
      </c>
      <c r="I324">
        <f>H324/VLOOKUP(B324,Trades!A$1:$M$100361,9,FALSE)</f>
        <v>7.0125000000000171</v>
      </c>
    </row>
    <row r="325" spans="1:9" x14ac:dyDescent="0.25">
      <c r="A325">
        <f t="shared" si="30"/>
        <v>324</v>
      </c>
      <c r="B325" t="s">
        <v>507</v>
      </c>
      <c r="C325" s="1">
        <v>46183</v>
      </c>
      <c r="D325" t="str">
        <f>VLOOKUP(B325,Trades!A$1:M100684,3,FALSE)</f>
        <v>AMAT</v>
      </c>
      <c r="E325" t="s">
        <v>61</v>
      </c>
      <c r="F325">
        <v>526.70000000000005</v>
      </c>
      <c r="G325">
        <v>1</v>
      </c>
      <c r="H325">
        <f>IF(VLOOKUP(B325,Trades!A:M,4,FALSE)="Long",(F325-VLOOKUP(B325,Trades!A:M,6,FALSE))*G325,(VLOOKUP(B325,Trades!A:M,6,FALSE)-F325)*G325)</f>
        <v>14.79000000000002</v>
      </c>
      <c r="I325">
        <f>H325/VLOOKUP(B325,Trades!A$1:$M$100361,9,FALSE)</f>
        <v>1.4790000000000021</v>
      </c>
    </row>
    <row r="326" spans="1:9" x14ac:dyDescent="0.25">
      <c r="A326">
        <f t="shared" si="30"/>
        <v>325</v>
      </c>
      <c r="B326" t="s">
        <v>508</v>
      </c>
      <c r="C326" s="1">
        <v>46183</v>
      </c>
      <c r="D326" t="str">
        <f>VLOOKUP(B326,Trades!A$1:M100685,3,FALSE)</f>
        <v>AMAT</v>
      </c>
      <c r="E326" t="s">
        <v>61</v>
      </c>
      <c r="F326">
        <v>519.04</v>
      </c>
      <c r="G326">
        <v>2</v>
      </c>
      <c r="H326">
        <f>IF(VLOOKUP(B326,Trades!A:M,4,FALSE)="Long",(F326-VLOOKUP(B326,Trades!A:M,6,FALSE))*G326,(VLOOKUP(B326,Trades!A:M,6,FALSE)-F326)*G326)</f>
        <v>-6</v>
      </c>
      <c r="I326">
        <f>H326/VLOOKUP(B326,Trades!A$1:$M$100361,9,FALSE)</f>
        <v>-1</v>
      </c>
    </row>
    <row r="327" spans="1:9" x14ac:dyDescent="0.25">
      <c r="A327">
        <f t="shared" si="30"/>
        <v>326</v>
      </c>
      <c r="B327" t="s">
        <v>509</v>
      </c>
      <c r="C327" s="1">
        <v>46183</v>
      </c>
      <c r="D327" t="str">
        <f>VLOOKUP(B327,Trades!A$1:M100686,3,FALSE)</f>
        <v>MU</v>
      </c>
      <c r="E327" t="s">
        <v>61</v>
      </c>
      <c r="F327">
        <v>906.7</v>
      </c>
      <c r="G327">
        <v>1</v>
      </c>
      <c r="H327">
        <f>IF(VLOOKUP(B327,Trades!A:M,4,FALSE)="Long",(F327-VLOOKUP(B327,Trades!A:M,6,FALSE))*G327,(VLOOKUP(B327,Trades!A:M,6,FALSE)-F327)*G327)</f>
        <v>-8</v>
      </c>
      <c r="I327">
        <f>H327/VLOOKUP(B327,Trades!A$1:$M$100361,9,FALSE)</f>
        <v>-1</v>
      </c>
    </row>
    <row r="328" spans="1:9" x14ac:dyDescent="0.25">
      <c r="A328">
        <f t="shared" si="30"/>
        <v>327</v>
      </c>
      <c r="B328" t="s">
        <v>510</v>
      </c>
      <c r="C328" s="1">
        <v>46183</v>
      </c>
      <c r="D328" t="str">
        <f>VLOOKUP(B328,Trades!A$1:M100687,3,FALSE)</f>
        <v>AMAT</v>
      </c>
      <c r="E328" t="s">
        <v>61</v>
      </c>
      <c r="F328">
        <v>500.17</v>
      </c>
      <c r="G328">
        <v>1</v>
      </c>
      <c r="H328">
        <f>IF(VLOOKUP(B328,Trades!A:M,4,FALSE)="Long",(F328-VLOOKUP(B328,Trades!A:M,6,FALSE))*G328,(VLOOKUP(B328,Trades!A:M,6,FALSE)-F328)*G328)</f>
        <v>-5.1399999999999864</v>
      </c>
      <c r="I328">
        <f>H328/VLOOKUP(B328,Trades!A$1:$M$100361,9,FALSE)</f>
        <v>-1.0279999999999974</v>
      </c>
    </row>
    <row r="329" spans="1:9" x14ac:dyDescent="0.25">
      <c r="A329">
        <f t="shared" si="30"/>
        <v>328</v>
      </c>
      <c r="B329" t="s">
        <v>511</v>
      </c>
      <c r="C329" s="1">
        <v>46183</v>
      </c>
      <c r="D329" t="str">
        <f>VLOOKUP(B329,Trades!A$1:M100688,3,FALSE)</f>
        <v>TJX</v>
      </c>
      <c r="E329" t="s">
        <v>61</v>
      </c>
      <c r="F329">
        <v>166.22</v>
      </c>
      <c r="G329">
        <v>3</v>
      </c>
      <c r="H329">
        <f>IF(VLOOKUP(B329,Trades!A:M,4,FALSE)="Long",(F329-VLOOKUP(B329,Trades!A:M,6,FALSE))*G329,(VLOOKUP(B329,Trades!A:M,6,FALSE)-F329)*G329)</f>
        <v>7.4700000000000273</v>
      </c>
      <c r="I329">
        <f>H329/VLOOKUP(B329,Trades!A$1:$M$100361,9,FALSE)</f>
        <v>2.5408163265306483</v>
      </c>
    </row>
    <row r="330" spans="1:9" x14ac:dyDescent="0.25">
      <c r="A330">
        <f t="shared" ref="A330:A340" si="31">ROW()-1</f>
        <v>329</v>
      </c>
      <c r="B330" t="s">
        <v>513</v>
      </c>
      <c r="C330" s="1">
        <v>46184</v>
      </c>
      <c r="D330" t="str">
        <f>VLOOKUP(B330,Trades!A$1:M100689,3,FALSE)</f>
        <v>TMDX</v>
      </c>
      <c r="E330" t="s">
        <v>61</v>
      </c>
      <c r="F330">
        <v>65.7</v>
      </c>
      <c r="G330">
        <v>2</v>
      </c>
      <c r="H330">
        <f>IF(VLOOKUP(B330,Trades!A:M,4,FALSE)="Long",(F330-VLOOKUP(B330,Trades!A:M,6,FALSE))*G330,(VLOOKUP(B330,Trades!A:M,6,FALSE)-F330)*G330)</f>
        <v>-7.0999999999999943</v>
      </c>
      <c r="I330">
        <f>H330/VLOOKUP(B330,Trades!A$1:$M$100361,9,FALSE)</f>
        <v>-1.0889570552147214</v>
      </c>
    </row>
    <row r="331" spans="1:9" x14ac:dyDescent="0.25">
      <c r="A331">
        <f t="shared" si="31"/>
        <v>330</v>
      </c>
      <c r="B331" t="s">
        <v>514</v>
      </c>
      <c r="C331" s="1">
        <v>46184</v>
      </c>
      <c r="D331" t="str">
        <f>VLOOKUP(B331,Trades!A$1:M100690,3,FALSE)</f>
        <v>INTC</v>
      </c>
      <c r="E331" t="s">
        <v>61</v>
      </c>
      <c r="F331">
        <v>107.36</v>
      </c>
      <c r="G331">
        <v>8</v>
      </c>
      <c r="H331">
        <f>IF(VLOOKUP(B331,Trades!A:M,4,FALSE)="Long",(F331-VLOOKUP(B331,Trades!A:M,6,FALSE))*G331,(VLOOKUP(B331,Trades!A:M,6,FALSE)-F331)*G331)</f>
        <v>-10.399999999999977</v>
      </c>
      <c r="I331">
        <f>H331/VLOOKUP(B331,Trades!A$1:$M$100361,9,FALSE)</f>
        <v>-1</v>
      </c>
    </row>
    <row r="332" spans="1:9" x14ac:dyDescent="0.25">
      <c r="A332">
        <f t="shared" si="31"/>
        <v>331</v>
      </c>
      <c r="B332" t="s">
        <v>515</v>
      </c>
      <c r="C332" s="1">
        <v>46184</v>
      </c>
      <c r="D332" t="str">
        <f>VLOOKUP(B332,Trades!A$1:M100691,3,FALSE)</f>
        <v>AMAT</v>
      </c>
      <c r="E332" t="s">
        <v>61</v>
      </c>
      <c r="F332">
        <v>522.52</v>
      </c>
      <c r="G332">
        <v>2</v>
      </c>
      <c r="H332">
        <f>IF(VLOOKUP(B332,Trades!A:M,4,FALSE)="Long",(F332-VLOOKUP(B332,Trades!A:M,6,FALSE))*G332,(VLOOKUP(B332,Trades!A:M,6,FALSE)-F332)*G332)</f>
        <v>-9.2999999999999545</v>
      </c>
      <c r="I332">
        <f>H332/VLOOKUP(B332,Trades!A$1:$M$100361,9,FALSE)</f>
        <v>-1.1624999999999943</v>
      </c>
    </row>
    <row r="333" spans="1:9" x14ac:dyDescent="0.25">
      <c r="A333">
        <f t="shared" si="31"/>
        <v>332</v>
      </c>
      <c r="B333" t="s">
        <v>516</v>
      </c>
      <c r="C333" s="1">
        <v>46184</v>
      </c>
      <c r="D333" t="str">
        <f>VLOOKUP(B333,Trades!A$1:M100692,3,FALSE)</f>
        <v>MU</v>
      </c>
      <c r="E333" t="s">
        <v>61</v>
      </c>
      <c r="F333">
        <v>898.9</v>
      </c>
      <c r="G333">
        <v>1</v>
      </c>
      <c r="H333">
        <f>IF(VLOOKUP(B333,Trades!A:M,4,FALSE)="Long",(F333-VLOOKUP(B333,Trades!A:M,6,FALSE))*G333,(VLOOKUP(B333,Trades!A:M,6,FALSE)-F333)*G333)</f>
        <v>-6.1000000000000227</v>
      </c>
      <c r="I333">
        <f>H333/VLOOKUP(B333,Trades!A$1:$M$100361,9,FALSE)</f>
        <v>-1.2200000000000046</v>
      </c>
    </row>
    <row r="334" spans="1:9" x14ac:dyDescent="0.25">
      <c r="A334">
        <f t="shared" si="31"/>
        <v>333</v>
      </c>
      <c r="B334" t="s">
        <v>517</v>
      </c>
      <c r="C334" s="1">
        <v>46184</v>
      </c>
      <c r="D334" t="str">
        <f>VLOOKUP(B334,Trades!A$1:M100693,3,FALSE)</f>
        <v>MU</v>
      </c>
      <c r="E334" t="s">
        <v>61</v>
      </c>
      <c r="F334">
        <v>906.05</v>
      </c>
      <c r="G334">
        <v>1</v>
      </c>
      <c r="H334">
        <f>IF(VLOOKUP(B334,Trades!A:M,4,FALSE)="Long",(F334-VLOOKUP(B334,Trades!A:M,6,FALSE))*G334,(VLOOKUP(B334,Trades!A:M,6,FALSE)-F334)*G334)</f>
        <v>-9.7000000000000455</v>
      </c>
      <c r="I334">
        <f>H334/VLOOKUP(B334,Trades!A$1:$M$100361,9,FALSE)</f>
        <v>-0.90232558139535302</v>
      </c>
    </row>
    <row r="335" spans="1:9" x14ac:dyDescent="0.25">
      <c r="A335">
        <f t="shared" si="31"/>
        <v>334</v>
      </c>
      <c r="B335" t="s">
        <v>518</v>
      </c>
      <c r="C335" s="1">
        <v>46184</v>
      </c>
      <c r="D335" t="str">
        <f>VLOOKUP(B335,Trades!A$1:M100694,3,FALSE)</f>
        <v>INTC</v>
      </c>
      <c r="E335" t="s">
        <v>61</v>
      </c>
      <c r="F335">
        <v>116.07</v>
      </c>
      <c r="G335">
        <v>3</v>
      </c>
      <c r="H335">
        <f>IF(VLOOKUP(B335,Trades!A:M,4,FALSE)="Long",(F335-VLOOKUP(B335,Trades!A:M,6,FALSE))*G335,(VLOOKUP(B335,Trades!A:M,6,FALSE)-F335)*G335)</f>
        <v>-8.4300000000000068</v>
      </c>
      <c r="I335">
        <f>H335/VLOOKUP(B335,Trades!A$1:$M$100361,9,FALSE)</f>
        <v>-1</v>
      </c>
    </row>
    <row r="336" spans="1:9" x14ac:dyDescent="0.25">
      <c r="A336">
        <f t="shared" si="31"/>
        <v>335</v>
      </c>
      <c r="B336" t="s">
        <v>519</v>
      </c>
      <c r="C336" s="1">
        <v>46184</v>
      </c>
      <c r="D336" t="str">
        <f>VLOOKUP(B336,Trades!A$1:M100695,3,FALSE)</f>
        <v>AMAT</v>
      </c>
      <c r="E336" t="s">
        <v>61</v>
      </c>
      <c r="F336">
        <v>526.5</v>
      </c>
      <c r="G336">
        <v>2</v>
      </c>
      <c r="H336">
        <f>IF(VLOOKUP(B336,Trades!A:M,4,FALSE)="Long",(F336-VLOOKUP(B336,Trades!A:M,6,FALSE))*G336,(VLOOKUP(B336,Trades!A:M,6,FALSE)-F336)*G336)</f>
        <v>-8.1800000000000637</v>
      </c>
      <c r="I336">
        <f>H336/VLOOKUP(B336,Trades!A$1:$M$100361,9,FALSE)</f>
        <v>-1</v>
      </c>
    </row>
    <row r="337" spans="1:9" x14ac:dyDescent="0.25">
      <c r="A337">
        <f t="shared" si="31"/>
        <v>336</v>
      </c>
      <c r="B337" t="s">
        <v>520</v>
      </c>
      <c r="C337" s="1">
        <v>46184</v>
      </c>
      <c r="D337" t="str">
        <f>VLOOKUP(B337,Trades!A$1:M100696,3,FALSE)</f>
        <v>MU</v>
      </c>
      <c r="E337" t="s">
        <v>61</v>
      </c>
      <c r="F337">
        <v>904.9</v>
      </c>
      <c r="G337">
        <v>1</v>
      </c>
      <c r="H337">
        <f>IF(VLOOKUP(B337,Trades!A:M,4,FALSE)="Long",(F337-VLOOKUP(B337,Trades!A:M,6,FALSE))*G337,(VLOOKUP(B337,Trades!A:M,6,FALSE)-F337)*G337)</f>
        <v>-8.1000000000000227</v>
      </c>
      <c r="I337">
        <f>H337/VLOOKUP(B337,Trades!A$1:$M$100361,9,FALSE)</f>
        <v>-1.0125000000000028</v>
      </c>
    </row>
    <row r="338" spans="1:9" x14ac:dyDescent="0.25">
      <c r="A338">
        <f t="shared" si="31"/>
        <v>337</v>
      </c>
      <c r="B338" t="s">
        <v>521</v>
      </c>
      <c r="C338" s="1">
        <v>46184</v>
      </c>
      <c r="D338" t="str">
        <f>VLOOKUP(B338,Trades!A$1:M100697,3,FALSE)</f>
        <v>MU</v>
      </c>
      <c r="E338" t="s">
        <v>61</v>
      </c>
      <c r="F338">
        <v>917.92</v>
      </c>
      <c r="G338">
        <v>1</v>
      </c>
      <c r="H338">
        <f>IF(VLOOKUP(B338,Trades!A:M,4,FALSE)="Long",(F338-VLOOKUP(B338,Trades!A:M,6,FALSE))*G338,(VLOOKUP(B338,Trades!A:M,6,FALSE)-F338)*G338)</f>
        <v>6.9199999999999591</v>
      </c>
      <c r="I338">
        <f>H338/VLOOKUP(B338,Trades!A$1:$M$100361,9,FALSE)</f>
        <v>0.69199999999999595</v>
      </c>
    </row>
    <row r="339" spans="1:9" x14ac:dyDescent="0.25">
      <c r="A339">
        <f t="shared" si="31"/>
        <v>338</v>
      </c>
      <c r="B339" t="s">
        <v>523</v>
      </c>
      <c r="C339" s="1">
        <v>46184</v>
      </c>
      <c r="D339" t="str">
        <f>VLOOKUP(B339,Trades!A$1:M100698,3,FALSE)</f>
        <v>AAPL</v>
      </c>
      <c r="E339" t="s">
        <v>61</v>
      </c>
      <c r="F339">
        <v>295.14</v>
      </c>
      <c r="G339">
        <v>3</v>
      </c>
      <c r="H339">
        <f>IF(VLOOKUP(B339,Trades!A:M,4,FALSE)="Long",(F339-VLOOKUP(B339,Trades!A:M,6,FALSE))*G339,(VLOOKUP(B339,Trades!A:M,6,FALSE)-F339)*G339)</f>
        <v>8.4300000000000068</v>
      </c>
      <c r="I339">
        <f>H339/VLOOKUP(B339,Trades!A$1:$M$100361,9,FALSE)</f>
        <v>2.4017094017094878</v>
      </c>
    </row>
    <row r="340" spans="1:9" x14ac:dyDescent="0.25">
      <c r="A340">
        <f t="shared" si="31"/>
        <v>339</v>
      </c>
      <c r="B340" t="s">
        <v>524</v>
      </c>
      <c r="C340" s="1">
        <v>46184</v>
      </c>
      <c r="D340" t="str">
        <f>VLOOKUP(B340,Trades!A$1:M100699,3,FALSE)</f>
        <v>ANET</v>
      </c>
      <c r="E340" t="s">
        <v>61</v>
      </c>
      <c r="F340">
        <v>155.82</v>
      </c>
      <c r="G340">
        <v>3</v>
      </c>
      <c r="H340">
        <f>IF(VLOOKUP(B340,Trades!A:M,4,FALSE)="Long",(F340-VLOOKUP(B340,Trades!A:M,6,FALSE))*G340,(VLOOKUP(B340,Trades!A:M,6,FALSE)-F340)*G340)</f>
        <v>7.4099999999999966</v>
      </c>
      <c r="I340">
        <f>H340/VLOOKUP(B340,Trades!A$1:$M$100361,9,FALSE)</f>
        <v>2.4699999999999989</v>
      </c>
    </row>
    <row r="341" spans="1:9" x14ac:dyDescent="0.25">
      <c r="A341">
        <f t="shared" ref="A341:A351" si="32">ROW()-1</f>
        <v>340</v>
      </c>
      <c r="B341" t="s">
        <v>525</v>
      </c>
      <c r="C341" s="1">
        <v>46185</v>
      </c>
      <c r="D341" t="str">
        <f>VLOOKUP(B341,Trades!A$1:M100700,3,FALSE)</f>
        <v>MDT</v>
      </c>
      <c r="E341" t="s">
        <v>61</v>
      </c>
      <c r="F341">
        <v>79.72</v>
      </c>
      <c r="G341">
        <v>5</v>
      </c>
      <c r="H341">
        <f>IF(VLOOKUP(B341,Trades!A:M,4,FALSE)="Long",(F341-VLOOKUP(B341,Trades!A:M,6,FALSE))*G341,(VLOOKUP(B341,Trades!A:M,6,FALSE)-F341)*G341)</f>
        <v>-7.1500000000000341</v>
      </c>
      <c r="I341">
        <f>H341/VLOOKUP(B341,Trades!A$1:$M$100361,9,FALSE)</f>
        <v>-1.0287769784172707</v>
      </c>
    </row>
    <row r="342" spans="1:9" x14ac:dyDescent="0.25">
      <c r="A342">
        <f t="shared" si="32"/>
        <v>341</v>
      </c>
      <c r="B342" t="s">
        <v>527</v>
      </c>
      <c r="C342" s="1">
        <v>46185</v>
      </c>
      <c r="D342" t="str">
        <f>VLOOKUP(B342,Trades!A$1:M100701,3,FALSE)</f>
        <v>AMD</v>
      </c>
      <c r="E342" t="s">
        <v>61</v>
      </c>
      <c r="F342">
        <v>501.01</v>
      </c>
      <c r="G342">
        <v>2</v>
      </c>
      <c r="H342">
        <f>IF(VLOOKUP(B342,Trades!A:M,4,FALSE)="Long",(F342-VLOOKUP(B342,Trades!A:M,6,FALSE))*G342,(VLOOKUP(B342,Trades!A:M,6,FALSE)-F342)*G342)</f>
        <v>-11.180000000000064</v>
      </c>
      <c r="I342">
        <f>H342/VLOOKUP(B342,Trades!A$1:$M$100361,9,FALSE)</f>
        <v>-1.1180000000000063</v>
      </c>
    </row>
    <row r="343" spans="1:9" x14ac:dyDescent="0.25">
      <c r="A343">
        <f t="shared" si="32"/>
        <v>342</v>
      </c>
      <c r="B343" t="s">
        <v>528</v>
      </c>
      <c r="C343" s="1">
        <v>46185</v>
      </c>
      <c r="D343" t="str">
        <f>VLOOKUP(B343,Trades!A$1:M100702,3,FALSE)</f>
        <v>NVDA</v>
      </c>
      <c r="E343" t="s">
        <v>61</v>
      </c>
      <c r="F343">
        <v>204.06</v>
      </c>
      <c r="G343">
        <v>4</v>
      </c>
      <c r="H343">
        <f>IF(VLOOKUP(B343,Trades!A:M,4,FALSE)="Long",(F343-VLOOKUP(B343,Trades!A:M,6,FALSE))*G343,(VLOOKUP(B343,Trades!A:M,6,FALSE)-F343)*G343)</f>
        <v>-8.0800000000000409</v>
      </c>
      <c r="I343">
        <f>H343/VLOOKUP(B343,Trades!A$1:$M$100361,9,FALSE)</f>
        <v>-1.0100000000000051</v>
      </c>
    </row>
    <row r="344" spans="1:9" x14ac:dyDescent="0.25">
      <c r="A344">
        <f t="shared" si="32"/>
        <v>343</v>
      </c>
      <c r="B344" t="s">
        <v>530</v>
      </c>
      <c r="C344" s="1">
        <v>46185</v>
      </c>
      <c r="D344" t="str">
        <f>VLOOKUP(B344,Trades!A$1:M100703,3,FALSE)</f>
        <v>APP</v>
      </c>
      <c r="E344" t="s">
        <v>61</v>
      </c>
      <c r="F344">
        <v>480.16</v>
      </c>
      <c r="G344">
        <v>2</v>
      </c>
      <c r="H344">
        <f>IF(VLOOKUP(B344,Trades!A:M,4,FALSE)="Long",(F344-VLOOKUP(B344,Trades!A:M,6,FALSE))*G344,(VLOOKUP(B344,Trades!A:M,6,FALSE)-F344)*G344)</f>
        <v>-8.4399999999999409</v>
      </c>
      <c r="I344">
        <f>H344/VLOOKUP(B344,Trades!A$1:$M$100361,9,FALSE)</f>
        <v>-1.0549999999999926</v>
      </c>
    </row>
    <row r="345" spans="1:9" x14ac:dyDescent="0.25">
      <c r="A345">
        <f t="shared" si="32"/>
        <v>344</v>
      </c>
      <c r="B345" t="s">
        <v>531</v>
      </c>
      <c r="C345" s="1">
        <v>46185</v>
      </c>
      <c r="D345" t="str">
        <f>VLOOKUP(B345,Trades!A$1:M100704,3,FALSE)</f>
        <v>NVDA</v>
      </c>
      <c r="E345" t="s">
        <v>61</v>
      </c>
      <c r="F345">
        <v>204.04</v>
      </c>
      <c r="G345">
        <v>4</v>
      </c>
      <c r="H345">
        <f>IF(VLOOKUP(B345,Trades!A:M,4,FALSE)="Long",(F345-VLOOKUP(B345,Trades!A:M,6,FALSE))*G345,(VLOOKUP(B345,Trades!A:M,6,FALSE)-F345)*G345)</f>
        <v>-4</v>
      </c>
      <c r="I345">
        <f>H345/VLOOKUP(B345,Trades!A$1:$M$100361,9,FALSE)</f>
        <v>-1</v>
      </c>
    </row>
    <row r="346" spans="1:9" x14ac:dyDescent="0.25">
      <c r="A346">
        <f t="shared" si="32"/>
        <v>345</v>
      </c>
      <c r="B346" t="s">
        <v>532</v>
      </c>
      <c r="C346" s="1">
        <v>46185</v>
      </c>
      <c r="D346" t="str">
        <f>VLOOKUP(B346,Trades!A$1:M100705,3,FALSE)</f>
        <v>AAPL</v>
      </c>
      <c r="E346" t="s">
        <v>61</v>
      </c>
      <c r="F346">
        <v>291.83999999999997</v>
      </c>
      <c r="G346">
        <v>3</v>
      </c>
      <c r="H346">
        <f>IF(VLOOKUP(B346,Trades!A:M,4,FALSE)="Long",(F346-VLOOKUP(B346,Trades!A:M,6,FALSE))*G346,(VLOOKUP(B346,Trades!A:M,6,FALSE)-F346)*G346)</f>
        <v>-2.9700000000000273</v>
      </c>
      <c r="I346">
        <f>H346/VLOOKUP(B346,Trades!A$1:$M$100361,9,FALSE)</f>
        <v>-0.99000000000000909</v>
      </c>
    </row>
    <row r="347" spans="1:9" x14ac:dyDescent="0.25">
      <c r="A347">
        <f t="shared" si="32"/>
        <v>346</v>
      </c>
      <c r="B347" t="s">
        <v>534</v>
      </c>
      <c r="C347" s="1">
        <v>46185</v>
      </c>
      <c r="D347" t="str">
        <f>VLOOKUP(B347,Trades!A$1:M100706,3,FALSE)</f>
        <v>SPCX</v>
      </c>
      <c r="E347" t="s">
        <v>61</v>
      </c>
      <c r="F347">
        <v>161.43</v>
      </c>
      <c r="G347">
        <v>2</v>
      </c>
      <c r="H347">
        <f>IF(VLOOKUP(B347,Trades!A:M,4,FALSE)="Long",(F347-VLOOKUP(B347,Trades!A:M,6,FALSE))*G347,(VLOOKUP(B347,Trades!A:M,6,FALSE)-F347)*G347)</f>
        <v>-8.9799999999999613</v>
      </c>
      <c r="I347">
        <f>H347/VLOOKUP(B347,Trades!A$1:$M$100361,9,FALSE)</f>
        <v>-1</v>
      </c>
    </row>
    <row r="348" spans="1:9" x14ac:dyDescent="0.25">
      <c r="A348">
        <f t="shared" si="32"/>
        <v>347</v>
      </c>
      <c r="B348" t="s">
        <v>535</v>
      </c>
      <c r="C348" s="1">
        <v>46185</v>
      </c>
      <c r="D348" t="str">
        <f>VLOOKUP(B348,Trades!A$1:M100707,3,FALSE)</f>
        <v>UPS</v>
      </c>
      <c r="E348" t="s">
        <v>61</v>
      </c>
      <c r="F348">
        <v>107.36</v>
      </c>
      <c r="G348">
        <v>5</v>
      </c>
      <c r="H348">
        <f>IF(VLOOKUP(B348,Trades!A:M,4,FALSE)="Long",(F348-VLOOKUP(B348,Trades!A:M,6,FALSE))*G348,(VLOOKUP(B348,Trades!A:M,6,FALSE)-F348)*G348)</f>
        <v>-5.0500000000000256</v>
      </c>
      <c r="I348">
        <f>H348/VLOOKUP(B348,Trades!A$1:$M$100361,9,FALSE)</f>
        <v>-1.0100000000000051</v>
      </c>
    </row>
    <row r="349" spans="1:9" x14ac:dyDescent="0.25">
      <c r="A349">
        <f t="shared" si="32"/>
        <v>348</v>
      </c>
      <c r="B349" t="s">
        <v>536</v>
      </c>
      <c r="C349" s="1">
        <v>46185</v>
      </c>
      <c r="D349" t="str">
        <f>VLOOKUP(B349,Trades!A$1:M100708,3,FALSE)</f>
        <v>AMD</v>
      </c>
      <c r="E349" t="s">
        <v>61</v>
      </c>
      <c r="F349">
        <v>518.5</v>
      </c>
      <c r="G349">
        <v>2</v>
      </c>
      <c r="H349">
        <f>IF(VLOOKUP(B349,Trades!A:M,4,FALSE)="Long",(F349-VLOOKUP(B349,Trades!A:M,6,FALSE))*G349,(VLOOKUP(B349,Trades!A:M,6,FALSE)-F349)*G349)</f>
        <v>21.899999999999977</v>
      </c>
      <c r="I349">
        <f>H349/VLOOKUP(B349,Trades!A$1:$M$100361,9,FALSE)</f>
        <v>2.7374999999999972</v>
      </c>
    </row>
    <row r="350" spans="1:9" x14ac:dyDescent="0.25">
      <c r="A350">
        <f t="shared" si="32"/>
        <v>349</v>
      </c>
      <c r="B350" t="s">
        <v>537</v>
      </c>
      <c r="C350" s="1">
        <v>46185</v>
      </c>
      <c r="D350" t="str">
        <f>VLOOKUP(B350,Trades!A$1:M100709,3,FALSE)</f>
        <v>SOUN</v>
      </c>
      <c r="E350" t="s">
        <v>61</v>
      </c>
      <c r="F350">
        <v>7.83</v>
      </c>
      <c r="G350">
        <v>10</v>
      </c>
      <c r="H350">
        <f>IF(VLOOKUP(B350,Trades!A:M,4,FALSE)="Long",(F350-VLOOKUP(B350,Trades!A:M,6,FALSE))*G350,(VLOOKUP(B350,Trades!A:M,6,FALSE)-F350)*G350)</f>
        <v>-5.8999999999999986</v>
      </c>
      <c r="I350">
        <f>H350/VLOOKUP(B350,Trades!A$1:$M$100361,9,FALSE)</f>
        <v>-1.0172413793103445</v>
      </c>
    </row>
    <row r="351" spans="1:9" x14ac:dyDescent="0.25">
      <c r="A351">
        <f t="shared" si="32"/>
        <v>350</v>
      </c>
      <c r="B351" t="s">
        <v>538</v>
      </c>
      <c r="C351" s="1">
        <v>46185</v>
      </c>
      <c r="D351" t="str">
        <f>VLOOKUP(B351,Trades!A$1:M100710,3,FALSE)</f>
        <v>MU</v>
      </c>
      <c r="E351" t="s">
        <v>61</v>
      </c>
      <c r="F351">
        <v>986.79</v>
      </c>
      <c r="G351">
        <v>1</v>
      </c>
      <c r="H351">
        <f>IF(VLOOKUP(B351,Trades!A:M,4,FALSE)="Long",(F351-VLOOKUP(B351,Trades!A:M,6,FALSE))*G351,(VLOOKUP(B351,Trades!A:M,6,FALSE)-F351)*G351)</f>
        <v>15.309999999999945</v>
      </c>
      <c r="I351">
        <f>H351/VLOOKUP(B351,Trades!A$1:$M$100361,9,FALSE)</f>
        <v>1.333623693379784</v>
      </c>
    </row>
    <row r="352" spans="1:9" x14ac:dyDescent="0.25">
      <c r="A352">
        <f t="shared" ref="A352:A359" si="33">ROW()-1</f>
        <v>351</v>
      </c>
      <c r="B352" t="s">
        <v>540</v>
      </c>
      <c r="C352" s="1">
        <v>46188</v>
      </c>
      <c r="D352" t="str">
        <f>VLOOKUP(B352,Trades!A$1:M100711,3,FALSE)</f>
        <v>INTC</v>
      </c>
      <c r="E352" t="s">
        <v>61</v>
      </c>
      <c r="F352">
        <v>128.35</v>
      </c>
      <c r="G352">
        <v>6</v>
      </c>
      <c r="H352">
        <f>IF(VLOOKUP(B352,Trades!A:M,4,FALSE)="Long",(F352-VLOOKUP(B352,Trades!A:M,6,FALSE))*G352,(VLOOKUP(B352,Trades!A:M,6,FALSE)-F352)*G352)</f>
        <v>-10.560000000000116</v>
      </c>
      <c r="I352">
        <f>H352/VLOOKUP(B352,Trades!A$1:$M$100361,9,FALSE)</f>
        <v>-1.0114942528735691</v>
      </c>
    </row>
    <row r="353" spans="1:9" x14ac:dyDescent="0.25">
      <c r="A353">
        <f t="shared" si="33"/>
        <v>352</v>
      </c>
      <c r="B353" t="s">
        <v>541</v>
      </c>
      <c r="C353" s="1">
        <v>46188</v>
      </c>
      <c r="D353" t="str">
        <f>VLOOKUP(B353,Trades!A$1:M100712,3,FALSE)</f>
        <v>POET</v>
      </c>
      <c r="E353" t="s">
        <v>61</v>
      </c>
      <c r="F353">
        <v>12.87</v>
      </c>
      <c r="G353">
        <v>10</v>
      </c>
      <c r="H353">
        <f>IF(VLOOKUP(B353,Trades!A:M,4,FALSE)="Long",(F353-VLOOKUP(B353,Trades!A:M,6,FALSE))*G353,(VLOOKUP(B353,Trades!A:M,6,FALSE)-F353)*G353)</f>
        <v>13.499999999999996</v>
      </c>
      <c r="I353">
        <f>H353/VLOOKUP(B353,Trades!A$1:$M$100361,9,FALSE)</f>
        <v>1.3499999999999996</v>
      </c>
    </row>
    <row r="354" spans="1:9" x14ac:dyDescent="0.25">
      <c r="A354">
        <f t="shared" si="33"/>
        <v>353</v>
      </c>
      <c r="B354" t="s">
        <v>542</v>
      </c>
      <c r="C354" s="1">
        <v>46188</v>
      </c>
      <c r="D354" t="str">
        <f>VLOOKUP(B354,Trades!A$1:M100713,3,FALSE)</f>
        <v>AMD</v>
      </c>
      <c r="E354" t="s">
        <v>61</v>
      </c>
      <c r="F354">
        <v>548.01</v>
      </c>
      <c r="G354">
        <v>2</v>
      </c>
      <c r="H354">
        <f>IF(VLOOKUP(B354,Trades!A:M,4,FALSE)="Long",(F354-VLOOKUP(B354,Trades!A:M,6,FALSE))*G354,(VLOOKUP(B354,Trades!A:M,6,FALSE)-F354)*G354)</f>
        <v>-10.779999999999973</v>
      </c>
      <c r="I354">
        <f>H354/VLOOKUP(B354,Trades!A$1:$M$100361,9,FALSE)</f>
        <v>-1.0779999999999972</v>
      </c>
    </row>
    <row r="355" spans="1:9" x14ac:dyDescent="0.25">
      <c r="A355">
        <f t="shared" si="33"/>
        <v>354</v>
      </c>
      <c r="B355" t="s">
        <v>543</v>
      </c>
      <c r="C355" s="1">
        <v>46188</v>
      </c>
      <c r="D355" t="str">
        <f>VLOOKUP(B355,Trades!A$1:M100714,3,FALSE)</f>
        <v>SPCX</v>
      </c>
      <c r="E355" t="s">
        <v>61</v>
      </c>
      <c r="F355">
        <v>171.42</v>
      </c>
      <c r="G355">
        <v>4</v>
      </c>
      <c r="H355">
        <f>IF(VLOOKUP(B355,Trades!A:M,4,FALSE)="Long",(F355-VLOOKUP(B355,Trades!A:M,6,FALSE))*G355,(VLOOKUP(B355,Trades!A:M,6,FALSE)-F355)*G355)</f>
        <v>-10.440000000000055</v>
      </c>
      <c r="I355">
        <f>H355/VLOOKUP(B355,Trades!A$1:$M$100361,9,FALSE)</f>
        <v>-1.0440000000000054</v>
      </c>
    </row>
    <row r="356" spans="1:9" x14ac:dyDescent="0.25">
      <c r="A356">
        <f t="shared" si="33"/>
        <v>355</v>
      </c>
      <c r="B356" t="s">
        <v>544</v>
      </c>
      <c r="C356" s="1">
        <v>46188</v>
      </c>
      <c r="D356" t="str">
        <f>VLOOKUP(B356,Trades!A$1:M100715,3,FALSE)</f>
        <v>INTC</v>
      </c>
      <c r="E356" t="s">
        <v>61</v>
      </c>
      <c r="F356">
        <v>126.96</v>
      </c>
      <c r="G356">
        <v>8</v>
      </c>
      <c r="H356">
        <f>IF(VLOOKUP(B356,Trades!A:M,4,FALSE)="Long",(F356-VLOOKUP(B356,Trades!A:M,6,FALSE))*G356,(VLOOKUP(B356,Trades!A:M,6,FALSE)-F356)*G356)</f>
        <v>-11.520000000000095</v>
      </c>
      <c r="I356">
        <f>H356/VLOOKUP(B356,Trades!A$1:$M$100361,9,FALSE)</f>
        <v>-1.0359712230215909</v>
      </c>
    </row>
    <row r="357" spans="1:9" x14ac:dyDescent="0.25">
      <c r="A357">
        <f t="shared" si="33"/>
        <v>356</v>
      </c>
      <c r="B357" t="s">
        <v>545</v>
      </c>
      <c r="C357" s="1">
        <v>46188</v>
      </c>
      <c r="D357" t="str">
        <f>VLOOKUP(B357,Trades!A$1:M100716,3,FALSE)</f>
        <v>MA</v>
      </c>
      <c r="E357" t="s">
        <v>61</v>
      </c>
      <c r="F357">
        <v>488.67</v>
      </c>
      <c r="G357">
        <v>2</v>
      </c>
      <c r="H357">
        <f>IF(VLOOKUP(B357,Trades!A:M,4,FALSE)="Long",(F357-VLOOKUP(B357,Trades!A:M,6,FALSE))*G357,(VLOOKUP(B357,Trades!A:M,6,FALSE)-F357)*G357)</f>
        <v>-4.1399999999999864</v>
      </c>
      <c r="I357">
        <f>H357/VLOOKUP(B357,Trades!A$1:$M$100361,9,FALSE)</f>
        <v>-1.0349999999999966</v>
      </c>
    </row>
    <row r="358" spans="1:9" x14ac:dyDescent="0.25">
      <c r="A358">
        <f t="shared" si="33"/>
        <v>357</v>
      </c>
      <c r="B358" t="s">
        <v>546</v>
      </c>
      <c r="C358" s="1">
        <v>46188</v>
      </c>
      <c r="D358" t="str">
        <f>VLOOKUP(B358,Trades!A$1:M100717,3,FALSE)</f>
        <v>NVDA</v>
      </c>
      <c r="E358" t="s">
        <v>61</v>
      </c>
      <c r="F358">
        <v>211.97</v>
      </c>
      <c r="G358">
        <v>4</v>
      </c>
      <c r="H358">
        <f>IF(VLOOKUP(B358,Trades!A:M,4,FALSE)="Long",(F358-VLOOKUP(B358,Trades!A:M,6,FALSE))*G358,(VLOOKUP(B358,Trades!A:M,6,FALSE)-F358)*G358)</f>
        <v>7.5199999999999818</v>
      </c>
      <c r="I358">
        <f>H358/VLOOKUP(B358,Trades!A$1:$M$100361,9,FALSE)</f>
        <v>0.93999999999999773</v>
      </c>
    </row>
    <row r="359" spans="1:9" x14ac:dyDescent="0.25">
      <c r="A359">
        <f t="shared" si="33"/>
        <v>358</v>
      </c>
      <c r="B359" t="s">
        <v>548</v>
      </c>
      <c r="C359" s="1">
        <v>46188</v>
      </c>
      <c r="D359" t="str">
        <f>VLOOKUP(B359,Trades!A$1:M100718,3,FALSE)</f>
        <v>APP</v>
      </c>
      <c r="E359" t="s">
        <v>61</v>
      </c>
      <c r="F359">
        <v>522.58000000000004</v>
      </c>
      <c r="G359">
        <v>2</v>
      </c>
      <c r="H359">
        <f>IF(VLOOKUP(B359,Trades!A:M,4,FALSE)="Long",(F359-VLOOKUP(B359,Trades!A:M,6,FALSE))*G359,(VLOOKUP(B359,Trades!A:M,6,FALSE)-F359)*G359)</f>
        <v>11.880000000000109</v>
      </c>
      <c r="I359">
        <f>H359/VLOOKUP(B359,Trades!A$1:$M$100361,9,FALSE)</f>
        <v>1.1880000000000108</v>
      </c>
    </row>
    <row r="360" spans="1:9" x14ac:dyDescent="0.25">
      <c r="A360">
        <f t="shared" ref="A360:A367" si="34">ROW()-1</f>
        <v>359</v>
      </c>
      <c r="B360" t="s">
        <v>549</v>
      </c>
      <c r="C360" s="1">
        <v>46189</v>
      </c>
      <c r="D360" t="str">
        <f>VLOOKUP(B360,Trades!A$1:M100719,3,FALSE)</f>
        <v>NIO</v>
      </c>
      <c r="E360" t="s">
        <v>61</v>
      </c>
      <c r="F360">
        <v>5</v>
      </c>
      <c r="G360">
        <v>10</v>
      </c>
      <c r="H360">
        <f>IF(VLOOKUP(B360,Trades!A:M,4,FALSE)="Long",(F360-VLOOKUP(B360,Trades!A:M,6,FALSE))*G360,(VLOOKUP(B360,Trades!A:M,6,FALSE)-F360)*G360)</f>
        <v>-4.1999999999999993</v>
      </c>
      <c r="I360">
        <f>H360/VLOOKUP(B360,Trades!A$1:$M$100361,9,FALSE)</f>
        <v>-1.0499999999999989</v>
      </c>
    </row>
    <row r="361" spans="1:9" x14ac:dyDescent="0.25">
      <c r="A361">
        <f t="shared" si="34"/>
        <v>360</v>
      </c>
      <c r="B361" t="s">
        <v>551</v>
      </c>
      <c r="C361" s="1">
        <v>46189</v>
      </c>
      <c r="D361" t="str">
        <f>VLOOKUP(B361,Trades!A$1:M100720,3,FALSE)</f>
        <v>AFRM</v>
      </c>
      <c r="E361" t="s">
        <v>61</v>
      </c>
      <c r="F361">
        <v>75.11</v>
      </c>
      <c r="G361">
        <v>20</v>
      </c>
      <c r="H361">
        <f>IF(VLOOKUP(B361,Trades!A:M,4,FALSE)="Long",(F361-VLOOKUP(B361,Trades!A:M,6,FALSE))*G361,(VLOOKUP(B361,Trades!A:M,6,FALSE)-F361)*G361)</f>
        <v>31.999999999999886</v>
      </c>
      <c r="I361">
        <f>H361/VLOOKUP(B361,Trades!A$1:$M$100361,9,FALSE)</f>
        <v>3.6363636363635248</v>
      </c>
    </row>
    <row r="362" spans="1:9" x14ac:dyDescent="0.25">
      <c r="A362">
        <f t="shared" si="34"/>
        <v>361</v>
      </c>
      <c r="B362" t="s">
        <v>552</v>
      </c>
      <c r="C362" s="1">
        <v>46189</v>
      </c>
      <c r="D362" t="str">
        <f>VLOOKUP(B362,Trades!A$1:M100721,3,FALSE)</f>
        <v>PLTR</v>
      </c>
      <c r="E362" t="s">
        <v>61</v>
      </c>
      <c r="F362">
        <v>132.19</v>
      </c>
      <c r="G362">
        <v>7</v>
      </c>
      <c r="H362">
        <f>IF(VLOOKUP(B362,Trades!A:M,4,FALSE)="Long",(F362-VLOOKUP(B362,Trades!A:M,6,FALSE))*G362,(VLOOKUP(B362,Trades!A:M,6,FALSE)-F362)*G362)</f>
        <v>-5.1099999999999284</v>
      </c>
      <c r="I362">
        <f>H362/VLOOKUP(B362,Trades!A$1:$M$100361,9,FALSE)</f>
        <v>-1.2166666666666612</v>
      </c>
    </row>
    <row r="363" spans="1:9" x14ac:dyDescent="0.25">
      <c r="A363">
        <f t="shared" si="34"/>
        <v>362</v>
      </c>
      <c r="B363" t="s">
        <v>553</v>
      </c>
      <c r="C363" s="1">
        <v>46189</v>
      </c>
      <c r="D363" t="str">
        <f>VLOOKUP(B363,Trades!A$1:M100722,3,FALSE)</f>
        <v>ARM</v>
      </c>
      <c r="E363" t="s">
        <v>61</v>
      </c>
      <c r="F363">
        <v>418.56</v>
      </c>
      <c r="G363">
        <v>2</v>
      </c>
      <c r="H363">
        <f>IF(VLOOKUP(B363,Trades!A:M,4,FALSE)="Long",(F363-VLOOKUP(B363,Trades!A:M,6,FALSE))*G363,(VLOOKUP(B363,Trades!A:M,6,FALSE)-F363)*G363)</f>
        <v>-7.6599999999999682</v>
      </c>
      <c r="I363">
        <f>H363/VLOOKUP(B363,Trades!A$1:$M$100361,9,FALSE)</f>
        <v>-0.95749999999999602</v>
      </c>
    </row>
    <row r="364" spans="1:9" x14ac:dyDescent="0.25">
      <c r="A364">
        <f t="shared" si="34"/>
        <v>363</v>
      </c>
      <c r="B364" t="s">
        <v>555</v>
      </c>
      <c r="C364" s="1">
        <v>46189</v>
      </c>
      <c r="D364" t="str">
        <f>VLOOKUP(B364,Trades!A$1:M100723,3,FALSE)</f>
        <v>WDC</v>
      </c>
      <c r="E364" t="s">
        <v>61</v>
      </c>
      <c r="F364">
        <v>699.08</v>
      </c>
      <c r="G364">
        <v>2</v>
      </c>
      <c r="H364">
        <f>IF(VLOOKUP(B364,Trades!A:M,4,FALSE)="Long",(F364-VLOOKUP(B364,Trades!A:M,6,FALSE))*G364,(VLOOKUP(B364,Trades!A:M,6,FALSE)-F364)*G364)</f>
        <v>-13.179999999999836</v>
      </c>
      <c r="I364">
        <f>H364/VLOOKUP(B364,Trades!A$1:$M$100361,9,FALSE)</f>
        <v>-1.3179999999999836</v>
      </c>
    </row>
    <row r="365" spans="1:9" x14ac:dyDescent="0.25">
      <c r="A365">
        <f t="shared" si="34"/>
        <v>364</v>
      </c>
      <c r="B365" t="s">
        <v>556</v>
      </c>
      <c r="C365" s="1">
        <v>46189</v>
      </c>
      <c r="D365" t="str">
        <f>VLOOKUP(B365,Trades!A$1:M100724,3,FALSE)</f>
        <v>NVDA</v>
      </c>
      <c r="E365" t="s">
        <v>61</v>
      </c>
      <c r="F365">
        <v>208.6</v>
      </c>
      <c r="G365">
        <v>4</v>
      </c>
      <c r="H365">
        <f>IF(VLOOKUP(B365,Trades!A:M,4,FALSE)="Long",(F365-VLOOKUP(B365,Trades!A:M,6,FALSE))*G365,(VLOOKUP(B365,Trades!A:M,6,FALSE)-F365)*G365)</f>
        <v>-4.0400000000000773</v>
      </c>
      <c r="I365">
        <f>H365/VLOOKUP(B365,Trades!A$1:$M$100361,9,FALSE)</f>
        <v>-1.0100000000000193</v>
      </c>
    </row>
    <row r="366" spans="1:9" x14ac:dyDescent="0.25">
      <c r="A366">
        <f t="shared" si="34"/>
        <v>365</v>
      </c>
      <c r="B366" t="s">
        <v>558</v>
      </c>
      <c r="C366" s="1">
        <v>46189</v>
      </c>
      <c r="D366" t="str">
        <f>VLOOKUP(B366,Trades!A$1:M100725,3,FALSE)</f>
        <v>MSFT</v>
      </c>
      <c r="E366" t="s">
        <v>61</v>
      </c>
      <c r="F366">
        <v>392.07</v>
      </c>
      <c r="G366">
        <v>2</v>
      </c>
      <c r="H366">
        <f>IF(VLOOKUP(B366,Trades!A:M,4,FALSE)="Long",(F366-VLOOKUP(B366,Trades!A:M,6,FALSE))*G366,(VLOOKUP(B366,Trades!A:M,6,FALSE)-F366)*G366)</f>
        <v>-11.960000000000036</v>
      </c>
      <c r="I366">
        <f>H366/VLOOKUP(B366,Trades!A$1:$M$100361,9,FALSE)</f>
        <v>-0.9966666666666697</v>
      </c>
    </row>
    <row r="367" spans="1:9" x14ac:dyDescent="0.25">
      <c r="A367">
        <f t="shared" si="34"/>
        <v>366</v>
      </c>
      <c r="B367" t="s">
        <v>559</v>
      </c>
      <c r="C367" s="1">
        <v>46189</v>
      </c>
      <c r="D367" t="str">
        <f>VLOOKUP(B367,Trades!A$1:M100726,3,FALSE)</f>
        <v>UBER</v>
      </c>
      <c r="E367" t="s">
        <v>61</v>
      </c>
      <c r="F367">
        <v>73.27</v>
      </c>
      <c r="G367">
        <v>7</v>
      </c>
      <c r="H367">
        <f>IF(VLOOKUP(B367,Trades!A:M,4,FALSE)="Long",(F367-VLOOKUP(B367,Trades!A:M,6,FALSE))*G367,(VLOOKUP(B367,Trades!A:M,6,FALSE)-F367)*G367)</f>
        <v>-2.5900000000000318</v>
      </c>
      <c r="I367">
        <f>H367/VLOOKUP(B367,Trades!A$1:$M$100361,9,FALSE)</f>
        <v>-1.0571428571428874</v>
      </c>
    </row>
    <row r="368" spans="1:9" x14ac:dyDescent="0.25">
      <c r="A368">
        <f t="shared" ref="A368:A378" si="35">ROW()-1</f>
        <v>367</v>
      </c>
      <c r="B368" t="s">
        <v>562</v>
      </c>
      <c r="C368" s="1">
        <v>46190</v>
      </c>
      <c r="D368" t="str">
        <f>VLOOKUP(B368,Trades!A$1:M100727,3,FALSE)</f>
        <v>AFRM</v>
      </c>
      <c r="E368" t="s">
        <v>61</v>
      </c>
      <c r="F368">
        <v>76.52</v>
      </c>
      <c r="G368">
        <v>15</v>
      </c>
      <c r="H368">
        <f>IF(VLOOKUP(B368,Trades!A:M,4,FALSE)="Long",(F368-VLOOKUP(B368,Trades!A:M,6,FALSE))*G368,(VLOOKUP(B368,Trades!A:M,6,FALSE)-F368)*G368)</f>
        <v>25.799999999999983</v>
      </c>
      <c r="I368">
        <f>H368/VLOOKUP(B368,Trades!A$1:$M$100361,9,FALSE)</f>
        <v>3.5833333333333011</v>
      </c>
    </row>
    <row r="369" spans="1:9" x14ac:dyDescent="0.25">
      <c r="A369">
        <f t="shared" si="35"/>
        <v>368</v>
      </c>
      <c r="B369" t="s">
        <v>563</v>
      </c>
      <c r="C369" s="1">
        <v>46190</v>
      </c>
      <c r="D369" t="str">
        <f>VLOOKUP(B369,Trades!A$1:M100728,3,FALSE)</f>
        <v>D</v>
      </c>
      <c r="E369" t="s">
        <v>61</v>
      </c>
      <c r="F369">
        <v>68.44</v>
      </c>
      <c r="G369">
        <v>15</v>
      </c>
      <c r="H369">
        <f>IF(VLOOKUP(B369,Trades!A:M,4,FALSE)="Long",(F369-VLOOKUP(B369,Trades!A:M,6,FALSE))*G369,(VLOOKUP(B369,Trades!A:M,6,FALSE)-F369)*G369)</f>
        <v>-3.4500000000000597</v>
      </c>
      <c r="I369">
        <f>H369/VLOOKUP(B369,Trades!A$1:$M$100361,9,FALSE)</f>
        <v>-1</v>
      </c>
    </row>
    <row r="370" spans="1:9" x14ac:dyDescent="0.25">
      <c r="A370">
        <f t="shared" si="35"/>
        <v>369</v>
      </c>
      <c r="B370" t="s">
        <v>565</v>
      </c>
      <c r="C370" s="1">
        <v>46190</v>
      </c>
      <c r="D370" t="str">
        <f>VLOOKUP(B370,Trades!A$1:M100729,3,FALSE)</f>
        <v>PTRN</v>
      </c>
      <c r="E370" t="s">
        <v>61</v>
      </c>
      <c r="F370">
        <v>19.25</v>
      </c>
      <c r="G370">
        <v>30</v>
      </c>
      <c r="H370">
        <f>IF(VLOOKUP(B370,Trades!A:M,4,FALSE)="Long",(F370-VLOOKUP(B370,Trades!A:M,6,FALSE))*G370,(VLOOKUP(B370,Trades!A:M,6,FALSE)-F370)*G370)</f>
        <v>-6.3000000000000256</v>
      </c>
      <c r="I370">
        <f>H370/VLOOKUP(B370,Trades!A$1:$M$100361,9,FALSE)</f>
        <v>-1.050000000000008</v>
      </c>
    </row>
    <row r="371" spans="1:9" x14ac:dyDescent="0.25">
      <c r="A371">
        <f t="shared" si="35"/>
        <v>370</v>
      </c>
      <c r="B371" t="s">
        <v>566</v>
      </c>
      <c r="C371" s="1">
        <v>46190</v>
      </c>
      <c r="D371" t="str">
        <f>VLOOKUP(B371,Trades!A$1:M100730,3,FALSE)</f>
        <v>INTC</v>
      </c>
      <c r="E371" t="s">
        <v>61</v>
      </c>
      <c r="F371">
        <v>121.35</v>
      </c>
      <c r="G371">
        <v>8</v>
      </c>
      <c r="H371">
        <f>IF(VLOOKUP(B371,Trades!A:M,4,FALSE)="Long",(F371-VLOOKUP(B371,Trades!A:M,6,FALSE))*G371,(VLOOKUP(B371,Trades!A:M,6,FALSE)-F371)*G371)</f>
        <v>13.839999999999918</v>
      </c>
      <c r="I371">
        <f>H371/VLOOKUP(B371,Trades!A$1:$M$100361,9,FALSE)</f>
        <v>3.0350877192981884</v>
      </c>
    </row>
    <row r="372" spans="1:9" x14ac:dyDescent="0.25">
      <c r="A372">
        <f t="shared" si="35"/>
        <v>371</v>
      </c>
      <c r="B372" t="s">
        <v>568</v>
      </c>
      <c r="C372" s="1">
        <v>46190</v>
      </c>
      <c r="D372" t="str">
        <f>VLOOKUP(B372,Trades!A$1:M100731,3,FALSE)</f>
        <v>WFC</v>
      </c>
      <c r="E372" t="s">
        <v>61</v>
      </c>
      <c r="F372">
        <v>85.82</v>
      </c>
      <c r="G372">
        <v>10</v>
      </c>
      <c r="H372">
        <f>IF(VLOOKUP(B372,Trades!A:M,4,FALSE)="Long",(F372-VLOOKUP(B372,Trades!A:M,6,FALSE))*G372,(VLOOKUP(B372,Trades!A:M,6,FALSE)-F372)*G372)</f>
        <v>-5</v>
      </c>
      <c r="I372">
        <f>H372/VLOOKUP(B372,Trades!A$1:$M$100361,9,FALSE)</f>
        <v>-1</v>
      </c>
    </row>
    <row r="373" spans="1:9" x14ac:dyDescent="0.25">
      <c r="A373">
        <f t="shared" si="35"/>
        <v>372</v>
      </c>
      <c r="B373" t="s">
        <v>569</v>
      </c>
      <c r="C373" s="1">
        <v>46190</v>
      </c>
      <c r="D373" t="str">
        <f>VLOOKUP(B373,Trades!A$1:M100732,3,FALSE)</f>
        <v>ABNB</v>
      </c>
      <c r="E373" t="s">
        <v>61</v>
      </c>
      <c r="F373">
        <v>142.63</v>
      </c>
      <c r="G373">
        <v>5</v>
      </c>
      <c r="H373">
        <f>IF(VLOOKUP(B373,Trades!A:M,4,FALSE)="Long",(F373-VLOOKUP(B373,Trades!A:M,6,FALSE))*G373,(VLOOKUP(B373,Trades!A:M,6,FALSE)-F373)*G373)</f>
        <v>5.8499999999999375</v>
      </c>
      <c r="I373">
        <f>H373/VLOOKUP(B373,Trades!A$1:$M$100361,9,FALSE)</f>
        <v>1.1699999999999875</v>
      </c>
    </row>
    <row r="374" spans="1:9" x14ac:dyDescent="0.25">
      <c r="A374">
        <f t="shared" si="35"/>
        <v>373</v>
      </c>
      <c r="B374" t="s">
        <v>571</v>
      </c>
      <c r="C374" s="1">
        <v>46190</v>
      </c>
      <c r="D374" t="str">
        <f>VLOOKUP(B374,Trades!A$1:M100733,3,FALSE)</f>
        <v>DOW</v>
      </c>
      <c r="E374" t="s">
        <v>61</v>
      </c>
      <c r="F374">
        <v>33.234999999999999</v>
      </c>
      <c r="G374">
        <v>20</v>
      </c>
      <c r="H374">
        <f>IF(VLOOKUP(B374,Trades!A:M,4,FALSE)="Long",(F374-VLOOKUP(B374,Trades!A:M,6,FALSE))*G374,(VLOOKUP(B374,Trades!A:M,6,FALSE)-F374)*G374)</f>
        <v>-4.0999999999999659</v>
      </c>
      <c r="I374">
        <f>H374/VLOOKUP(B374,Trades!A$1:$M$100361,9,FALSE)</f>
        <v>-1.0250000000000132</v>
      </c>
    </row>
    <row r="375" spans="1:9" x14ac:dyDescent="0.25">
      <c r="A375">
        <f t="shared" si="35"/>
        <v>374</v>
      </c>
      <c r="B375" t="s">
        <v>572</v>
      </c>
      <c r="C375" s="1">
        <v>46190</v>
      </c>
      <c r="D375" t="str">
        <f>VLOOKUP(B375,Trades!A$1:M100734,3,FALSE)</f>
        <v>AFRM</v>
      </c>
      <c r="E375" t="s">
        <v>61</v>
      </c>
      <c r="F375">
        <v>75.319999999999993</v>
      </c>
      <c r="G375">
        <v>15</v>
      </c>
      <c r="H375">
        <f>IF(VLOOKUP(B375,Trades!A:M,4,FALSE)="Long",(F375-VLOOKUP(B375,Trades!A:M,6,FALSE))*G375,(VLOOKUP(B375,Trades!A:M,6,FALSE)-F375)*G375)</f>
        <v>-3.1500000000001194</v>
      </c>
      <c r="I375">
        <f>H375/VLOOKUP(B375,Trades!A$1:$M$100361,9,FALSE)</f>
        <v>-1.0500000000000249</v>
      </c>
    </row>
    <row r="376" spans="1:9" x14ac:dyDescent="0.25">
      <c r="A376">
        <f t="shared" si="35"/>
        <v>375</v>
      </c>
      <c r="B376" t="s">
        <v>573</v>
      </c>
      <c r="C376" s="1">
        <v>46190</v>
      </c>
      <c r="D376" t="str">
        <f>VLOOKUP(B376,Trades!A$1:M100735,3,FALSE)</f>
        <v>DKNG</v>
      </c>
      <c r="E376" t="s">
        <v>61</v>
      </c>
      <c r="F376">
        <v>27.36</v>
      </c>
      <c r="G376">
        <v>3</v>
      </c>
      <c r="H376">
        <f>IF(VLOOKUP(B376,Trades!A:M,4,FALSE)="Long",(F376-VLOOKUP(B376,Trades!A:M,6,FALSE))*G376,(VLOOKUP(B376,Trades!A:M,6,FALSE)-F376)*G376)</f>
        <v>-5.1300000000000026</v>
      </c>
      <c r="I376">
        <f>H376/VLOOKUP(B376,Trades!A$1:$M$100361,9,FALSE)</f>
        <v>-1.0058823529411773</v>
      </c>
    </row>
    <row r="377" spans="1:9" x14ac:dyDescent="0.25">
      <c r="A377">
        <f t="shared" si="35"/>
        <v>376</v>
      </c>
      <c r="B377" t="s">
        <v>574</v>
      </c>
      <c r="C377" s="1">
        <v>46190</v>
      </c>
      <c r="D377" t="str">
        <f>VLOOKUP(B377,Trades!A$1:M100736,3,FALSE)</f>
        <v>HPE</v>
      </c>
      <c r="E377" t="s">
        <v>61</v>
      </c>
      <c r="F377">
        <v>49.51</v>
      </c>
      <c r="G377">
        <v>12</v>
      </c>
      <c r="H377">
        <f>IF(VLOOKUP(B377,Trades!A:M,4,FALSE)="Long",(F377-VLOOKUP(B377,Trades!A:M,6,FALSE))*G377,(VLOOKUP(B377,Trades!A:M,6,FALSE)-F377)*G377)</f>
        <v>-2.6399999999999864</v>
      </c>
      <c r="I377">
        <f>H377/VLOOKUP(B377,Trades!A$1:$M$100361,9,FALSE)</f>
        <v>-0.87999999999999545</v>
      </c>
    </row>
    <row r="378" spans="1:9" x14ac:dyDescent="0.25">
      <c r="A378">
        <f t="shared" si="35"/>
        <v>377</v>
      </c>
      <c r="B378" t="s">
        <v>575</v>
      </c>
      <c r="C378" s="1">
        <v>46190</v>
      </c>
      <c r="D378" t="str">
        <f>VLOOKUP(B378,Trades!A$1:M100737,3,FALSE)</f>
        <v>SMCI</v>
      </c>
      <c r="E378" t="s">
        <v>61</v>
      </c>
      <c r="F378">
        <v>28.57</v>
      </c>
      <c r="G378">
        <v>3</v>
      </c>
      <c r="H378">
        <f>IF(VLOOKUP(B378,Trades!A:M,4,FALSE)="Long",(F378-VLOOKUP(B378,Trades!A:M,6,FALSE))*G378,(VLOOKUP(B378,Trades!A:M,6,FALSE)-F378)*G378)</f>
        <v>-4.1999999999999957</v>
      </c>
      <c r="I378">
        <f>H378/VLOOKUP(B378,Trades!A$1:$M$100361,9,FALSE)</f>
        <v>-1</v>
      </c>
    </row>
    <row r="379" spans="1:9" x14ac:dyDescent="0.25">
      <c r="A379">
        <f t="shared" ref="A379:A388" si="36">ROW()-1</f>
        <v>378</v>
      </c>
      <c r="B379" t="s">
        <v>577</v>
      </c>
      <c r="C379" s="1">
        <v>46191</v>
      </c>
      <c r="D379" t="str">
        <f>VLOOKUP(B379,Trades!A$1:M100738,3,FALSE)</f>
        <v>INTC</v>
      </c>
      <c r="E379" t="s">
        <v>61</v>
      </c>
      <c r="F379">
        <v>132.13999999999999</v>
      </c>
      <c r="G379">
        <v>8</v>
      </c>
      <c r="H379">
        <f>IF(VLOOKUP(B379,Trades!A:M,4,FALSE)="Long",(F379-VLOOKUP(B379,Trades!A:M,6,FALSE))*G379,(VLOOKUP(B379,Trades!A:M,6,FALSE)-F379)*G379)</f>
        <v>-8.8000000000001819</v>
      </c>
      <c r="I379">
        <f>H379/VLOOKUP(B379,Trades!A$1:$M$100361,9,FALSE)</f>
        <v>-1.1000000000000227</v>
      </c>
    </row>
    <row r="380" spans="1:9" x14ac:dyDescent="0.25">
      <c r="A380">
        <f t="shared" si="36"/>
        <v>379</v>
      </c>
      <c r="B380" t="s">
        <v>578</v>
      </c>
      <c r="C380" s="1">
        <v>46191</v>
      </c>
      <c r="D380" t="str">
        <f>VLOOKUP(B380,Trades!A$1:M100739,3,FALSE)</f>
        <v>PLTR</v>
      </c>
      <c r="E380" t="s">
        <v>61</v>
      </c>
      <c r="F380">
        <v>127.04</v>
      </c>
      <c r="G380">
        <v>5</v>
      </c>
      <c r="H380">
        <f>IF(VLOOKUP(B380,Trades!A:M,4,FALSE)="Long",(F380-VLOOKUP(B380,Trades!A:M,6,FALSE))*G380,(VLOOKUP(B380,Trades!A:M,6,FALSE)-F380)*G380)</f>
        <v>-5.5499999999999972</v>
      </c>
      <c r="I380">
        <f>H380/VLOOKUP(B380,Trades!A$1:$M$100361,9,FALSE)</f>
        <v>-1.1099999999999994</v>
      </c>
    </row>
    <row r="381" spans="1:9" x14ac:dyDescent="0.25">
      <c r="A381">
        <f t="shared" si="36"/>
        <v>380</v>
      </c>
      <c r="B381" t="s">
        <v>579</v>
      </c>
      <c r="C381" s="1">
        <v>46191</v>
      </c>
      <c r="D381" t="str">
        <f>VLOOKUP(B381,Trades!A$1:M100740,3,FALSE)</f>
        <v>SOFI</v>
      </c>
      <c r="E381" t="s">
        <v>61</v>
      </c>
      <c r="F381">
        <v>17.510000000000002</v>
      </c>
      <c r="G381">
        <v>50</v>
      </c>
      <c r="H381">
        <f>IF(VLOOKUP(B381,Trades!A:M,4,FALSE)="Long",(F381-VLOOKUP(B381,Trades!A:M,6,FALSE))*G381,(VLOOKUP(B381,Trades!A:M,6,FALSE)-F381)*G381)</f>
        <v>-6.9999999999998508</v>
      </c>
      <c r="I381">
        <f>H381/VLOOKUP(B381,Trades!A$1:$M$100361,9,FALSE)</f>
        <v>-0.87499999999998057</v>
      </c>
    </row>
    <row r="382" spans="1:9" x14ac:dyDescent="0.25">
      <c r="A382">
        <f t="shared" si="36"/>
        <v>381</v>
      </c>
      <c r="B382" t="s">
        <v>580</v>
      </c>
      <c r="C382" s="1">
        <v>46191</v>
      </c>
      <c r="D382" t="str">
        <f>VLOOKUP(B382,Trades!A$1:M100741,3,FALSE)</f>
        <v>INTC</v>
      </c>
      <c r="E382" t="s">
        <v>61</v>
      </c>
      <c r="F382">
        <v>129.41999999999999</v>
      </c>
      <c r="G382">
        <v>8</v>
      </c>
      <c r="H382">
        <f>IF(VLOOKUP(B382,Trades!A:M,4,FALSE)="Long",(F382-VLOOKUP(B382,Trades!A:M,6,FALSE))*G382,(VLOOKUP(B382,Trades!A:M,6,FALSE)-F382)*G382)</f>
        <v>-12.560000000000173</v>
      </c>
      <c r="I382">
        <f>H382/VLOOKUP(B382,Trades!A$1:$M$100361,9,FALSE)</f>
        <v>-1.0194805194805199</v>
      </c>
    </row>
    <row r="383" spans="1:9" x14ac:dyDescent="0.25">
      <c r="A383">
        <f t="shared" si="36"/>
        <v>382</v>
      </c>
      <c r="B383" s="1" t="s">
        <v>581</v>
      </c>
      <c r="C383" s="1">
        <v>46191</v>
      </c>
      <c r="D383" t="str">
        <f>VLOOKUP(B383,Trades!A$1:M100742,3,FALSE)</f>
        <v>INTC</v>
      </c>
      <c r="E383" t="s">
        <v>61</v>
      </c>
      <c r="F383">
        <v>128.85</v>
      </c>
      <c r="G383">
        <v>8</v>
      </c>
      <c r="H383">
        <f>IF(VLOOKUP(B383,Trades!A:M,4,FALSE)="Long",(F383-VLOOKUP(B383,Trades!A:M,6,FALSE))*G383,(VLOOKUP(B383,Trades!A:M,6,FALSE)-F383)*G383)</f>
        <v>-8</v>
      </c>
      <c r="I383">
        <f>H383/VLOOKUP(B383,Trades!A$1:$M$100361,9,FALSE)</f>
        <v>-1</v>
      </c>
    </row>
    <row r="384" spans="1:9" x14ac:dyDescent="0.25">
      <c r="A384">
        <f t="shared" si="36"/>
        <v>383</v>
      </c>
      <c r="B384" s="1" t="s">
        <v>583</v>
      </c>
      <c r="C384" s="1">
        <v>46191</v>
      </c>
      <c r="D384" t="str">
        <f>VLOOKUP(B384,Trades!A$1:M100743,3,FALSE)</f>
        <v>MRNA</v>
      </c>
      <c r="E384" t="s">
        <v>61</v>
      </c>
      <c r="F384">
        <v>61.4</v>
      </c>
      <c r="G384">
        <v>15</v>
      </c>
      <c r="H384">
        <f>IF(VLOOKUP(B384,Trades!A:M,4,FALSE)="Long",(F384-VLOOKUP(B384,Trades!A:M,6,FALSE))*G384,(VLOOKUP(B384,Trades!A:M,6,FALSE)-F384)*G384)</f>
        <v>-8.6999999999999744</v>
      </c>
      <c r="I384">
        <f>H384/VLOOKUP(B384,Trades!A$1:$M$100361,9,FALSE)</f>
        <v>-0.92063492063492458</v>
      </c>
    </row>
    <row r="385" spans="1:9" x14ac:dyDescent="0.25">
      <c r="A385">
        <f t="shared" si="36"/>
        <v>384</v>
      </c>
      <c r="B385" s="1" t="s">
        <v>584</v>
      </c>
      <c r="C385" s="1">
        <v>46191</v>
      </c>
      <c r="D385" t="str">
        <f>VLOOKUP(B385,Trades!A$1:M100744,3,FALSE)</f>
        <v>DIS</v>
      </c>
      <c r="E385" t="s">
        <v>61</v>
      </c>
      <c r="F385">
        <v>103.55</v>
      </c>
      <c r="G385">
        <v>5</v>
      </c>
      <c r="H385">
        <f>IF(VLOOKUP(B385,Trades!A:M,4,FALSE)="Long",(F385-VLOOKUP(B385,Trades!A:M,6,FALSE))*G385,(VLOOKUP(B385,Trades!A:M,6,FALSE)-F385)*G385)</f>
        <v>9.0999999999999659</v>
      </c>
      <c r="I385">
        <f>H385/VLOOKUP(B385,Trades!A$1:$M$100361,9,FALSE)</f>
        <v>1.8199999999999932</v>
      </c>
    </row>
    <row r="386" spans="1:9" x14ac:dyDescent="0.25">
      <c r="A386">
        <f t="shared" si="36"/>
        <v>385</v>
      </c>
      <c r="B386" s="1" t="s">
        <v>585</v>
      </c>
      <c r="C386" s="1">
        <v>46191</v>
      </c>
      <c r="D386" t="str">
        <f>VLOOKUP(B386,Trades!A$1:M100745,3,FALSE)</f>
        <v>PLTR</v>
      </c>
      <c r="E386" t="s">
        <v>61</v>
      </c>
      <c r="F386">
        <v>126.23</v>
      </c>
      <c r="G386">
        <v>5</v>
      </c>
      <c r="H386">
        <f>IF(VLOOKUP(B386,Trades!A:M,4,FALSE)="Long",(F386-VLOOKUP(B386,Trades!A:M,6,FALSE))*G386,(VLOOKUP(B386,Trades!A:M,6,FALSE)-F386)*G386)</f>
        <v>-6.1999999999999744</v>
      </c>
      <c r="I386">
        <f>H386/VLOOKUP(B386,Trades!A$1:$M$100361,9,FALSE)</f>
        <v>-1.2399999999999949</v>
      </c>
    </row>
    <row r="387" spans="1:9" x14ac:dyDescent="0.25">
      <c r="A387">
        <f t="shared" si="36"/>
        <v>386</v>
      </c>
      <c r="B387" s="1" t="s">
        <v>586</v>
      </c>
      <c r="C387" s="1">
        <v>46191</v>
      </c>
      <c r="D387" t="str">
        <f>VLOOKUP(B387,Trades!A$1:M100746,3,FALSE)</f>
        <v>WMT</v>
      </c>
      <c r="E387" t="s">
        <v>61</v>
      </c>
      <c r="F387">
        <v>116.83</v>
      </c>
      <c r="G387">
        <v>2</v>
      </c>
      <c r="H387">
        <f>IF(VLOOKUP(B387,Trades!A:M,4,FALSE)="Long",(F387-VLOOKUP(B387,Trades!A:M,6,FALSE))*G387,(VLOOKUP(B387,Trades!A:M,6,FALSE)-F387)*G387)</f>
        <v>-5.9799999999999898</v>
      </c>
      <c r="I387">
        <f>H387/VLOOKUP(B387,Trades!A$1:$M$100361,9,FALSE)</f>
        <v>-0.99666666666666492</v>
      </c>
    </row>
    <row r="388" spans="1:9" x14ac:dyDescent="0.25">
      <c r="A388">
        <f t="shared" si="36"/>
        <v>387</v>
      </c>
      <c r="B388" s="1" t="s">
        <v>587</v>
      </c>
      <c r="C388" s="1">
        <v>46191</v>
      </c>
      <c r="D388" t="str">
        <f>VLOOKUP(B388,Trades!A$1:M100747,3,FALSE)</f>
        <v>MRNA</v>
      </c>
      <c r="E388" t="s">
        <v>61</v>
      </c>
      <c r="F388">
        <v>64.17</v>
      </c>
      <c r="G388">
        <v>15</v>
      </c>
      <c r="H388">
        <f>IF(VLOOKUP(B388,Trades!A:M,4,FALSE)="Long",(F388-VLOOKUP(B388,Trades!A:M,6,FALSE))*G388,(VLOOKUP(B388,Trades!A:M,6,FALSE)-F388)*G388)</f>
        <v>27.000000000000064</v>
      </c>
      <c r="I388">
        <f>H388/VLOOKUP(B388,Trades!A$1:$M$100361,9,FALSE)</f>
        <v>2.0930232558139599</v>
      </c>
    </row>
    <row r="389" spans="1:9" x14ac:dyDescent="0.25">
      <c r="A389">
        <f t="shared" ref="A389:A398" si="37">ROW()-1</f>
        <v>388</v>
      </c>
      <c r="B389" s="1" t="s">
        <v>590</v>
      </c>
      <c r="C389" s="1">
        <v>46195</v>
      </c>
      <c r="D389" t="str">
        <f>VLOOKUP(B389,Trades!A$1:M100748,3,FALSE)</f>
        <v>ARM</v>
      </c>
      <c r="E389" t="s">
        <v>61</v>
      </c>
      <c r="F389">
        <v>419.46</v>
      </c>
      <c r="G389">
        <v>2</v>
      </c>
      <c r="H389">
        <f>IF(VLOOKUP(B389,Trades!A:M,4,FALSE)="Long",(F389-VLOOKUP(B389,Trades!A:M,6,FALSE))*G389,(VLOOKUP(B389,Trades!A:M,6,FALSE)-F389)*G389)</f>
        <v>-12.440000000000055</v>
      </c>
      <c r="I389">
        <f>H389/VLOOKUP(B389,Trades!A$1:$M$100361,9,FALSE)</f>
        <v>-0.88857142857143245</v>
      </c>
    </row>
    <row r="390" spans="1:9" x14ac:dyDescent="0.25">
      <c r="A390">
        <f t="shared" si="37"/>
        <v>389</v>
      </c>
      <c r="B390" s="1" t="s">
        <v>591</v>
      </c>
      <c r="C390" s="1">
        <v>46195</v>
      </c>
      <c r="D390" t="str">
        <f>VLOOKUP(B390,Trades!A$1:M100749,3,FALSE)</f>
        <v>HIMS</v>
      </c>
      <c r="E390" t="s">
        <v>61</v>
      </c>
      <c r="F390">
        <v>35.78</v>
      </c>
      <c r="G390">
        <v>15</v>
      </c>
      <c r="H390">
        <f>IF(VLOOKUP(B390,Trades!A:M,4,FALSE)="Long",(F390-VLOOKUP(B390,Trades!A:M,6,FALSE))*G390,(VLOOKUP(B390,Trades!A:M,6,FALSE)-F390)*G390)</f>
        <v>16.649999999999991</v>
      </c>
      <c r="I390">
        <f>H390/VLOOKUP(B390,Trades!A$1:$M$100361,9,FALSE)</f>
        <v>1.4999999999999809</v>
      </c>
    </row>
    <row r="391" spans="1:9" x14ac:dyDescent="0.25">
      <c r="A391">
        <f t="shared" si="37"/>
        <v>390</v>
      </c>
      <c r="B391" s="1" t="s">
        <v>592</v>
      </c>
      <c r="C391" s="1">
        <v>46195</v>
      </c>
      <c r="D391" t="str">
        <f>VLOOKUP(B391,Trades!A$1:M100750,3,FALSE)</f>
        <v>SOFI</v>
      </c>
      <c r="E391" t="s">
        <v>61</v>
      </c>
      <c r="F391">
        <v>17.57</v>
      </c>
      <c r="G391">
        <v>50</v>
      </c>
      <c r="H391">
        <f>IF(VLOOKUP(B391,Trades!A:M,4,FALSE)="Long",(F391-VLOOKUP(B391,Trades!A:M,6,FALSE))*G391,(VLOOKUP(B391,Trades!A:M,6,FALSE)-F391)*G391)</f>
        <v>-6.0000000000000497</v>
      </c>
      <c r="I391">
        <f>H391/VLOOKUP(B391,Trades!A$1:$M$100361,9,FALSE)</f>
        <v>-1</v>
      </c>
    </row>
    <row r="392" spans="1:9" x14ac:dyDescent="0.25">
      <c r="A392">
        <f t="shared" si="37"/>
        <v>391</v>
      </c>
      <c r="B392" s="1" t="s">
        <v>593</v>
      </c>
      <c r="C392" s="1">
        <v>46195</v>
      </c>
      <c r="D392" t="str">
        <f>VLOOKUP(B392,Trades!A$1:M100751,3,FALSE)</f>
        <v>HOOD</v>
      </c>
      <c r="E392" t="s">
        <v>61</v>
      </c>
      <c r="F392">
        <v>108.68</v>
      </c>
      <c r="G392">
        <v>8</v>
      </c>
      <c r="H392">
        <f>IF(VLOOKUP(B392,Trades!A:M,4,FALSE)="Long",(F392-VLOOKUP(B392,Trades!A:M,6,FALSE))*G392,(VLOOKUP(B392,Trades!A:M,6,FALSE)-F392)*G392)</f>
        <v>-8.1599999999999682</v>
      </c>
      <c r="I392">
        <f>H392/VLOOKUP(B392,Trades!A$1:$M$100361,9,FALSE)</f>
        <v>-1.019999999999996</v>
      </c>
    </row>
    <row r="393" spans="1:9" x14ac:dyDescent="0.25">
      <c r="A393">
        <f t="shared" si="37"/>
        <v>392</v>
      </c>
      <c r="B393" s="1" t="s">
        <v>594</v>
      </c>
      <c r="C393" s="1">
        <v>46195</v>
      </c>
      <c r="D393" t="str">
        <f>VLOOKUP(B393,Trades!A$1:M100752,3,FALSE)</f>
        <v>ABNB</v>
      </c>
      <c r="E393" t="s">
        <v>61</v>
      </c>
      <c r="F393">
        <v>139.94</v>
      </c>
      <c r="G393">
        <v>8</v>
      </c>
      <c r="H393">
        <f>IF(VLOOKUP(B393,Trades!A:M,4,FALSE)="Long",(F393-VLOOKUP(B393,Trades!A:M,6,FALSE))*G393,(VLOOKUP(B393,Trades!A:M,6,FALSE)-F393)*G393)</f>
        <v>-8.0799999999999272</v>
      </c>
      <c r="I393">
        <f>H393/VLOOKUP(B393,Trades!A$1:$M$100361,9,FALSE)</f>
        <v>-1.0099999999999909</v>
      </c>
    </row>
    <row r="394" spans="1:9" x14ac:dyDescent="0.25">
      <c r="A394">
        <f t="shared" si="37"/>
        <v>393</v>
      </c>
      <c r="B394" s="1" t="s">
        <v>595</v>
      </c>
      <c r="C394" s="1">
        <v>46195</v>
      </c>
      <c r="D394" t="str">
        <f>VLOOKUP(B394,Trades!A$1:M100753,3,FALSE)</f>
        <v>INTC</v>
      </c>
      <c r="E394" t="s">
        <v>61</v>
      </c>
      <c r="F394">
        <v>137.78</v>
      </c>
      <c r="G394">
        <v>10</v>
      </c>
      <c r="H394">
        <f>IF(VLOOKUP(B394,Trades!A:M,4,FALSE)="Long",(F394-VLOOKUP(B394,Trades!A:M,6,FALSE))*G394,(VLOOKUP(B394,Trades!A:M,6,FALSE)-F394)*G394)</f>
        <v>-20.099999999999909</v>
      </c>
      <c r="I394">
        <f>H394/VLOOKUP(B394,Trades!A$1:$M$100361,9,FALSE)</f>
        <v>-1.0049999999999955</v>
      </c>
    </row>
    <row r="395" spans="1:9" x14ac:dyDescent="0.25">
      <c r="A395">
        <f t="shared" si="37"/>
        <v>394</v>
      </c>
      <c r="B395" s="1" t="s">
        <v>596</v>
      </c>
      <c r="C395" s="1">
        <v>46195</v>
      </c>
      <c r="D395" t="str">
        <f>VLOOKUP(B395,Trades!A$1:M100754,3,FALSE)</f>
        <v>ARM</v>
      </c>
      <c r="E395" t="s">
        <v>61</v>
      </c>
      <c r="F395">
        <v>414.65</v>
      </c>
      <c r="G395">
        <v>4</v>
      </c>
      <c r="H395">
        <f>IF(VLOOKUP(B395,Trades!A:M,4,FALSE)="Long",(F395-VLOOKUP(B395,Trades!A:M,6,FALSE))*G395,(VLOOKUP(B395,Trades!A:M,6,FALSE)-F395)*G395)</f>
        <v>-14.600000000000136</v>
      </c>
      <c r="I395">
        <f>H395/VLOOKUP(B395,Trades!A$1:$M$100361,9,FALSE)</f>
        <v>-1.048850574712648</v>
      </c>
    </row>
    <row r="396" spans="1:9" x14ac:dyDescent="0.25">
      <c r="A396">
        <f t="shared" si="37"/>
        <v>395</v>
      </c>
      <c r="B396" s="1" t="s">
        <v>591</v>
      </c>
      <c r="C396" s="1">
        <v>46195</v>
      </c>
      <c r="D396" t="str">
        <f>VLOOKUP(B396,Trades!A$1:M100755,3,FALSE)</f>
        <v>HIMS</v>
      </c>
      <c r="E396" t="s">
        <v>61</v>
      </c>
      <c r="F396">
        <v>34.29</v>
      </c>
      <c r="G396">
        <v>15</v>
      </c>
      <c r="H396">
        <f>IF(VLOOKUP(B396,Trades!A:M,4,FALSE)="Long",(F396-VLOOKUP(B396,Trades!A:M,6,FALSE))*G396,(VLOOKUP(B396,Trades!A:M,6,FALSE)-F396)*G396)</f>
        <v>-5.7000000000000384</v>
      </c>
      <c r="I396">
        <f>H396/VLOOKUP(B396,Trades!A$1:$M$100361,9,FALSE)</f>
        <v>-0.51351351351351071</v>
      </c>
    </row>
    <row r="397" spans="1:9" x14ac:dyDescent="0.25">
      <c r="A397">
        <f t="shared" si="37"/>
        <v>396</v>
      </c>
      <c r="B397" s="1" t="s">
        <v>597</v>
      </c>
      <c r="C397" s="1">
        <v>46195</v>
      </c>
      <c r="D397" t="str">
        <f>VLOOKUP(B397,Trades!A$1:M100756,3,FALSE)</f>
        <v>ATEC</v>
      </c>
      <c r="E397" t="s">
        <v>61</v>
      </c>
      <c r="F397">
        <v>8.89</v>
      </c>
      <c r="G397">
        <v>20</v>
      </c>
      <c r="H397">
        <f>IF(VLOOKUP(B397,Trades!A:M,4,FALSE)="Long",(F397-VLOOKUP(B397,Trades!A:M,6,FALSE))*G397,(VLOOKUP(B397,Trades!A:M,6,FALSE)-F397)*G397)</f>
        <v>-2.1999999999999886</v>
      </c>
      <c r="I397">
        <f>H397/VLOOKUP(B397,Trades!A$1:$M$100361,9,FALSE)</f>
        <v>-0.13749999999999918</v>
      </c>
    </row>
    <row r="398" spans="1:9" x14ac:dyDescent="0.25">
      <c r="A398">
        <f t="shared" si="37"/>
        <v>397</v>
      </c>
      <c r="B398" s="1" t="s">
        <v>598</v>
      </c>
      <c r="C398" s="1">
        <v>46195</v>
      </c>
      <c r="D398" t="str">
        <f>VLOOKUP(B398,Trades!A$1:M100757,3,FALSE)</f>
        <v>NCPL</v>
      </c>
      <c r="E398" t="s">
        <v>61</v>
      </c>
      <c r="F398">
        <v>0.60009999999999997</v>
      </c>
      <c r="G398">
        <v>10</v>
      </c>
      <c r="H398">
        <f>IF(VLOOKUP(B398,Trades!A:M,4,FALSE)="Long",(F398-VLOOKUP(B398,Trades!A:M,6,FALSE))*G398,(VLOOKUP(B398,Trades!A:M,6,FALSE)-F398)*G398)</f>
        <v>-2.0990000000000011</v>
      </c>
      <c r="I398">
        <f>H398/VLOOKUP(B398,Trades!A$1:$M$100361,9,FALSE)</f>
        <v>-1.0495000000000001</v>
      </c>
    </row>
    <row r="399" spans="1:9" x14ac:dyDescent="0.25">
      <c r="A399">
        <f t="shared" ref="A399:A405" si="38">ROW()-1</f>
        <v>398</v>
      </c>
      <c r="B399" s="1" t="s">
        <v>599</v>
      </c>
      <c r="C399" s="1">
        <v>46196</v>
      </c>
      <c r="D399" t="str">
        <f>VLOOKUP(B399,Trades!A$1:M100758,3,FALSE)</f>
        <v>QBTS</v>
      </c>
      <c r="E399" t="s">
        <v>61</v>
      </c>
      <c r="F399">
        <v>25.76</v>
      </c>
      <c r="G399">
        <v>50</v>
      </c>
      <c r="H399">
        <f>IF(VLOOKUP(B399,Trades!A:M,4,FALSE)="Long",(F399-VLOOKUP(B399,Trades!A:M,6,FALSE))*G399,(VLOOKUP(B399,Trades!A:M,6,FALSE)-F399)*G399)</f>
        <v>-9.4999999999998863</v>
      </c>
      <c r="I399">
        <f>H399/VLOOKUP(B399,Trades!A$1:$M$100361,9,FALSE)</f>
        <v>-1</v>
      </c>
    </row>
    <row r="400" spans="1:9" x14ac:dyDescent="0.25">
      <c r="A400">
        <f t="shared" si="38"/>
        <v>399</v>
      </c>
      <c r="B400" s="1" t="s">
        <v>600</v>
      </c>
      <c r="C400" s="1">
        <v>46196</v>
      </c>
      <c r="D400" t="str">
        <f>VLOOKUP(B400,Trades!A$1:M100759,3,FALSE)</f>
        <v>QUBT</v>
      </c>
      <c r="E400" t="s">
        <v>61</v>
      </c>
      <c r="F400">
        <v>10.92</v>
      </c>
      <c r="G400">
        <v>50</v>
      </c>
      <c r="H400">
        <f>IF(VLOOKUP(B400,Trades!A:M,4,FALSE)="Long",(F400-VLOOKUP(B400,Trades!A:M,6,FALSE))*G400,(VLOOKUP(B400,Trades!A:M,6,FALSE)-F400)*G400)</f>
        <v>-12.999999999999989</v>
      </c>
      <c r="I400">
        <f>H400/VLOOKUP(B400,Trades!A$1:$M$100361,9,FALSE)</f>
        <v>-1</v>
      </c>
    </row>
    <row r="401" spans="1:9" x14ac:dyDescent="0.25">
      <c r="A401">
        <f t="shared" si="38"/>
        <v>400</v>
      </c>
      <c r="B401" s="1" t="s">
        <v>602</v>
      </c>
      <c r="C401" s="1">
        <v>46196</v>
      </c>
      <c r="D401" t="str">
        <f>VLOOKUP(B401,Trades!A$1:M100760,3,FALSE)</f>
        <v>INFQ</v>
      </c>
      <c r="E401" t="s">
        <v>61</v>
      </c>
      <c r="F401">
        <v>15.3</v>
      </c>
      <c r="G401">
        <v>50</v>
      </c>
      <c r="H401">
        <f>IF(VLOOKUP(B401,Trades!A:M,4,FALSE)="Long",(F401-VLOOKUP(B401,Trades!A:M,6,FALSE))*G401,(VLOOKUP(B401,Trades!A:M,6,FALSE)-F401)*G401)</f>
        <v>-14.999999999999947</v>
      </c>
      <c r="I401">
        <f>H401/VLOOKUP(B401,Trades!A$1:$M$100361,9,FALSE)</f>
        <v>-1</v>
      </c>
    </row>
    <row r="402" spans="1:9" x14ac:dyDescent="0.25">
      <c r="A402">
        <f t="shared" si="38"/>
        <v>401</v>
      </c>
      <c r="B402" s="1" t="s">
        <v>604</v>
      </c>
      <c r="C402" s="1">
        <v>46196</v>
      </c>
      <c r="D402" t="str">
        <f>VLOOKUP(B402,Trades!A$1:M100761,3,FALSE)</f>
        <v>QUBTS</v>
      </c>
      <c r="E402" t="s">
        <v>61</v>
      </c>
      <c r="F402">
        <v>25.93</v>
      </c>
      <c r="G402">
        <v>100</v>
      </c>
      <c r="H402">
        <f>IF(VLOOKUP(B402,Trades!A:M,4,FALSE)="Long",(F402-VLOOKUP(B402,Trades!A:M,6,FALSE))*G402,(VLOOKUP(B402,Trades!A:M,6,FALSE)-F402)*G402)</f>
        <v>0.99999999999980105</v>
      </c>
      <c r="I402">
        <f>H402/VLOOKUP(B402,Trades!A$1:$M$100361,9,FALSE)</f>
        <v>3.2258064516122377E-2</v>
      </c>
    </row>
    <row r="403" spans="1:9" x14ac:dyDescent="0.25">
      <c r="A403">
        <f t="shared" si="38"/>
        <v>402</v>
      </c>
      <c r="B403" s="1" t="s">
        <v>605</v>
      </c>
      <c r="C403" s="1">
        <v>46196</v>
      </c>
      <c r="D403" t="str">
        <f>VLOOKUP(B403,Trades!A$1:M100762,3,FALSE)</f>
        <v>QUBT</v>
      </c>
      <c r="E403" t="s">
        <v>61</v>
      </c>
      <c r="F403">
        <v>10.95</v>
      </c>
      <c r="G403">
        <v>50</v>
      </c>
      <c r="H403">
        <f>IF(VLOOKUP(B403,Trades!A:M,4,FALSE)="Long",(F403-VLOOKUP(B403,Trades!A:M,6,FALSE))*G403,(VLOOKUP(B403,Trades!A:M,6,FALSE)-F403)*G403)</f>
        <v>-3.0000000000000249</v>
      </c>
      <c r="I403">
        <f>H403/VLOOKUP(B403,Trades!A$1:$M$100361,9,FALSE)</f>
        <v>-1</v>
      </c>
    </row>
    <row r="404" spans="1:9" x14ac:dyDescent="0.25">
      <c r="A404">
        <f t="shared" si="38"/>
        <v>403</v>
      </c>
      <c r="B404" s="1" t="s">
        <v>607</v>
      </c>
      <c r="C404" s="1">
        <v>46196</v>
      </c>
      <c r="D404" t="str">
        <f>VLOOKUP(B404,Trades!A$1:M100763,3,FALSE)</f>
        <v>APP</v>
      </c>
      <c r="E404" t="s">
        <v>61</v>
      </c>
      <c r="F404">
        <v>469.19</v>
      </c>
      <c r="G404">
        <v>2</v>
      </c>
      <c r="H404">
        <f>IF(VLOOKUP(B404,Trades!A:M,4,FALSE)="Long",(F404-VLOOKUP(B404,Trades!A:M,6,FALSE))*G404,(VLOOKUP(B404,Trades!A:M,6,FALSE)-F404)*G404)</f>
        <v>2.7000000000000455</v>
      </c>
      <c r="I404">
        <f>H404/VLOOKUP(B404,Trades!A$1:$M$100361,9,FALSE)</f>
        <v>0.27892561983471686</v>
      </c>
    </row>
    <row r="405" spans="1:9" x14ac:dyDescent="0.25">
      <c r="A405">
        <f t="shared" si="38"/>
        <v>404</v>
      </c>
      <c r="B405" s="1" t="s">
        <v>608</v>
      </c>
      <c r="C405" s="1">
        <v>46196</v>
      </c>
      <c r="D405" t="str">
        <f>VLOOKUP(B405,Trades!A$1:M100764,3,FALSE)</f>
        <v>RKT</v>
      </c>
      <c r="E405" t="s">
        <v>61</v>
      </c>
      <c r="F405">
        <v>13.494999999999999</v>
      </c>
      <c r="G405">
        <v>50</v>
      </c>
      <c r="H405">
        <f>IF(VLOOKUP(B405,Trades!A:M,4,FALSE)="Long",(F405-VLOOKUP(B405,Trades!A:M,6,FALSE))*G405,(VLOOKUP(B405,Trades!A:M,6,FALSE)-F405)*G405)</f>
        <v>-3.2500000000000639</v>
      </c>
      <c r="I405">
        <f>H405/VLOOKUP(B405,Trades!A$1:$M$100361,9,FALSE)</f>
        <v>-1.3000000000000071</v>
      </c>
    </row>
    <row r="406" spans="1:9" x14ac:dyDescent="0.25">
      <c r="A406">
        <f t="shared" ref="A406:A415" si="39">ROW()-1</f>
        <v>405</v>
      </c>
      <c r="B406" s="1" t="s">
        <v>610</v>
      </c>
      <c r="C406" s="1">
        <v>46197</v>
      </c>
      <c r="D406" t="str">
        <f>VLOOKUP(B406,Trades!A$1:M100765,3,FALSE)</f>
        <v>AFRM</v>
      </c>
      <c r="E406" t="s">
        <v>61</v>
      </c>
      <c r="F406">
        <v>74.849999999999994</v>
      </c>
      <c r="G406">
        <v>20</v>
      </c>
      <c r="H406">
        <f>IF(VLOOKUP(B406,Trades!A:M,4,FALSE)="Long",(F406-VLOOKUP(B406,Trades!A:M,6,FALSE))*G406,(VLOOKUP(B406,Trades!A:M,6,FALSE)-F406)*G406)</f>
        <v>4.3999999999999773</v>
      </c>
      <c r="I406">
        <f>H406/VLOOKUP(B406,Trades!A$1:$M$100361,9,FALSE)</f>
        <v>0.52380952380951895</v>
      </c>
    </row>
    <row r="407" spans="1:9" x14ac:dyDescent="0.25">
      <c r="A407">
        <f t="shared" si="39"/>
        <v>406</v>
      </c>
      <c r="B407" s="1" t="s">
        <v>611</v>
      </c>
      <c r="C407" s="1">
        <v>46197</v>
      </c>
      <c r="D407" t="str">
        <f>VLOOKUP(B407,Trades!A$1:M100766,3,FALSE)</f>
        <v>QUBT</v>
      </c>
      <c r="E407" t="s">
        <v>61</v>
      </c>
      <c r="F407">
        <v>10.039999999999999</v>
      </c>
      <c r="G407">
        <v>60</v>
      </c>
      <c r="H407">
        <f>IF(VLOOKUP(B407,Trades!A:M,4,FALSE)="Long",(F407-VLOOKUP(B407,Trades!A:M,6,FALSE))*G407,(VLOOKUP(B407,Trades!A:M,6,FALSE)-F407)*G407)</f>
        <v>-7.8000000000000469</v>
      </c>
      <c r="I407">
        <f>H407/VLOOKUP(B407,Trades!A$1:$M$100361,9,FALSE)</f>
        <v>-1</v>
      </c>
    </row>
    <row r="408" spans="1:9" x14ac:dyDescent="0.25">
      <c r="A408">
        <f t="shared" si="39"/>
        <v>407</v>
      </c>
      <c r="B408" s="1" t="s">
        <v>613</v>
      </c>
      <c r="C408" s="1">
        <v>46197</v>
      </c>
      <c r="D408" t="str">
        <f>VLOOKUP(B408,Trades!A$1:M100767,3,FALSE)</f>
        <v>BUSE</v>
      </c>
      <c r="E408" t="s">
        <v>61</v>
      </c>
      <c r="F408">
        <v>29.13</v>
      </c>
      <c r="G408">
        <v>3</v>
      </c>
      <c r="H408">
        <f>IF(VLOOKUP(B408,Trades!A:M,4,FALSE)="Long",(F408-VLOOKUP(B408,Trades!A:M,6,FALSE))*G408,(VLOOKUP(B408,Trades!A:M,6,FALSE)-F408)*G408)</f>
        <v>4.3799999999999919</v>
      </c>
      <c r="I408">
        <f>H408/VLOOKUP(B408,Trades!A$1:$M$100361,9,FALSE)</f>
        <v>1.4599999999999973</v>
      </c>
    </row>
    <row r="409" spans="1:9" x14ac:dyDescent="0.25">
      <c r="A409">
        <f t="shared" si="39"/>
        <v>408</v>
      </c>
      <c r="B409" s="1" t="s">
        <v>614</v>
      </c>
      <c r="C409" s="1">
        <v>46197</v>
      </c>
      <c r="D409" t="str">
        <f>VLOOKUP(B409,Trades!A$1:M100768,3,FALSE)</f>
        <v>GTLB</v>
      </c>
      <c r="E409" t="s">
        <v>61</v>
      </c>
      <c r="F409">
        <v>27.64</v>
      </c>
      <c r="G409">
        <v>40</v>
      </c>
      <c r="H409">
        <f>IF(VLOOKUP(B409,Trades!A:M,4,FALSE)="Long",(F409-VLOOKUP(B409,Trades!A:M,6,FALSE))*G409,(VLOOKUP(B409,Trades!A:M,6,FALSE)-F409)*G409)</f>
        <v>10</v>
      </c>
      <c r="I409">
        <f>H409/VLOOKUP(B409,Trades!A$1:$M$100361,9,FALSE)</f>
        <v>1.4705882352941029</v>
      </c>
    </row>
    <row r="410" spans="1:9" x14ac:dyDescent="0.25">
      <c r="A410">
        <f t="shared" si="39"/>
        <v>409</v>
      </c>
      <c r="B410" s="1" t="s">
        <v>615</v>
      </c>
      <c r="C410" s="1">
        <v>46197</v>
      </c>
      <c r="D410" t="str">
        <f>VLOOKUP(B410,Trades!A$1:M100769,3,FALSE)</f>
        <v>RCL</v>
      </c>
      <c r="E410" t="s">
        <v>61</v>
      </c>
      <c r="F410">
        <v>327.93</v>
      </c>
      <c r="G410">
        <v>3</v>
      </c>
      <c r="H410">
        <f>IF(VLOOKUP(B410,Trades!A:M,4,FALSE)="Long",(F410-VLOOKUP(B410,Trades!A:M,6,FALSE))*G410,(VLOOKUP(B410,Trades!A:M,6,FALSE)-F410)*G410)</f>
        <v>19.319999999999993</v>
      </c>
      <c r="I410">
        <f>H410/VLOOKUP(B410,Trades!A$1:$M$100361,9,FALSE)</f>
        <v>1.9515151515151441</v>
      </c>
    </row>
    <row r="411" spans="1:9" x14ac:dyDescent="0.25">
      <c r="A411">
        <f t="shared" si="39"/>
        <v>410</v>
      </c>
      <c r="B411" s="1" t="s">
        <v>618</v>
      </c>
      <c r="C411" s="1">
        <v>46197</v>
      </c>
      <c r="D411" t="str">
        <f>VLOOKUP(B411,Trades!A$1:M100770,3,FALSE)</f>
        <v>ACGL</v>
      </c>
      <c r="E411" t="s">
        <v>61</v>
      </c>
      <c r="F411">
        <v>95.19</v>
      </c>
      <c r="G411">
        <v>10</v>
      </c>
      <c r="H411">
        <f>IF(VLOOKUP(B411,Trades!A:M,4,FALSE)="Long",(F411-VLOOKUP(B411,Trades!A:M,6,FALSE))*G411,(VLOOKUP(B411,Trades!A:M,6,FALSE)-F411)*G411)</f>
        <v>7.8000000000000114</v>
      </c>
      <c r="I411">
        <f>H411/VLOOKUP(B411,Trades!A$1:$M$100361,9,FALSE)</f>
        <v>1.3000000000000143</v>
      </c>
    </row>
    <row r="412" spans="1:9" x14ac:dyDescent="0.25">
      <c r="A412">
        <f t="shared" si="39"/>
        <v>411</v>
      </c>
      <c r="B412" s="1" t="s">
        <v>619</v>
      </c>
      <c r="C412" s="1">
        <v>46197</v>
      </c>
      <c r="D412" t="str">
        <f>VLOOKUP(B412,Trades!A$1:M100771,3,FALSE)</f>
        <v>QUBT</v>
      </c>
      <c r="E412" t="s">
        <v>61</v>
      </c>
      <c r="F412">
        <v>10.039999999999999</v>
      </c>
      <c r="G412">
        <v>35</v>
      </c>
      <c r="H412">
        <f>IF(VLOOKUP(B412,Trades!A:M,4,FALSE)="Long",(F412-VLOOKUP(B412,Trades!A:M,6,FALSE))*G412,(VLOOKUP(B412,Trades!A:M,6,FALSE)-F412)*G412)</f>
        <v>4.1999999999999726</v>
      </c>
      <c r="I412">
        <f>H412/VLOOKUP(B412,Trades!A$1:$M$100361,9,FALSE)</f>
        <v>0.92307692307691147</v>
      </c>
    </row>
    <row r="413" spans="1:9" x14ac:dyDescent="0.25">
      <c r="A413">
        <f t="shared" si="39"/>
        <v>412</v>
      </c>
      <c r="B413" s="1" t="s">
        <v>621</v>
      </c>
      <c r="C413" s="1">
        <v>46197</v>
      </c>
      <c r="D413" t="str">
        <f>VLOOKUP(B413,Trades!A$1:M100772,3,FALSE)</f>
        <v>UBER</v>
      </c>
      <c r="E413" t="s">
        <v>61</v>
      </c>
      <c r="F413">
        <v>74.02</v>
      </c>
      <c r="G413">
        <v>12</v>
      </c>
      <c r="H413">
        <f>IF(VLOOKUP(B413,Trades!A:M,4,FALSE)="Long",(F413-VLOOKUP(B413,Trades!A:M,6,FALSE))*G413,(VLOOKUP(B413,Trades!A:M,6,FALSE)-F413)*G413)</f>
        <v>3.5999999999999659</v>
      </c>
      <c r="I413">
        <f>H413/VLOOKUP(B413,Trades!A$1:$M$100361,9,FALSE)</f>
        <v>0.59999999999999432</v>
      </c>
    </row>
    <row r="414" spans="1:9" x14ac:dyDescent="0.25">
      <c r="A414">
        <f t="shared" si="39"/>
        <v>413</v>
      </c>
      <c r="B414" s="1" t="s">
        <v>622</v>
      </c>
      <c r="C414" s="1">
        <v>46197</v>
      </c>
      <c r="D414" t="str">
        <f>VLOOKUP(B414,Trades!A$1:M100773,3,FALSE)</f>
        <v>ABNB</v>
      </c>
      <c r="E414" t="s">
        <v>61</v>
      </c>
      <c r="F414">
        <v>145.07</v>
      </c>
      <c r="G414">
        <v>5</v>
      </c>
      <c r="H414">
        <f>IF(VLOOKUP(B414,Trades!A:M,4,FALSE)="Long",(F414-VLOOKUP(B414,Trades!A:M,6,FALSE))*G414,(VLOOKUP(B414,Trades!A:M,6,FALSE)-F414)*G414)</f>
        <v>-2.6000000000000512</v>
      </c>
      <c r="I414">
        <f>H414/VLOOKUP(B414,Trades!A$1:$M$100361,9,FALSE)</f>
        <v>-0.65000000000000357</v>
      </c>
    </row>
    <row r="415" spans="1:9" x14ac:dyDescent="0.25">
      <c r="A415">
        <f t="shared" si="39"/>
        <v>414</v>
      </c>
      <c r="B415" s="1" t="s">
        <v>623</v>
      </c>
      <c r="C415" s="1">
        <v>46197</v>
      </c>
      <c r="D415" t="str">
        <f>VLOOKUP(B415,Trades!A$1:M100774,3,FALSE)</f>
        <v>MRK</v>
      </c>
      <c r="E415" t="s">
        <v>61</v>
      </c>
      <c r="F415">
        <v>121.33</v>
      </c>
      <c r="G415">
        <v>5</v>
      </c>
      <c r="H415">
        <f>IF(VLOOKUP(B415,Trades!A:M,4,FALSE)="Long",(F415-VLOOKUP(B415,Trades!A:M,6,FALSE))*G415,(VLOOKUP(B415,Trades!A:M,6,FALSE)-F415)*G415)</f>
        <v>2.2500000000000142</v>
      </c>
      <c r="I415">
        <f>H415/VLOOKUP(B415,Trades!A$1:$M$100361,9,FALSE)</f>
        <v>0.90000000000000568</v>
      </c>
    </row>
    <row r="416" spans="1:9" x14ac:dyDescent="0.25">
      <c r="A416">
        <f t="shared" ref="A416:A424" si="40">ROW()-1</f>
        <v>415</v>
      </c>
      <c r="B416" s="1" t="s">
        <v>624</v>
      </c>
      <c r="C416" s="1">
        <v>46198</v>
      </c>
      <c r="D416" t="str">
        <f>VLOOKUP(B416,Trades!A$1:M100775,3,FALSE)</f>
        <v>AFRM</v>
      </c>
      <c r="E416" t="s">
        <v>61</v>
      </c>
      <c r="F416">
        <v>77.209999999999994</v>
      </c>
      <c r="G416">
        <v>10</v>
      </c>
      <c r="H416">
        <f>IF(VLOOKUP(B416,Trades!A:M,4,FALSE)="Long",(F416-VLOOKUP(B416,Trades!A:M,6,FALSE))*G416,(VLOOKUP(B416,Trades!A:M,6,FALSE)-F416)*G416)</f>
        <v>-9.6000000000000796</v>
      </c>
      <c r="I416">
        <f>H416/VLOOKUP(B416,Trades!A$1:$M$100361,9,FALSE)</f>
        <v>-1.3150684931506886</v>
      </c>
    </row>
    <row r="417" spans="1:9" x14ac:dyDescent="0.25">
      <c r="A417">
        <f t="shared" si="40"/>
        <v>416</v>
      </c>
      <c r="B417" s="1" t="s">
        <v>625</v>
      </c>
      <c r="C417" s="1">
        <v>46198</v>
      </c>
      <c r="D417" t="str">
        <f>VLOOKUP(B417,Trades!A$1:M100776,3,FALSE)</f>
        <v>ON</v>
      </c>
      <c r="E417" t="s">
        <v>61</v>
      </c>
      <c r="F417">
        <v>115.88</v>
      </c>
      <c r="G417">
        <v>10</v>
      </c>
      <c r="H417">
        <f>IF(VLOOKUP(B417,Trades!A:M,4,FALSE)="Long",(F417-VLOOKUP(B417,Trades!A:M,6,FALSE))*G417,(VLOOKUP(B417,Trades!A:M,6,FALSE)-F417)*G417)</f>
        <v>19.799999999999898</v>
      </c>
      <c r="I417">
        <f>H417/VLOOKUP(B417,Trades!A$1:$M$100361,9,FALSE)</f>
        <v>1.9799999999999898</v>
      </c>
    </row>
    <row r="418" spans="1:9" x14ac:dyDescent="0.25">
      <c r="A418">
        <f t="shared" si="40"/>
        <v>417</v>
      </c>
      <c r="B418" s="1" t="s">
        <v>626</v>
      </c>
      <c r="C418" s="1">
        <v>46198</v>
      </c>
      <c r="D418" t="str">
        <f>VLOOKUP(B418,Trades!A$1:M100777,3,FALSE)</f>
        <v>APPS</v>
      </c>
      <c r="E418" t="s">
        <v>61</v>
      </c>
      <c r="F418">
        <v>9.98</v>
      </c>
      <c r="G418">
        <v>50</v>
      </c>
      <c r="H418">
        <f>IF(VLOOKUP(B418,Trades!A:M,4,FALSE)="Long",(F418-VLOOKUP(B418,Trades!A:M,6,FALSE))*G418,(VLOOKUP(B418,Trades!A:M,6,FALSE)-F418)*G418)</f>
        <v>-9.4999999999999751</v>
      </c>
      <c r="I418">
        <f>H418/VLOOKUP(B418,Trades!A$1:$M$100361,9,FALSE)</f>
        <v>-0.95000000000000084</v>
      </c>
    </row>
    <row r="419" spans="1:9" x14ac:dyDescent="0.25">
      <c r="A419">
        <f t="shared" si="40"/>
        <v>418</v>
      </c>
      <c r="B419" s="1" t="s">
        <v>627</v>
      </c>
      <c r="C419" s="1">
        <v>46198</v>
      </c>
      <c r="D419" t="str">
        <f>VLOOKUP(B419,Trades!A$1:M100778,3,FALSE)</f>
        <v>AFRM</v>
      </c>
      <c r="E419" t="s">
        <v>61</v>
      </c>
      <c r="F419">
        <v>78.13</v>
      </c>
      <c r="G419">
        <v>10</v>
      </c>
      <c r="H419">
        <f>IF(VLOOKUP(B419,Trades!A:M,4,FALSE)="Long",(F419-VLOOKUP(B419,Trades!A:M,6,FALSE))*G419,(VLOOKUP(B419,Trades!A:M,6,FALSE)-F419)*G419)</f>
        <v>7.3999999999999488</v>
      </c>
      <c r="I419">
        <f>H419/VLOOKUP(B419,Trades!A$1:$M$100361,9,FALSE)</f>
        <v>1.849999999999961</v>
      </c>
    </row>
    <row r="420" spans="1:9" x14ac:dyDescent="0.25">
      <c r="A420">
        <f t="shared" si="40"/>
        <v>419</v>
      </c>
      <c r="B420" s="1" t="s">
        <v>629</v>
      </c>
      <c r="C420" s="1">
        <v>46198</v>
      </c>
      <c r="D420" t="str">
        <f>VLOOKUP(B420,Trades!A$1:M100779,3,FALSE)</f>
        <v>AAPL</v>
      </c>
      <c r="E420" t="s">
        <v>61</v>
      </c>
      <c r="F420">
        <v>276.27</v>
      </c>
      <c r="G420">
        <v>5</v>
      </c>
      <c r="H420">
        <f>IF(VLOOKUP(B420,Trades!A:M,4,FALSE)="Long",(F420-VLOOKUP(B420,Trades!A:M,6,FALSE))*G420,(VLOOKUP(B420,Trades!A:M,6,FALSE)-F420)*G420)</f>
        <v>-8.4000000000000341</v>
      </c>
      <c r="I420">
        <f>H420/VLOOKUP(B420,Trades!A$1:$M$100361,9,FALSE)</f>
        <v>-1.0120481927711078</v>
      </c>
    </row>
    <row r="421" spans="1:9" x14ac:dyDescent="0.25">
      <c r="A421">
        <f t="shared" si="40"/>
        <v>420</v>
      </c>
      <c r="B421" s="1" t="s">
        <v>630</v>
      </c>
      <c r="C421" s="1">
        <v>46198</v>
      </c>
      <c r="D421" t="str">
        <f>VLOOKUP(B421,Trades!A$1:M100780,3,FALSE)</f>
        <v>NVDA</v>
      </c>
      <c r="E421" t="s">
        <v>61</v>
      </c>
      <c r="F421">
        <v>194.53</v>
      </c>
      <c r="G421">
        <v>5</v>
      </c>
      <c r="H421">
        <f>IF(VLOOKUP(B421,Trades!A:M,4,FALSE)="Long",(F421-VLOOKUP(B421,Trades!A:M,6,FALSE))*G421,(VLOOKUP(B421,Trades!A:M,6,FALSE)-F421)*G421)</f>
        <v>-5.3000000000000114</v>
      </c>
      <c r="I421">
        <f>H421/VLOOKUP(B421,Trades!A$1:$M$100361,9,FALSE)</f>
        <v>-1.0095238095238008</v>
      </c>
    </row>
    <row r="422" spans="1:9" x14ac:dyDescent="0.25">
      <c r="A422">
        <f t="shared" si="40"/>
        <v>421</v>
      </c>
      <c r="B422" s="1" t="s">
        <v>633</v>
      </c>
      <c r="C422" s="1">
        <v>46198</v>
      </c>
      <c r="D422" t="str">
        <f>VLOOKUP(B422,Trades!A$1:M100781,3,FALSE)</f>
        <v>WEN</v>
      </c>
      <c r="E422" t="s">
        <v>61</v>
      </c>
      <c r="F422">
        <v>7.42</v>
      </c>
      <c r="G422">
        <v>20</v>
      </c>
      <c r="H422">
        <f>IF(VLOOKUP(B422,Trades!A:M,4,FALSE)="Long",(F422-VLOOKUP(B422,Trades!A:M,6,FALSE))*G422,(VLOOKUP(B422,Trades!A:M,6,FALSE)-F422)*G422)</f>
        <v>-4.1999999999999993</v>
      </c>
      <c r="I422">
        <f>H422/VLOOKUP(B422,Trades!A$1:$M$100361,9,FALSE)</f>
        <v>-1</v>
      </c>
    </row>
    <row r="423" spans="1:9" x14ac:dyDescent="0.25">
      <c r="A423">
        <f t="shared" si="40"/>
        <v>422</v>
      </c>
      <c r="B423" s="1" t="s">
        <v>634</v>
      </c>
      <c r="C423" s="1">
        <v>46198</v>
      </c>
      <c r="D423" t="str">
        <f>VLOOKUP(B423,Trades!A$1:M100782,3,FALSE)</f>
        <v>KHC</v>
      </c>
      <c r="E423" t="s">
        <v>61</v>
      </c>
      <c r="F423">
        <v>23.54</v>
      </c>
      <c r="G423">
        <v>30</v>
      </c>
      <c r="H423">
        <f>IF(VLOOKUP(B423,Trades!A:M,4,FALSE)="Long",(F423-VLOOKUP(B423,Trades!A:M,6,FALSE))*G423,(VLOOKUP(B423,Trades!A:M,6,FALSE)-F423)*G423)</f>
        <v>-1.8000000000000682</v>
      </c>
      <c r="I423">
        <f>H423/VLOOKUP(B423,Trades!A$1:$M$100361,9,FALSE)</f>
        <v>-0.28571428571429536</v>
      </c>
    </row>
    <row r="424" spans="1:9" x14ac:dyDescent="0.25">
      <c r="A424">
        <f t="shared" si="40"/>
        <v>423</v>
      </c>
      <c r="B424" s="1" t="s">
        <v>635</v>
      </c>
      <c r="C424" s="1">
        <v>46198</v>
      </c>
      <c r="D424" t="str">
        <f>VLOOKUP(B424,Trades!A$1:M100783,3,FALSE)</f>
        <v>NEE</v>
      </c>
      <c r="E424" t="s">
        <v>61</v>
      </c>
      <c r="F424">
        <v>87.83</v>
      </c>
      <c r="G424">
        <v>15</v>
      </c>
      <c r="H424">
        <f>IF(VLOOKUP(B424,Trades!A:M,4,FALSE)="Long",(F424-VLOOKUP(B424,Trades!A:M,6,FALSE))*G424,(VLOOKUP(B424,Trades!A:M,6,FALSE)-F424)*G424)</f>
        <v>2.2499999999998721</v>
      </c>
      <c r="I424">
        <f>H424/VLOOKUP(B424,Trades!A$1:$M$100361,9,FALSE)</f>
        <v>0.30612244897956875</v>
      </c>
    </row>
    <row r="425" spans="1:9" x14ac:dyDescent="0.25">
      <c r="A425">
        <f t="shared" ref="A425:A430" si="41">ROW()-1</f>
        <v>424</v>
      </c>
      <c r="B425" s="1" t="s">
        <v>637</v>
      </c>
      <c r="C425" s="1">
        <v>46199</v>
      </c>
      <c r="D425" t="str">
        <f>VLOOKUP(B425,Trades!A$1:M100784,3,FALSE)</f>
        <v>APPS</v>
      </c>
      <c r="E425" t="s">
        <v>61</v>
      </c>
      <c r="F425">
        <v>10.23</v>
      </c>
      <c r="G425">
        <v>60</v>
      </c>
      <c r="H425">
        <f>IF(VLOOKUP(B425,Trades!A:M,4,FALSE)="Long",(F425-VLOOKUP(B425,Trades!A:M,6,FALSE))*G425,(VLOOKUP(B425,Trades!A:M,6,FALSE)-F425)*G425)</f>
        <v>-9.6000000000000085</v>
      </c>
      <c r="I425">
        <f>H425/VLOOKUP(B425,Trades!A$1:$M$100361,9,FALSE)</f>
        <v>-1.7777777777777821</v>
      </c>
    </row>
    <row r="426" spans="1:9" x14ac:dyDescent="0.25">
      <c r="A426">
        <f t="shared" si="41"/>
        <v>425</v>
      </c>
      <c r="B426" s="1" t="s">
        <v>639</v>
      </c>
      <c r="C426" s="1">
        <v>46199</v>
      </c>
      <c r="D426" t="str">
        <f>VLOOKUP(B426,Trades!A$1:M100785,3,FALSE)</f>
        <v>MNST</v>
      </c>
      <c r="E426" t="s">
        <v>61</v>
      </c>
      <c r="F426">
        <v>97.44</v>
      </c>
      <c r="G426">
        <v>10</v>
      </c>
      <c r="H426">
        <f>IF(VLOOKUP(B426,Trades!A:M,4,FALSE)="Long",(F426-VLOOKUP(B426,Trades!A:M,6,FALSE))*G426,(VLOOKUP(B426,Trades!A:M,6,FALSE)-F426)*G426)</f>
        <v>5.6999999999999318</v>
      </c>
      <c r="I426">
        <f>H426/VLOOKUP(B426,Trades!A$1:$M$100361,9,FALSE)</f>
        <v>1.2127659574467968</v>
      </c>
    </row>
    <row r="427" spans="1:9" x14ac:dyDescent="0.25">
      <c r="A427">
        <f t="shared" si="41"/>
        <v>426</v>
      </c>
      <c r="B427" s="1" t="s">
        <v>640</v>
      </c>
      <c r="C427" s="1">
        <v>46199</v>
      </c>
      <c r="D427" t="str">
        <f>VLOOKUP(B427,Trades!A$1:M100786,3,FALSE)</f>
        <v>AFRM</v>
      </c>
      <c r="E427" t="s">
        <v>61</v>
      </c>
      <c r="F427">
        <v>79.73</v>
      </c>
      <c r="G427">
        <v>10</v>
      </c>
      <c r="H427">
        <f>IF(VLOOKUP(B427,Trades!A:M,4,FALSE)="Long",(F427-VLOOKUP(B427,Trades!A:M,6,FALSE))*G427,(VLOOKUP(B427,Trades!A:M,6,FALSE)-F427)*G427)</f>
        <v>28.400000000000034</v>
      </c>
      <c r="I427">
        <f>H427/VLOOKUP(B427,Trades!A$1:$M$100361,9,FALSE)</f>
        <v>3.5500000000000167</v>
      </c>
    </row>
    <row r="428" spans="1:9" x14ac:dyDescent="0.25">
      <c r="A428">
        <f t="shared" si="41"/>
        <v>427</v>
      </c>
      <c r="B428" s="1" t="s">
        <v>641</v>
      </c>
      <c r="C428" s="1">
        <v>46199</v>
      </c>
      <c r="D428" t="str">
        <f>VLOOKUP(B428,Trades!A$1:M100787,3,FALSE)</f>
        <v>AMAT</v>
      </c>
      <c r="E428" t="s">
        <v>61</v>
      </c>
      <c r="F428">
        <v>646.82000000000005</v>
      </c>
      <c r="G428">
        <v>5</v>
      </c>
      <c r="H428">
        <f>IF(VLOOKUP(B428,Trades!A:M,4,FALSE)="Long",(F428-VLOOKUP(B428,Trades!A:M,6,FALSE))*G428,(VLOOKUP(B428,Trades!A:M,6,FALSE)-F428)*G428)</f>
        <v>18.450000000000273</v>
      </c>
      <c r="I428">
        <f>H428/VLOOKUP(B428,Trades!A$1:$M$100361,9,FALSE)</f>
        <v>1.8450000000000273</v>
      </c>
    </row>
    <row r="429" spans="1:9" x14ac:dyDescent="0.25">
      <c r="A429">
        <f t="shared" si="41"/>
        <v>428</v>
      </c>
      <c r="B429" s="1" t="s">
        <v>642</v>
      </c>
      <c r="C429" s="1">
        <v>46199</v>
      </c>
      <c r="D429" t="str">
        <f>VLOOKUP(B429,Trades!A$1:M100788,3,FALSE)</f>
        <v>INTC</v>
      </c>
      <c r="E429" t="s">
        <v>61</v>
      </c>
      <c r="F429">
        <v>127.87</v>
      </c>
      <c r="G429">
        <v>4</v>
      </c>
      <c r="H429">
        <f>IF(VLOOKUP(B429,Trades!A:M,4,FALSE)="Long",(F429-VLOOKUP(B429,Trades!A:M,6,FALSE))*G429,(VLOOKUP(B429,Trades!A:M,6,FALSE)-F429)*G429)</f>
        <v>-3.9600000000000364</v>
      </c>
      <c r="I429">
        <f>H429/VLOOKUP(B429,Trades!A$1:$M$100361,9,FALSE)</f>
        <v>-1.0102040816326436</v>
      </c>
    </row>
    <row r="430" spans="1:9" x14ac:dyDescent="0.25">
      <c r="A430">
        <f t="shared" si="41"/>
        <v>429</v>
      </c>
      <c r="B430" s="1" t="s">
        <v>643</v>
      </c>
      <c r="C430" s="1">
        <v>46199</v>
      </c>
      <c r="D430" t="str">
        <f>VLOOKUP(B430,Trades!A$1:M100789,3,FALSE)</f>
        <v>CNC</v>
      </c>
      <c r="E430" t="s">
        <v>61</v>
      </c>
      <c r="F430">
        <v>64.98</v>
      </c>
      <c r="G430">
        <v>30</v>
      </c>
      <c r="H430">
        <f>IF(VLOOKUP(B430,Trades!A:M,4,FALSE)="Long",(F430-VLOOKUP(B430,Trades!A:M,6,FALSE))*G430,(VLOOKUP(B430,Trades!A:M,6,FALSE)-F430)*G430)</f>
        <v>-8.4000000000000341</v>
      </c>
      <c r="I430">
        <f>H430/VLOOKUP(B430,Trades!A$1:$M$100361,9,FALSE)</f>
        <v>-1.1200000000000045</v>
      </c>
    </row>
    <row r="431" spans="1:9" x14ac:dyDescent="0.25">
      <c r="A431">
        <f t="shared" ref="A431:A438" si="42">ROW()-1</f>
        <v>430</v>
      </c>
      <c r="B431" s="1" t="s">
        <v>644</v>
      </c>
      <c r="C431" s="1">
        <v>46202</v>
      </c>
      <c r="D431" t="str">
        <f>VLOOKUP(B431,Trades!A$1:M100790,3,FALSE)</f>
        <v>AMAT</v>
      </c>
      <c r="E431" t="s">
        <v>61</v>
      </c>
      <c r="F431">
        <v>664.91</v>
      </c>
      <c r="G431">
        <v>2</v>
      </c>
      <c r="H431">
        <f>IF(VLOOKUP(B431,Trades!A:M,4,FALSE)="Long",(F431-VLOOKUP(B431,Trades!A:M,6,FALSE))*G431,(VLOOKUP(B431,Trades!A:M,6,FALSE)-F431)*G431)</f>
        <v>33.079999999999927</v>
      </c>
      <c r="I431">
        <f>H431/VLOOKUP(B431,Trades!A$1:$M$100361,9,FALSE)</f>
        <v>2.9694793536803976</v>
      </c>
    </row>
    <row r="432" spans="1:9" x14ac:dyDescent="0.25">
      <c r="A432">
        <f t="shared" si="42"/>
        <v>431</v>
      </c>
      <c r="B432" s="1" t="s">
        <v>645</v>
      </c>
      <c r="C432" s="1">
        <v>46202</v>
      </c>
      <c r="D432" t="str">
        <f>VLOOKUP(B432,Trades!A$1:M100791,3,FALSE)</f>
        <v>AFRM</v>
      </c>
      <c r="E432" t="s">
        <v>61</v>
      </c>
      <c r="F432">
        <v>79.59</v>
      </c>
      <c r="G432">
        <v>15</v>
      </c>
      <c r="H432">
        <f>IF(VLOOKUP(B432,Trades!A:M,4,FALSE)="Long",(F432-VLOOKUP(B432,Trades!A:M,6,FALSE))*G432,(VLOOKUP(B432,Trades!A:M,6,FALSE)-F432)*G432)</f>
        <v>-13.949999999999889</v>
      </c>
      <c r="I432">
        <f>H432/VLOOKUP(B432,Trades!A$1:$M$100361,9,FALSE)</f>
        <v>-1.0689655172413828</v>
      </c>
    </row>
    <row r="433" spans="1:9" x14ac:dyDescent="0.25">
      <c r="A433">
        <f t="shared" si="42"/>
        <v>432</v>
      </c>
      <c r="B433" s="1" t="s">
        <v>646</v>
      </c>
      <c r="C433" s="1">
        <v>46202</v>
      </c>
      <c r="D433" t="str">
        <f>VLOOKUP(B433,Trades!A$1:M100792,3,FALSE)</f>
        <v>AMAT</v>
      </c>
      <c r="E433" t="s">
        <v>61</v>
      </c>
      <c r="F433">
        <v>650.91999999999996</v>
      </c>
      <c r="G433">
        <v>2</v>
      </c>
      <c r="H433">
        <f>IF(VLOOKUP(B433,Trades!A:M,4,FALSE)="Long",(F433-VLOOKUP(B433,Trades!A:M,6,FALSE))*G433,(VLOOKUP(B433,Trades!A:M,6,FALSE)-F433)*G433)</f>
        <v>-8.1600000000000819</v>
      </c>
      <c r="I433">
        <f>H433/VLOOKUP(B433,Trades!A$1:$M$100361,9,FALSE)</f>
        <v>-1.0200000000000102</v>
      </c>
    </row>
    <row r="434" spans="1:9" x14ac:dyDescent="0.25">
      <c r="A434">
        <f t="shared" si="42"/>
        <v>433</v>
      </c>
      <c r="B434" s="1" t="s">
        <v>647</v>
      </c>
      <c r="C434" s="1">
        <v>46202</v>
      </c>
      <c r="D434" t="str">
        <f>VLOOKUP(B434,Trades!A$1:M100793,3,FALSE)</f>
        <v>ABBV</v>
      </c>
      <c r="E434" t="s">
        <v>61</v>
      </c>
      <c r="F434">
        <v>250.85</v>
      </c>
      <c r="G434">
        <v>4</v>
      </c>
      <c r="H434">
        <f>IF(VLOOKUP(B434,Trades!A:M,4,FALSE)="Long",(F434-VLOOKUP(B434,Trades!A:M,6,FALSE))*G434,(VLOOKUP(B434,Trades!A:M,6,FALSE)-F434)*G434)</f>
        <v>-3.8400000000000318</v>
      </c>
      <c r="I434">
        <f>H434/VLOOKUP(B434,Trades!A$1:$M$100361,9,FALSE)</f>
        <v>-0.96000000000000796</v>
      </c>
    </row>
    <row r="435" spans="1:9" x14ac:dyDescent="0.25">
      <c r="A435">
        <f t="shared" si="42"/>
        <v>434</v>
      </c>
      <c r="B435" s="1" t="s">
        <v>648</v>
      </c>
      <c r="C435" s="1">
        <v>46202</v>
      </c>
      <c r="D435" t="str">
        <f>VLOOKUP(B435,Trades!A$1:M100794,3,FALSE)</f>
        <v>APPS</v>
      </c>
      <c r="E435" t="s">
        <v>61</v>
      </c>
      <c r="F435">
        <v>12.16</v>
      </c>
      <c r="G435">
        <v>50</v>
      </c>
      <c r="H435">
        <f>IF(VLOOKUP(B435,Trades!A:M,4,FALSE)="Long",(F435-VLOOKUP(B435,Trades!A:M,6,FALSE))*G435,(VLOOKUP(B435,Trades!A:M,6,FALSE)-F435)*G435)</f>
        <v>8.9999999999999858</v>
      </c>
      <c r="I435">
        <f>H435/VLOOKUP(B435,Trades!A$1:$M$100361,9,FALSE)</f>
        <v>0.8999999999999938</v>
      </c>
    </row>
    <row r="436" spans="1:9" x14ac:dyDescent="0.25">
      <c r="A436">
        <f t="shared" si="42"/>
        <v>435</v>
      </c>
      <c r="B436" s="1" t="s">
        <v>649</v>
      </c>
      <c r="C436" s="1">
        <v>46202</v>
      </c>
      <c r="D436" t="str">
        <f>VLOOKUP(B436,Trades!A$1:M100795,3,FALSE)</f>
        <v>AFRM</v>
      </c>
      <c r="E436" t="s">
        <v>61</v>
      </c>
      <c r="F436">
        <v>80.2</v>
      </c>
      <c r="G436">
        <v>10</v>
      </c>
      <c r="H436">
        <f>IF(VLOOKUP(B436,Trades!A:M,4,FALSE)="Long",(F436-VLOOKUP(B436,Trades!A:M,6,FALSE))*G436,(VLOOKUP(B436,Trades!A:M,6,FALSE)-F436)*G436)</f>
        <v>3.5000000000000853</v>
      </c>
      <c r="I436">
        <f>H436/VLOOKUP(B436,Trades!A$1:$M$100361,9,FALSE)</f>
        <v>0.38888888888890205</v>
      </c>
    </row>
    <row r="437" spans="1:9" x14ac:dyDescent="0.25">
      <c r="A437">
        <f t="shared" si="42"/>
        <v>436</v>
      </c>
      <c r="B437" s="1" t="s">
        <v>650</v>
      </c>
      <c r="C437" s="1">
        <v>46202</v>
      </c>
      <c r="D437" t="str">
        <f>VLOOKUP(B437,Trades!A$1:M100796,3,FALSE)</f>
        <v>APPS</v>
      </c>
      <c r="E437" t="s">
        <v>61</v>
      </c>
      <c r="F437">
        <v>12.72</v>
      </c>
      <c r="G437">
        <v>40</v>
      </c>
      <c r="H437">
        <f>IF(VLOOKUP(B437,Trades!A:M,4,FALSE)="Long",(F437-VLOOKUP(B437,Trades!A:M,6,FALSE))*G437,(VLOOKUP(B437,Trades!A:M,6,FALSE)-F437)*G437)</f>
        <v>10.800000000000054</v>
      </c>
      <c r="I437">
        <f>H437/VLOOKUP(B437,Trades!A$1:$M$100361,9,FALSE)</f>
        <v>1.1250000000000129</v>
      </c>
    </row>
    <row r="438" spans="1:9" x14ac:dyDescent="0.25">
      <c r="A438">
        <f t="shared" si="42"/>
        <v>437</v>
      </c>
      <c r="B438" s="1" t="s">
        <v>651</v>
      </c>
      <c r="C438" s="1">
        <v>46202</v>
      </c>
      <c r="D438" t="str">
        <f>VLOOKUP(B438,Trades!A$1:M100797,3,FALSE)</f>
        <v>APP</v>
      </c>
      <c r="E438" t="s">
        <v>61</v>
      </c>
      <c r="F438">
        <v>492.63</v>
      </c>
      <c r="G438">
        <v>2</v>
      </c>
      <c r="H438">
        <f>IF(VLOOKUP(B438,Trades!A:M,4,FALSE)="Long",(F438-VLOOKUP(B438,Trades!A:M,6,FALSE))*G438,(VLOOKUP(B438,Trades!A:M,6,FALSE)-F438)*G438)</f>
        <v>-8.1599999999999682</v>
      </c>
      <c r="I438">
        <f>H438/VLOOKUP(B438,Trades!A$1:$M$100361,9,FALSE)</f>
        <v>-1.019999999999996</v>
      </c>
    </row>
    <row r="439" spans="1:9" x14ac:dyDescent="0.25">
      <c r="A439">
        <f t="shared" ref="A439:A447" si="43">ROW()-1</f>
        <v>438</v>
      </c>
      <c r="B439" s="1" t="s">
        <v>653</v>
      </c>
      <c r="C439" s="1">
        <v>46203</v>
      </c>
      <c r="D439" t="str">
        <f>VLOOKUP(B439,Trades!A$1:M100798,3,FALSE)</f>
        <v>APPS</v>
      </c>
      <c r="E439" t="s">
        <v>61</v>
      </c>
      <c r="F439">
        <v>13.07</v>
      </c>
      <c r="G439">
        <v>50</v>
      </c>
      <c r="H439">
        <f>IF(VLOOKUP(B439,Trades!A:M,4,FALSE)="Long",(F439-VLOOKUP(B439,Trades!A:M,6,FALSE))*G439,(VLOOKUP(B439,Trades!A:M,6,FALSE)-F439)*G439)</f>
        <v>-7.5000000000000178</v>
      </c>
      <c r="I439">
        <f>H439/VLOOKUP(B439,Trades!A$1:$M$100361,9,FALSE)</f>
        <v>-1.0714285714285696</v>
      </c>
    </row>
    <row r="440" spans="1:9" x14ac:dyDescent="0.25">
      <c r="A440">
        <f t="shared" si="43"/>
        <v>439</v>
      </c>
      <c r="B440" s="1" t="s">
        <v>654</v>
      </c>
      <c r="C440" s="1">
        <v>46203</v>
      </c>
      <c r="D440" t="str">
        <f>VLOOKUP(B440,Trades!A$1:M100799,3,FALSE)</f>
        <v>AMAT</v>
      </c>
      <c r="E440" t="s">
        <v>61</v>
      </c>
      <c r="F440">
        <v>726.44</v>
      </c>
      <c r="G440">
        <v>1</v>
      </c>
      <c r="H440">
        <f>IF(VLOOKUP(B440,Trades!A:M,4,FALSE)="Long",(F440-VLOOKUP(B440,Trades!A:M,6,FALSE))*G440,(VLOOKUP(B440,Trades!A:M,6,FALSE)-F440)*G440)</f>
        <v>20.030000000000086</v>
      </c>
      <c r="I440">
        <f>H440/VLOOKUP(B440,Trades!A$1:$M$100361,9,FALSE)</f>
        <v>2.5037500000000108</v>
      </c>
    </row>
    <row r="441" spans="1:9" x14ac:dyDescent="0.25">
      <c r="A441">
        <f t="shared" si="43"/>
        <v>440</v>
      </c>
      <c r="B441" s="1" t="s">
        <v>655</v>
      </c>
      <c r="C441" s="1">
        <v>46203</v>
      </c>
      <c r="D441" t="str">
        <f>VLOOKUP(B441,Trades!A$1:M100800,3,FALSE)</f>
        <v>CNP</v>
      </c>
      <c r="E441" t="s">
        <v>61</v>
      </c>
      <c r="F441">
        <v>44.13</v>
      </c>
      <c r="G441">
        <v>50</v>
      </c>
      <c r="H441">
        <f>IF(VLOOKUP(B441,Trades!A:M,4,FALSE)="Long",(F441-VLOOKUP(B441,Trades!A:M,6,FALSE))*G441,(VLOOKUP(B441,Trades!A:M,6,FALSE)-F441)*G441)</f>
        <v>-5.9999999999998721</v>
      </c>
      <c r="I441">
        <f>H441/VLOOKUP(B441,Trades!A$1:$M$100361,9,FALSE)</f>
        <v>-1</v>
      </c>
    </row>
    <row r="442" spans="1:9" x14ac:dyDescent="0.25">
      <c r="A442">
        <f t="shared" si="43"/>
        <v>441</v>
      </c>
      <c r="B442" s="1" t="s">
        <v>656</v>
      </c>
      <c r="C442" s="1">
        <v>46203</v>
      </c>
      <c r="D442" t="str">
        <f>VLOOKUP(B442,Trades!A$1:M100801,3,FALSE)</f>
        <v>APPS</v>
      </c>
      <c r="E442" t="s">
        <v>61</v>
      </c>
      <c r="F442">
        <v>13.13</v>
      </c>
      <c r="G442">
        <v>50</v>
      </c>
      <c r="H442">
        <f>IF(VLOOKUP(B442,Trades!A:M,4,FALSE)="Long",(F442-VLOOKUP(B442,Trades!A:M,6,FALSE))*G442,(VLOOKUP(B442,Trades!A:M,6,FALSE)-F442)*G442)</f>
        <v>-6.9999999999999396</v>
      </c>
      <c r="I442">
        <f>H442/VLOOKUP(B442,Trades!A$1:$M$100361,9,FALSE)</f>
        <v>-1.0769230769230758</v>
      </c>
    </row>
    <row r="443" spans="1:9" x14ac:dyDescent="0.25">
      <c r="A443">
        <f t="shared" si="43"/>
        <v>442</v>
      </c>
      <c r="B443" s="1" t="s">
        <v>657</v>
      </c>
      <c r="C443" s="1">
        <v>46203</v>
      </c>
      <c r="D443" t="str">
        <f>VLOOKUP(B443,Trades!A$1:M100802,3,FALSE)</f>
        <v>APP</v>
      </c>
      <c r="E443" t="s">
        <v>61</v>
      </c>
      <c r="F443">
        <v>501.59</v>
      </c>
      <c r="G443">
        <v>2</v>
      </c>
      <c r="H443">
        <f>IF(VLOOKUP(B443,Trades!A:M,4,FALSE)="Long",(F443-VLOOKUP(B443,Trades!A:M,6,FALSE))*G443,(VLOOKUP(B443,Trades!A:M,6,FALSE)-F443)*G443)</f>
        <v>-5.7000000000000455</v>
      </c>
      <c r="I443">
        <f>H443/VLOOKUP(B443,Trades!A$1:$M$100361,9,FALSE)</f>
        <v>-0.95000000000000762</v>
      </c>
    </row>
    <row r="444" spans="1:9" x14ac:dyDescent="0.25">
      <c r="A444">
        <f t="shared" si="43"/>
        <v>443</v>
      </c>
      <c r="B444" s="1" t="s">
        <v>654</v>
      </c>
      <c r="C444" s="1">
        <v>46203</v>
      </c>
      <c r="D444" t="str">
        <f>VLOOKUP(B444,Trades!A$1:M100803,3,FALSE)</f>
        <v>AMAT</v>
      </c>
      <c r="E444" t="s">
        <v>61</v>
      </c>
      <c r="F444">
        <v>731.67</v>
      </c>
      <c r="G444">
        <v>1</v>
      </c>
      <c r="H444">
        <f>IF(VLOOKUP(B444,Trades!A:M,4,FALSE)="Long",(F444-VLOOKUP(B444,Trades!A:M,6,FALSE))*G444,(VLOOKUP(B444,Trades!A:M,6,FALSE)-F444)*G444)</f>
        <v>25.259999999999991</v>
      </c>
      <c r="I444">
        <f>H444/VLOOKUP(B444,Trades!A$1:$M$100361,9,FALSE)</f>
        <v>3.1574999999999989</v>
      </c>
    </row>
    <row r="445" spans="1:9" x14ac:dyDescent="0.25">
      <c r="A445">
        <f t="shared" si="43"/>
        <v>444</v>
      </c>
      <c r="B445" s="1" t="s">
        <v>658</v>
      </c>
      <c r="C445" s="1">
        <v>46203</v>
      </c>
      <c r="D445" t="str">
        <f>VLOOKUP(B445,Trades!A$1:M100804,3,FALSE)</f>
        <v>FROG</v>
      </c>
      <c r="E445" t="s">
        <v>61</v>
      </c>
      <c r="F445">
        <v>91.79</v>
      </c>
      <c r="G445">
        <v>10</v>
      </c>
      <c r="H445">
        <f>IF(VLOOKUP(B445,Trades!A:M,4,FALSE)="Long",(F445-VLOOKUP(B445,Trades!A:M,6,FALSE))*G445,(VLOOKUP(B445,Trades!A:M,6,FALSE)-F445)*G445)</f>
        <v>8.9000000000000057</v>
      </c>
      <c r="I445">
        <f>H445/VLOOKUP(B445,Trades!A$1:$M$100361,9,FALSE)</f>
        <v>1.3692307692307581</v>
      </c>
    </row>
    <row r="446" spans="1:9" x14ac:dyDescent="0.25">
      <c r="A446">
        <f t="shared" si="43"/>
        <v>445</v>
      </c>
      <c r="B446" s="1" t="s">
        <v>659</v>
      </c>
      <c r="C446" s="1">
        <v>46203</v>
      </c>
      <c r="D446" t="str">
        <f>VLOOKUP(B446,Trades!A$1:M100805,3,FALSE)</f>
        <v>AFRM</v>
      </c>
      <c r="E446" t="s">
        <v>61</v>
      </c>
      <c r="F446">
        <v>80.930000000000007</v>
      </c>
      <c r="G446">
        <v>10</v>
      </c>
      <c r="H446">
        <f>IF(VLOOKUP(B446,Trades!A:M,4,FALSE)="Long",(F446-VLOOKUP(B446,Trades!A:M,6,FALSE))*G446,(VLOOKUP(B446,Trades!A:M,6,FALSE)-F446)*G446)</f>
        <v>-7.9999999999999716</v>
      </c>
      <c r="I446">
        <f>H446/VLOOKUP(B446,Trades!A$1:$M$100361,9,FALSE)</f>
        <v>-1.0666666666666629</v>
      </c>
    </row>
    <row r="447" spans="1:9" x14ac:dyDescent="0.25">
      <c r="A447">
        <f t="shared" si="43"/>
        <v>446</v>
      </c>
      <c r="B447" s="1" t="s">
        <v>660</v>
      </c>
      <c r="C447" s="1">
        <v>46203</v>
      </c>
      <c r="D447" t="str">
        <f>VLOOKUP(B447,Trades!A$1:M100806,3,FALSE)</f>
        <v>GTLB</v>
      </c>
      <c r="E447" t="s">
        <v>61</v>
      </c>
      <c r="F447">
        <v>30.31</v>
      </c>
      <c r="G447">
        <v>12</v>
      </c>
      <c r="H447">
        <f>IF(VLOOKUP(B447,Trades!A:M,4,FALSE)="Long",(F447-VLOOKUP(B447,Trades!A:M,6,FALSE))*G447,(VLOOKUP(B447,Trades!A:M,6,FALSE)-F447)*G447)</f>
        <v>4.4399999999999693</v>
      </c>
      <c r="I447">
        <f>H447/VLOOKUP(B447,Trades!A$1:$M$100361,9,FALSE)</f>
        <v>1.5416666666666432</v>
      </c>
    </row>
    <row r="448" spans="1:9" x14ac:dyDescent="0.25">
      <c r="A448">
        <f t="shared" ref="A448:A457" si="44">ROW()-1</f>
        <v>447</v>
      </c>
      <c r="B448" s="1" t="s">
        <v>661</v>
      </c>
      <c r="C448" s="1">
        <v>46204</v>
      </c>
      <c r="D448" t="str">
        <f>VLOOKUP(B448,Trades!A$1:M100807,3,FALSE)</f>
        <v>AFRM</v>
      </c>
      <c r="E448" t="s">
        <v>61</v>
      </c>
      <c r="F448">
        <v>82.57</v>
      </c>
      <c r="G448">
        <v>10</v>
      </c>
      <c r="H448">
        <f>IF(VLOOKUP(B448,Trades!A:M,4,FALSE)="Long",(F448-VLOOKUP(B448,Trades!A:M,6,FALSE))*G448,(VLOOKUP(B448,Trades!A:M,6,FALSE)-F448)*G448)</f>
        <v>-4.0000000000000568</v>
      </c>
      <c r="I448">
        <f>H448/VLOOKUP(B448,Trades!A$1:$M$100361,9,FALSE)</f>
        <v>-0.80000000000001137</v>
      </c>
    </row>
    <row r="449" spans="1:9" x14ac:dyDescent="0.25">
      <c r="A449">
        <f t="shared" si="44"/>
        <v>448</v>
      </c>
      <c r="B449" s="1" t="s">
        <v>662</v>
      </c>
      <c r="C449" s="1">
        <v>46204</v>
      </c>
      <c r="D449" t="str">
        <f>VLOOKUP(B449,Trades!A$1:M100808,3,FALSE)</f>
        <v>INTC</v>
      </c>
      <c r="E449" t="s">
        <v>61</v>
      </c>
      <c r="F449">
        <v>133.16999999999999</v>
      </c>
      <c r="G449">
        <v>10</v>
      </c>
      <c r="H449">
        <f>IF(VLOOKUP(B449,Trades!A:M,4,FALSE)="Long",(F449-VLOOKUP(B449,Trades!A:M,6,FALSE))*G449,(VLOOKUP(B449,Trades!A:M,6,FALSE)-F449)*G449)</f>
        <v>-7.8000000000000114</v>
      </c>
      <c r="I449">
        <f>H449/VLOOKUP(B449,Trades!A$1:$M$100361,9,FALSE)</f>
        <v>-0.97500000000002218</v>
      </c>
    </row>
    <row r="450" spans="1:9" x14ac:dyDescent="0.25">
      <c r="A450">
        <f t="shared" si="44"/>
        <v>449</v>
      </c>
      <c r="B450" s="1" t="s">
        <v>663</v>
      </c>
      <c r="C450" s="1">
        <v>46204</v>
      </c>
      <c r="D450" t="str">
        <f>VLOOKUP(B450,Trades!A$1:M100809,3,FALSE)</f>
        <v>APP</v>
      </c>
      <c r="E450" t="s">
        <v>61</v>
      </c>
      <c r="F450">
        <v>552.14</v>
      </c>
      <c r="G450">
        <v>1</v>
      </c>
      <c r="H450">
        <f>IF(VLOOKUP(B450,Trades!A:M,4,FALSE)="Long",(F450-VLOOKUP(B450,Trades!A:M,6,FALSE))*G450,(VLOOKUP(B450,Trades!A:M,6,FALSE)-F450)*G450)</f>
        <v>18.139999999999986</v>
      </c>
      <c r="I450">
        <f>H450/VLOOKUP(B450,Trades!A$1:$M$100361,9,FALSE)</f>
        <v>2.2674999999999983</v>
      </c>
    </row>
    <row r="451" spans="1:9" x14ac:dyDescent="0.25">
      <c r="A451">
        <f t="shared" si="44"/>
        <v>450</v>
      </c>
      <c r="B451" s="1" t="s">
        <v>664</v>
      </c>
      <c r="C451" s="1">
        <v>46204</v>
      </c>
      <c r="D451" t="str">
        <f>VLOOKUP(B451,Trades!A$1:M100810,3,FALSE)</f>
        <v>AMAT</v>
      </c>
      <c r="E451" t="s">
        <v>61</v>
      </c>
      <c r="F451">
        <v>676.8</v>
      </c>
      <c r="G451">
        <v>2</v>
      </c>
      <c r="H451">
        <f>IF(VLOOKUP(B451,Trades!A:M,4,FALSE)="Long",(F451-VLOOKUP(B451,Trades!A:M,6,FALSE))*G451,(VLOOKUP(B451,Trades!A:M,6,FALSE)-F451)*G451)</f>
        <v>-10.960000000000036</v>
      </c>
      <c r="I451">
        <f>H451/VLOOKUP(B451,Trades!A$1:$M$100361,9,FALSE)</f>
        <v>-1.0378787878787967</v>
      </c>
    </row>
    <row r="452" spans="1:9" x14ac:dyDescent="0.25">
      <c r="A452">
        <f t="shared" si="44"/>
        <v>451</v>
      </c>
      <c r="B452" s="1" t="s">
        <v>663</v>
      </c>
      <c r="C452" s="1">
        <v>46204</v>
      </c>
      <c r="D452" t="str">
        <f>VLOOKUP(B452,Trades!A$1:M100811,3,FALSE)</f>
        <v>APP</v>
      </c>
      <c r="E452" t="s">
        <v>61</v>
      </c>
      <c r="F452">
        <v>558.80999999999995</v>
      </c>
      <c r="G452">
        <v>1</v>
      </c>
      <c r="H452">
        <f>IF(VLOOKUP(B452,Trades!A:M,4,FALSE)="Long",(F452-VLOOKUP(B452,Trades!A:M,6,FALSE))*G452,(VLOOKUP(B452,Trades!A:M,6,FALSE)-F452)*G452)</f>
        <v>24.809999999999945</v>
      </c>
      <c r="I452">
        <f>H452/VLOOKUP(B452,Trades!A$1:$M$100361,9,FALSE)</f>
        <v>3.1012499999999932</v>
      </c>
    </row>
    <row r="453" spans="1:9" x14ac:dyDescent="0.25">
      <c r="A453">
        <f t="shared" si="44"/>
        <v>452</v>
      </c>
      <c r="B453" s="1" t="s">
        <v>665</v>
      </c>
      <c r="C453" s="1">
        <v>46204</v>
      </c>
      <c r="D453" t="str">
        <f>VLOOKUP(B453,Trades!A$1:M100812,3,FALSE)</f>
        <v>GTLB</v>
      </c>
      <c r="E453" t="s">
        <v>61</v>
      </c>
      <c r="F453">
        <v>32.47</v>
      </c>
      <c r="G453">
        <v>14</v>
      </c>
      <c r="H453">
        <f>IF(VLOOKUP(B453,Trades!A:M,4,FALSE)="Long",(F453-VLOOKUP(B453,Trades!A:M,6,FALSE))*G453,(VLOOKUP(B453,Trades!A:M,6,FALSE)-F453)*G453)</f>
        <v>8.960000000000008</v>
      </c>
      <c r="I453">
        <f>H453/VLOOKUP(B453,Trades!A$1:$M$100361,9,FALSE)</f>
        <v>1.0322580645161341</v>
      </c>
    </row>
    <row r="454" spans="1:9" x14ac:dyDescent="0.25">
      <c r="A454">
        <f t="shared" si="44"/>
        <v>453</v>
      </c>
      <c r="B454" s="1" t="s">
        <v>666</v>
      </c>
      <c r="C454" s="1">
        <v>46204</v>
      </c>
      <c r="D454" t="str">
        <f>VLOOKUP(B454,Trades!A$1:M100813,3,FALSE)</f>
        <v>APPS</v>
      </c>
      <c r="E454" t="s">
        <v>61</v>
      </c>
      <c r="F454">
        <v>12.98</v>
      </c>
      <c r="G454">
        <v>70</v>
      </c>
      <c r="H454">
        <f>IF(VLOOKUP(B454,Trades!A:M,4,FALSE)="Long",(F454-VLOOKUP(B454,Trades!A:M,6,FALSE))*G454,(VLOOKUP(B454,Trades!A:M,6,FALSE)-F454)*G454)</f>
        <v>-7.6999999999999602</v>
      </c>
      <c r="I454">
        <f>H454/VLOOKUP(B454,Trades!A$1:$M$100361,9,FALSE)</f>
        <v>-1.0999999999999983</v>
      </c>
    </row>
    <row r="455" spans="1:9" x14ac:dyDescent="0.25">
      <c r="A455">
        <f t="shared" si="44"/>
        <v>454</v>
      </c>
      <c r="B455" s="1" t="s">
        <v>665</v>
      </c>
      <c r="C455" s="1">
        <v>46204</v>
      </c>
      <c r="D455" t="str">
        <f>VLOOKUP(B455,Trades!A$1:M100814,3,FALSE)</f>
        <v>GTLB</v>
      </c>
      <c r="E455" t="s">
        <v>61</v>
      </c>
      <c r="F455">
        <v>32.130000000000003</v>
      </c>
      <c r="G455">
        <v>14</v>
      </c>
      <c r="H455">
        <f>IF(VLOOKUP(B455,Trades!A:M,4,FALSE)="Long",(F455-VLOOKUP(B455,Trades!A:M,6,FALSE))*G455,(VLOOKUP(B455,Trades!A:M,6,FALSE)-F455)*G455)</f>
        <v>4.2000000000000597</v>
      </c>
      <c r="I455">
        <f>H455/VLOOKUP(B455,Trades!A$1:$M$100361,9,FALSE)</f>
        <v>0.48387096774194438</v>
      </c>
    </row>
    <row r="456" spans="1:9" x14ac:dyDescent="0.25">
      <c r="A456">
        <f t="shared" si="44"/>
        <v>455</v>
      </c>
      <c r="B456" s="1" t="s">
        <v>667</v>
      </c>
      <c r="C456" s="1">
        <v>46204</v>
      </c>
      <c r="D456" t="str">
        <f>VLOOKUP(B456,Trades!A$1:M100815,3,FALSE)</f>
        <v>GOOG</v>
      </c>
      <c r="E456" t="s">
        <v>61</v>
      </c>
      <c r="F456">
        <v>354.95</v>
      </c>
      <c r="G456">
        <v>3</v>
      </c>
      <c r="H456">
        <f>IF(VLOOKUP(B456,Trades!A:M,4,FALSE)="Long",(F456-VLOOKUP(B456,Trades!A:M,6,FALSE))*G456,(VLOOKUP(B456,Trades!A:M,6,FALSE)-F456)*G456)</f>
        <v>-6</v>
      </c>
      <c r="I456">
        <f>H456/VLOOKUP(B456,Trades!A$1:$M$100361,9,FALSE)</f>
        <v>-1</v>
      </c>
    </row>
    <row r="457" spans="1:9" x14ac:dyDescent="0.25">
      <c r="A457">
        <f t="shared" si="44"/>
        <v>456</v>
      </c>
      <c r="B457" s="1" t="s">
        <v>668</v>
      </c>
      <c r="C457" s="1">
        <v>46204</v>
      </c>
      <c r="D457" t="str">
        <f>VLOOKUP(B457,Trades!A$1:M100816,3,FALSE)</f>
        <v>ANET</v>
      </c>
      <c r="E457" t="s">
        <v>61</v>
      </c>
      <c r="F457">
        <v>167.89</v>
      </c>
      <c r="G457">
        <v>2</v>
      </c>
      <c r="H457">
        <f>IF(VLOOKUP(B457,Trades!A:M,4,FALSE)="Long",(F457-VLOOKUP(B457,Trades!A:M,6,FALSE))*G457,(VLOOKUP(B457,Trades!A:M,6,FALSE)-F457)*G457)</f>
        <v>1.6199999999999477</v>
      </c>
      <c r="I457">
        <f>H457/VLOOKUP(B457,Trades!A$1:$M$100361,9,FALSE)</f>
        <v>0.62790697674415585</v>
      </c>
    </row>
    <row r="458" spans="1:9" x14ac:dyDescent="0.25">
      <c r="A458">
        <f>ROW()-1</f>
        <v>457</v>
      </c>
      <c r="B458" s="1" t="s">
        <v>670</v>
      </c>
      <c r="C458" s="1">
        <v>46205</v>
      </c>
      <c r="D458" t="str">
        <f>VLOOKUP(B458,Trades!A$1:M100817,3,FALSE)</f>
        <v>GTLB</v>
      </c>
      <c r="E458" t="s">
        <v>61</v>
      </c>
      <c r="F458">
        <v>31.94</v>
      </c>
      <c r="G458">
        <v>40</v>
      </c>
      <c r="H458">
        <f>IF(VLOOKUP(B458,Trades!A:M,4,FALSE)="Long",(F458-VLOOKUP(B458,Trades!A:M,6,FALSE))*G458,(VLOOKUP(B458,Trades!A:M,6,FALSE)-F458)*G458)</f>
        <v>-12.000000000000028</v>
      </c>
      <c r="I458">
        <f>H458/VLOOKUP(B458,Trades!A$1:$M$100361,9,FALSE)</f>
        <v>-1.1111111111111009</v>
      </c>
    </row>
    <row r="459" spans="1:9" x14ac:dyDescent="0.25">
      <c r="A459">
        <f>ROW()-1</f>
        <v>458</v>
      </c>
      <c r="B459" s="1" t="s">
        <v>671</v>
      </c>
      <c r="C459" s="1">
        <v>46205</v>
      </c>
      <c r="D459" t="str">
        <f>VLOOKUP(B459,Trades!A$1:M100818,3,FALSE)</f>
        <v>PLTR</v>
      </c>
      <c r="E459" t="s">
        <v>61</v>
      </c>
      <c r="F459">
        <v>130.72</v>
      </c>
      <c r="G459">
        <v>10</v>
      </c>
      <c r="H459">
        <f>IF(VLOOKUP(B459,Trades!A:M,4,FALSE)="Long",(F459-VLOOKUP(B459,Trades!A:M,6,FALSE))*G459,(VLOOKUP(B459,Trades!A:M,6,FALSE)-F459)*G459)</f>
        <v>0</v>
      </c>
      <c r="I459">
        <f>H459/VLOOKUP(B459,Trades!A$1:$M$100361,9,FALSE)</f>
        <v>0</v>
      </c>
    </row>
    <row r="460" spans="1:9" x14ac:dyDescent="0.25">
      <c r="A460">
        <f>ROW()-1</f>
        <v>459</v>
      </c>
      <c r="B460" s="1" t="s">
        <v>672</v>
      </c>
      <c r="C460" s="1">
        <v>46205</v>
      </c>
      <c r="D460" t="str">
        <f>VLOOKUP(B460,Trades!A$1:M100819,3,FALSE)</f>
        <v>PATH</v>
      </c>
      <c r="E460" t="s">
        <v>61</v>
      </c>
      <c r="F460">
        <v>11.44</v>
      </c>
      <c r="G460">
        <v>40</v>
      </c>
      <c r="H460">
        <f>IF(VLOOKUP(B460,Trades!A:M,4,FALSE)="Long",(F460-VLOOKUP(B460,Trades!A:M,6,FALSE))*G460,(VLOOKUP(B460,Trades!A:M,6,FALSE)-F460)*G460)</f>
        <v>-8.0000000000000426</v>
      </c>
      <c r="I460">
        <f>H460/VLOOKUP(B460,Trades!A$1:$M$100361,9,FALSE)</f>
        <v>-1.052631578947367</v>
      </c>
    </row>
    <row r="461" spans="1:9" x14ac:dyDescent="0.25">
      <c r="A461">
        <f>ROW()-1</f>
        <v>460</v>
      </c>
      <c r="B461" s="1" t="s">
        <v>673</v>
      </c>
      <c r="C461" s="1">
        <v>46205</v>
      </c>
      <c r="D461" t="str">
        <f>VLOOKUP(B461,Trades!A$1:M100820,3,FALSE)</f>
        <v>GOOG</v>
      </c>
      <c r="E461" t="s">
        <v>61</v>
      </c>
      <c r="F461">
        <v>358.38</v>
      </c>
      <c r="G461">
        <v>3</v>
      </c>
      <c r="H461">
        <f>IF(VLOOKUP(B461,Trades!A:M,4,FALSE)="Long",(F461-VLOOKUP(B461,Trades!A:M,6,FALSE))*G461,(VLOOKUP(B461,Trades!A:M,6,FALSE)-F461)*G461)</f>
        <v>-3.1500000000000341</v>
      </c>
      <c r="I461">
        <f>H461/VLOOKUP(B461,Trades!A$1:$M$100361,9,FALSE)</f>
        <v>-0.51219512195122219</v>
      </c>
    </row>
    <row r="462" spans="1:9" x14ac:dyDescent="0.25">
      <c r="A462">
        <f>ROW()-1</f>
        <v>461</v>
      </c>
      <c r="B462" s="1" t="s">
        <v>674</v>
      </c>
      <c r="C462" s="1">
        <v>46205</v>
      </c>
      <c r="D462" t="str">
        <f>VLOOKUP(B462,Trades!A$1:M100821,3,FALSE)</f>
        <v>APP</v>
      </c>
      <c r="E462" t="s">
        <v>61</v>
      </c>
      <c r="F462">
        <v>559.26</v>
      </c>
      <c r="G462">
        <v>2</v>
      </c>
      <c r="H462">
        <f>IF(VLOOKUP(B462,Trades!A:M,4,FALSE)="Long",(F462-VLOOKUP(B462,Trades!A:M,6,FALSE))*G462,(VLOOKUP(B462,Trades!A:M,6,FALSE)-F462)*G462)</f>
        <v>-10.720000000000027</v>
      </c>
      <c r="I462">
        <f>H462/VLOOKUP(B462,Trades!A$1:$M$100361,9,FALSE)</f>
        <v>-1.0720000000000027</v>
      </c>
    </row>
    <row r="463" spans="1:9" x14ac:dyDescent="0.25">
      <c r="A463">
        <f>ROW()-1</f>
        <v>462</v>
      </c>
      <c r="B463" s="1" t="s">
        <v>675</v>
      </c>
      <c r="C463" s="1">
        <v>46205</v>
      </c>
      <c r="D463" t="str">
        <f>VLOOKUP(B463,Trades!A$1:M100822,3,FALSE)</f>
        <v>MU</v>
      </c>
      <c r="E463" t="s">
        <v>61</v>
      </c>
      <c r="F463">
        <v>975.07</v>
      </c>
      <c r="G463">
        <v>1</v>
      </c>
      <c r="H463">
        <f>IF(VLOOKUP(B463,Trades!A:M,4,FALSE)="Long",(F463-VLOOKUP(B463,Trades!A:M,6,FALSE))*G463,(VLOOKUP(B463,Trades!A:M,6,FALSE)-F463)*G463)</f>
        <v>-28.17999999999995</v>
      </c>
      <c r="I463">
        <f>H463/VLOOKUP(B463,Trades!A$1:$M$100361,9,FALSE)</f>
        <v>-1.0064285714285697</v>
      </c>
    </row>
    <row r="464" spans="1:9" x14ac:dyDescent="0.25">
      <c r="A464">
        <f>ROW()-1</f>
        <v>463</v>
      </c>
      <c r="B464" s="1" t="s">
        <v>676</v>
      </c>
      <c r="C464" s="1">
        <v>46205</v>
      </c>
      <c r="D464" t="str">
        <f>VLOOKUP(B464,Trades!A$1:M100823,3,FALSE)</f>
        <v>BABA</v>
      </c>
      <c r="E464" t="s">
        <v>61</v>
      </c>
      <c r="F464">
        <v>95.42</v>
      </c>
      <c r="G464">
        <v>2</v>
      </c>
      <c r="H464">
        <f>IF(VLOOKUP(B464,Trades!A:M,4,FALSE)="Long",(F464-VLOOKUP(B464,Trades!A:M,6,FALSE))*G464,(VLOOKUP(B464,Trades!A:M,6,FALSE)-F464)*G464)</f>
        <v>-8.0799999999999841</v>
      </c>
      <c r="I464">
        <f>H464/VLOOKUP(B464,Trades!A$1:$M$100361,9,FALSE)</f>
        <v>-0.73454545454545306</v>
      </c>
    </row>
    <row r="465" spans="1:9" x14ac:dyDescent="0.25">
      <c r="A465">
        <f>ROW()-1</f>
        <v>464</v>
      </c>
      <c r="B465" s="1" t="s">
        <v>677</v>
      </c>
      <c r="C465" s="1">
        <v>46205</v>
      </c>
      <c r="D465" t="str">
        <f>VLOOKUP(B465,Trades!A$1:M100824,3,FALSE)</f>
        <v>APP</v>
      </c>
      <c r="E465" t="s">
        <v>61</v>
      </c>
      <c r="F465">
        <v>527.92999999999995</v>
      </c>
      <c r="G465">
        <v>1</v>
      </c>
      <c r="H465">
        <f>IF(VLOOKUP(B465,Trades!A:M,4,FALSE)="Long",(F465-VLOOKUP(B465,Trades!A:M,6,FALSE))*G465,(VLOOKUP(B465,Trades!A:M,6,FALSE)-F465)*G465)</f>
        <v>-8.2100000000000364</v>
      </c>
      <c r="I465">
        <f>H465/VLOOKUP(B465,Trades!A$1:$M$100361,9,FALSE)</f>
        <v>-1.0262500000000045</v>
      </c>
    </row>
    <row r="466" spans="1:9" x14ac:dyDescent="0.25">
      <c r="A466">
        <f>ROW()-1</f>
        <v>465</v>
      </c>
      <c r="B466" s="1" t="s">
        <v>678</v>
      </c>
      <c r="C466" s="1">
        <v>46205</v>
      </c>
      <c r="D466" t="str">
        <f>VLOOKUP(B466,Trades!A$1:M100825,3,FALSE)</f>
        <v>PATH</v>
      </c>
      <c r="E466" t="s">
        <v>61</v>
      </c>
      <c r="F466">
        <v>11.72</v>
      </c>
      <c r="G466">
        <v>70</v>
      </c>
      <c r="H466">
        <f>IF(VLOOKUP(B466,Trades!A:M,4,FALSE)="Long",(F466-VLOOKUP(B466,Trades!A:M,6,FALSE))*G466,(VLOOKUP(B466,Trades!A:M,6,FALSE)-F466)*G466)</f>
        <v>15.400000000000045</v>
      </c>
      <c r="I466">
        <f>H466/VLOOKUP(B466,Trades!A$1:$M$100361,9,FALSE)</f>
        <v>2.000000000000016</v>
      </c>
    </row>
  </sheetData>
  <dataValidations count="2">
    <dataValidation type="list" allowBlank="1" showInputMessage="1" showErrorMessage="1" sqref="E2:E466" xr:uid="{9C25687B-DEF5-4411-BA9A-40CB4D950704}">
      <formula1>"Sell,Cover"</formula1>
    </dataValidation>
    <dataValidation type="list" allowBlank="1" showInputMessage="1" showErrorMessage="1" sqref="E467:E1048576" xr:uid="{05958E25-911C-4ED3-A0F6-7B25054B7856}">
      <formula1>$E$2:$E100466</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I13"/>
  <sheetViews>
    <sheetView workbookViewId="0">
      <selection activeCell="P22" sqref="P2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9" x14ac:dyDescent="0.25">
      <c r="A1" t="s">
        <v>39</v>
      </c>
      <c r="B1" t="s">
        <v>40</v>
      </c>
      <c r="C1" t="s">
        <v>55</v>
      </c>
      <c r="D1" t="s">
        <v>56</v>
      </c>
      <c r="E1" t="s">
        <v>12</v>
      </c>
      <c r="F1" t="s">
        <v>5</v>
      </c>
      <c r="G1" t="s">
        <v>57</v>
      </c>
      <c r="H1" t="s">
        <v>13</v>
      </c>
      <c r="I1" t="s">
        <v>41</v>
      </c>
    </row>
    <row r="2" spans="1:9" x14ac:dyDescent="0.25">
      <c r="A2" t="s">
        <v>29</v>
      </c>
      <c r="B2">
        <f>COUNTIF(Trades!E:E,A2)</f>
        <v>3</v>
      </c>
      <c r="C2">
        <f>COUNTIFS(Trades!E:E, A2,Trades!M:M, "&gt;0")</f>
        <v>2</v>
      </c>
      <c r="D2">
        <f>COUNTIFS(Trades!E:E, A2, Trades!M:M, "&lt;0")</f>
        <v>1</v>
      </c>
      <c r="E2">
        <f>IFERROR(C2/B2,0)</f>
        <v>0.66666666666666663</v>
      </c>
      <c r="F2">
        <f>SUMIF(Trades!E:E,A2,Trades!N:N)</f>
        <v>2.9909703590723824</v>
      </c>
      <c r="G2">
        <f>IFERROR(F2/B2,0)</f>
        <v>0.9969901196907941</v>
      </c>
      <c r="H2">
        <f>IFERROR( SUMIFS(Trades!M:M, Trades!E:E, A2, Trades!M:M, "&gt;0")/ABS(SUMIFS(Trades!M:M,Trades!E:E, A2,Trades!M:M,"&lt;0")),0)</f>
        <v>2.3916023993144857</v>
      </c>
      <c r="I2">
        <f>IFERROR(F2/B2,0)</f>
        <v>0.9969901196907941</v>
      </c>
    </row>
    <row r="3" spans="1:9" x14ac:dyDescent="0.25">
      <c r="A3" t="s">
        <v>49</v>
      </c>
      <c r="B3">
        <f>COUNTIF(Trades!E:E,A3)</f>
        <v>22</v>
      </c>
      <c r="C3">
        <f>COUNTIFS(Trades!E:E, A3,Trades!M:M, "&gt;0")</f>
        <v>6</v>
      </c>
      <c r="D3">
        <f>COUNTIFS(Trades!E:E, A3, Trades!M:M, "&lt;0")</f>
        <v>16</v>
      </c>
      <c r="E3">
        <f t="shared" ref="E3:E13" si="0">IFERROR(C3/B3,0)</f>
        <v>0.27272727272727271</v>
      </c>
      <c r="F3">
        <f>SUMIF(Trades!E:E,A3,Trades!N:N)</f>
        <v>2.465170180500631</v>
      </c>
      <c r="G3">
        <f t="shared" ref="G3:G13" si="1">IFERROR(F3/B3,0)</f>
        <v>0.11205319002275595</v>
      </c>
      <c r="H3">
        <f>IFERROR( SUMIFS(Trades!M:M, Trades!E:E, A3, Trades!M:M, "&gt;0")/ABS(SUMIFS(Trades!M:M, Trades!E:E, A3, Trades!M:M,"&lt;0")),0)</f>
        <v>1.2277012327773762</v>
      </c>
      <c r="I3">
        <f t="shared" ref="I3:I13" si="2">IFERROR(F3/B3,0)</f>
        <v>0.11205319002275595</v>
      </c>
    </row>
    <row r="4" spans="1:9" x14ac:dyDescent="0.25">
      <c r="A4" t="s">
        <v>50</v>
      </c>
      <c r="B4">
        <f>COUNTIF(Trades!E:E,A4)</f>
        <v>1</v>
      </c>
      <c r="C4">
        <f>COUNTIFS(Trades!E:E, A4,Trades!M:M, "&gt;0")</f>
        <v>0</v>
      </c>
      <c r="D4">
        <f>COUNTIFS(Trades!E:E, A4, Trades!M:M, "&lt;0")</f>
        <v>1</v>
      </c>
      <c r="E4">
        <f t="shared" si="0"/>
        <v>0</v>
      </c>
      <c r="F4">
        <f>SUMIF(Trades!E:E,A4,Trades!N:N)</f>
        <v>-1.6110444177671159</v>
      </c>
      <c r="G4">
        <f t="shared" si="1"/>
        <v>-1.6110444177671159</v>
      </c>
      <c r="H4">
        <f>IFERROR( SUMIFS(Trades!M:M, Trades!E:E, A4, Trades!M:M, "&gt;0")/ABS(SUMIFS(Trades!M:M, Trades!E:E, A4, Trades!M:M,"&lt;0")),0)</f>
        <v>0</v>
      </c>
      <c r="I4">
        <f t="shared" si="2"/>
        <v>-1.6110444177671159</v>
      </c>
    </row>
    <row r="5" spans="1:9" x14ac:dyDescent="0.25">
      <c r="A5" t="s">
        <v>27</v>
      </c>
      <c r="B5">
        <f>COUNTIF(Trades!E:E,A5)</f>
        <v>7</v>
      </c>
      <c r="C5">
        <f>COUNTIFS(Trades!E:E, A5,Trades!M:M, "&gt;0")</f>
        <v>2</v>
      </c>
      <c r="D5">
        <f>COUNTIFS(Trades!E:E, A5, Trades!M:M, "&lt;0")</f>
        <v>5</v>
      </c>
      <c r="E5">
        <f t="shared" si="0"/>
        <v>0.2857142857142857</v>
      </c>
      <c r="F5">
        <f>SUMIF(Trades!E:E,A5,Trades!N:N)</f>
        <v>-1.3952280219780426</v>
      </c>
      <c r="G5">
        <f t="shared" si="1"/>
        <v>-0.1993182888540061</v>
      </c>
      <c r="H5">
        <f>IFERROR( SUMIFS(Trades!M:M, Trades!E:E, A5, Trades!M:M, "&gt;0")/ABS(SUMIFS(Trades!M:M, Trades!E:E, A5, Trades!M:M,"&lt;0")),0)</f>
        <v>0.18561414202986837</v>
      </c>
      <c r="I5">
        <f t="shared" si="2"/>
        <v>-0.1993182888540061</v>
      </c>
    </row>
    <row r="6" spans="1:9" x14ac:dyDescent="0.25">
      <c r="A6" t="s">
        <v>51</v>
      </c>
      <c r="B6">
        <f>COUNTIF(Trades!E:E,A6)</f>
        <v>33</v>
      </c>
      <c r="C6">
        <f>COUNTIFS(Trades!E:E, A6,Trades!M:M, "&gt;0")</f>
        <v>9</v>
      </c>
      <c r="D6">
        <f>COUNTIFS(Trades!E:E, A6, Trades!M:M, "&lt;0")</f>
        <v>24</v>
      </c>
      <c r="E6">
        <f t="shared" si="0"/>
        <v>0.27272727272727271</v>
      </c>
      <c r="F6">
        <f>SUMIF(Trades!E:E,A6,Trades!N:N)</f>
        <v>14.143344008252477</v>
      </c>
      <c r="G6">
        <f t="shared" si="1"/>
        <v>0.42858618206825688</v>
      </c>
      <c r="H6">
        <f>IFERROR( SUMIFS(Trades!M:M, Trades!E:E, A6, Trades!M:M, "&gt;0")/ABS(SUMIFS(Trades!M:M, Trades!E:E, A6, Trades!M:M,"&lt;0")),0)</f>
        <v>1.0919691007141836</v>
      </c>
      <c r="I6">
        <f t="shared" si="2"/>
        <v>0.42858618206825688</v>
      </c>
    </row>
    <row r="7" spans="1:9" x14ac:dyDescent="0.25">
      <c r="A7" t="s">
        <v>52</v>
      </c>
      <c r="B7">
        <f>COUNTIF(Trades!E:E,A7)</f>
        <v>1</v>
      </c>
      <c r="C7">
        <f>COUNTIFS(Trades!E:E, A7,Trades!M:M, "&gt;0")</f>
        <v>1</v>
      </c>
      <c r="D7">
        <f>COUNTIFS(Trades!E:E, A7, Trades!M:M, "&lt;0")</f>
        <v>0</v>
      </c>
      <c r="E7">
        <f t="shared" si="0"/>
        <v>1</v>
      </c>
      <c r="F7">
        <f>SUMIF(Trades!E:E,A7,Trades!N:N)</f>
        <v>8.0556920556920417</v>
      </c>
      <c r="G7">
        <f t="shared" si="1"/>
        <v>8.0556920556920417</v>
      </c>
      <c r="H7">
        <f>IFERROR( SUMIFS(Trades!M:M, Trades!E:E, A7, Trades!M:M, "&gt;0")/ABS(SUMIFS(Trades!M:M, Trades!E:E, A7, Trades!M:M,"&lt;0")),0)</f>
        <v>0</v>
      </c>
      <c r="I7">
        <f t="shared" si="2"/>
        <v>8.0556920556920417</v>
      </c>
    </row>
    <row r="8" spans="1:9" x14ac:dyDescent="0.25">
      <c r="A8" t="s">
        <v>53</v>
      </c>
      <c r="B8">
        <f>COUNTIF(Trades!E:E,A8)</f>
        <v>1</v>
      </c>
      <c r="C8">
        <f>COUNTIFS(Trades!E:E, A8,Trades!M:M, "&gt;0")</f>
        <v>0</v>
      </c>
      <c r="D8">
        <f>COUNTIFS(Trades!E:E, A8, Trades!M:M, "&lt;0")</f>
        <v>1</v>
      </c>
      <c r="E8">
        <f t="shared" si="0"/>
        <v>0</v>
      </c>
      <c r="F8">
        <f>SUMIF(Trades!E:E,A8,Trades!N:N)</f>
        <v>-1.4753521126760587</v>
      </c>
      <c r="G8">
        <f t="shared" si="1"/>
        <v>-1.4753521126760587</v>
      </c>
      <c r="H8">
        <f>IFERROR( SUMIFS(Trades!M:M, Trades!E:E, A8, Trades!M:M, "&gt;0")/ABS(SUMIFS(Trades!M:M, Trades!E:E, A8, Trades!M:M,"&lt;0")),0)</f>
        <v>0</v>
      </c>
      <c r="I8">
        <f t="shared" si="2"/>
        <v>-1.4753521126760587</v>
      </c>
    </row>
    <row r="9" spans="1:9" x14ac:dyDescent="0.25">
      <c r="A9" t="s">
        <v>58</v>
      </c>
      <c r="B9">
        <f>COUNTIF(Trades!E:E,A9)</f>
        <v>229</v>
      </c>
      <c r="C9">
        <f>COUNTIFS(Trades!E:E, A9,Trades!M:M, "&gt;0")</f>
        <v>81</v>
      </c>
      <c r="D9">
        <f>COUNTIFS(Trades!E:E, A9, Trades!M:M, "&lt;0")</f>
        <v>147</v>
      </c>
      <c r="E9">
        <f>IFERROR(C9/B9,0)</f>
        <v>0.35371179039301309</v>
      </c>
      <c r="F9">
        <f>SUMIF(Trades!E:E,A9,Trades!N:N)</f>
        <v>57.332180285847244</v>
      </c>
      <c r="G9">
        <f t="shared" si="1"/>
        <v>0.25035886587706219</v>
      </c>
      <c r="H9">
        <f>IFERROR( SUMIFS(Trades!M:M, Trades!E:E, A9, Trades!M:M, "&gt;0")/ABS(SUMIFS(Trades!M:M, Trades!E:E, A9, Trades!M:M,"&lt;0")),0)</f>
        <v>1.2455658466612409</v>
      </c>
      <c r="I9">
        <f t="shared" si="2"/>
        <v>0.25035886587706219</v>
      </c>
    </row>
    <row r="10" spans="1:9" x14ac:dyDescent="0.25">
      <c r="A10" t="s">
        <v>60</v>
      </c>
      <c r="B10">
        <f>COUNTIF(Trades!E:E,A10)</f>
        <v>25</v>
      </c>
      <c r="C10">
        <f>COUNTIFS(Trades!E:E, A10,Trades!M:M, "&gt;0")</f>
        <v>2</v>
      </c>
      <c r="D10">
        <f>COUNTIFS(Trades!E:E, A10, Trades!M:M, "&lt;0")</f>
        <v>23</v>
      </c>
      <c r="E10">
        <f>IFERROR(C10/B10,0)</f>
        <v>0.08</v>
      </c>
      <c r="F10">
        <f>SUMIF(Trades!E:E,A10,Trades!N:N)</f>
        <v>-18.973469591469136</v>
      </c>
      <c r="G10">
        <f>IFERROR(F10/B10,0)</f>
        <v>-0.75893878365876544</v>
      </c>
      <c r="H10">
        <f>IFERROR( SUMIFS(Trades!M:M, Trades!E:E, A10, Trades!M:M, "&gt;0")/ABS(SUMIFS(Trades!M:M, Trades!E:E, A10, Trades!M:M,"&lt;0")),0)</f>
        <v>9.0552434069407869E-2</v>
      </c>
      <c r="I10">
        <f>IFERROR(F10/B10,0)</f>
        <v>-0.75893878365876544</v>
      </c>
    </row>
    <row r="11" spans="1:9" x14ac:dyDescent="0.25">
      <c r="A11" t="s">
        <v>112</v>
      </c>
      <c r="B11">
        <f>COUNTIF(Trades!E:E,A11)</f>
        <v>2</v>
      </c>
      <c r="C11">
        <f>COUNTIFS(Trades!E:E, A11,Trades!M:M, "&gt;0")</f>
        <v>0</v>
      </c>
      <c r="D11">
        <f>COUNTIFS(Trades!E:E, A11, Trades!M:M, "&lt;0")</f>
        <v>1</v>
      </c>
      <c r="E11">
        <f>IFERROR(C11/B11,0)</f>
        <v>0</v>
      </c>
      <c r="F11">
        <f>SUMIF(Trades!E:E,A11,Trades!N:N)</f>
        <v>-0.92996108949416356</v>
      </c>
      <c r="G11">
        <f>IFERROR(F11/B11,0)</f>
        <v>-0.46498054474708178</v>
      </c>
      <c r="H11">
        <f>IFERROR( SUMIFS(Trades!M:M, Trades!E:E, A11, Trades!M:M, "&gt;0")/ABS(SUMIFS(Trades!M:M, Trades!E:E, A11, Trades!M:M,"&lt;0")),0)</f>
        <v>0</v>
      </c>
      <c r="I11">
        <f>IFERROR(F11/B11,0)</f>
        <v>-0.46498054474708178</v>
      </c>
    </row>
    <row r="12" spans="1:9" x14ac:dyDescent="0.25">
      <c r="A12" t="s">
        <v>119</v>
      </c>
      <c r="B12">
        <f>COUNTIF(Trades!E:E,A12)</f>
        <v>118</v>
      </c>
      <c r="C12">
        <f>COUNTIFS(Trades!E:E, A12,Trades!M:M, "&gt;0")</f>
        <v>38</v>
      </c>
      <c r="D12">
        <f>COUNTIFS(Trades!E:E, A12, Trades!M:M, "&lt;0")</f>
        <v>80</v>
      </c>
      <c r="E12">
        <f>IFERROR(C12/B12,0)</f>
        <v>0.32203389830508472</v>
      </c>
      <c r="F12">
        <f>SUMIF(Trades!E:E,A12,Trades!N:N)</f>
        <v>-8.537474671012399</v>
      </c>
      <c r="G12">
        <f>IFERROR(F12/B12,0)</f>
        <v>-7.2351480262816945E-2</v>
      </c>
      <c r="H12">
        <f>IFERROR( SUMIFS(Trades!M:M, Trades!E:E, A12, Trades!M:M, "&gt;0")/ABS(SUMIFS(Trades!M:M, Trades!E:E, A12, Trades!M:M,"&lt;0")),0)</f>
        <v>0.83215413979202235</v>
      </c>
      <c r="I12">
        <f>IFERROR(F12/B12,0)</f>
        <v>-7.2351480262816945E-2</v>
      </c>
    </row>
    <row r="13" spans="1:9" x14ac:dyDescent="0.25">
      <c r="A13" t="s">
        <v>54</v>
      </c>
      <c r="B13">
        <f>COUNTIF(Trades!E:E,A13)</f>
        <v>0</v>
      </c>
      <c r="C13">
        <f>COUNTIFS(Trades!E:E, A13,Trades!M:M, "&gt;0")</f>
        <v>0</v>
      </c>
      <c r="D13">
        <f>COUNTIFS(Trades!E:E, A13, Trades!M:M, "&lt;0")</f>
        <v>0</v>
      </c>
      <c r="E13">
        <f t="shared" si="0"/>
        <v>0</v>
      </c>
      <c r="F13">
        <f>SUMIF(Trades!E:E,A13,Trades!N:N)</f>
        <v>0</v>
      </c>
      <c r="G13">
        <f t="shared" si="1"/>
        <v>0</v>
      </c>
      <c r="H13">
        <f>IFERROR( SUMIFS(Trades!M:M, Trades!E:E, A13, Trades!M:M, "&gt;0")/ABS(SUMIFS(Trades!M:M, Trades!E:E, A13, Trades!M:M,"&lt;0")),0)</f>
        <v>0</v>
      </c>
      <c r="I13">
        <f t="shared" si="2"/>
        <v>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42</v>
      </c>
      <c r="F1" t="s">
        <v>6</v>
      </c>
    </row>
    <row r="2" spans="1:6" x14ac:dyDescent="0.25">
      <c r="A2" t="s">
        <v>70</v>
      </c>
      <c r="B2" s="1">
        <v>46077</v>
      </c>
      <c r="C2" t="s">
        <v>62</v>
      </c>
      <c r="D2" t="s">
        <v>63</v>
      </c>
      <c r="E2">
        <v>-1</v>
      </c>
      <c r="F2" t="s">
        <v>64</v>
      </c>
    </row>
    <row r="3" spans="1:6" x14ac:dyDescent="0.25">
      <c r="A3" t="s">
        <v>77</v>
      </c>
      <c r="B3" s="1">
        <v>46078</v>
      </c>
      <c r="C3" t="s">
        <v>62</v>
      </c>
      <c r="D3" t="s">
        <v>78</v>
      </c>
      <c r="E3">
        <v>0</v>
      </c>
      <c r="F3" t="s">
        <v>79</v>
      </c>
    </row>
    <row r="4" spans="1:6" x14ac:dyDescent="0.25">
      <c r="A4" t="s">
        <v>114</v>
      </c>
      <c r="B4" s="1">
        <v>46098</v>
      </c>
      <c r="C4" t="s">
        <v>62</v>
      </c>
      <c r="D4" t="s">
        <v>63</v>
      </c>
      <c r="E4">
        <v>0</v>
      </c>
      <c r="F4" t="s">
        <v>115</v>
      </c>
    </row>
    <row r="5" spans="1:6" x14ac:dyDescent="0.25">
      <c r="A5" t="s">
        <v>124</v>
      </c>
      <c r="B5" s="1">
        <v>46101</v>
      </c>
      <c r="C5" t="s">
        <v>62</v>
      </c>
      <c r="D5" t="s">
        <v>78</v>
      </c>
      <c r="E5">
        <v>-19.71</v>
      </c>
      <c r="F5" t="s">
        <v>125</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43</v>
      </c>
      <c r="C1" t="s">
        <v>14</v>
      </c>
      <c r="D1" t="s">
        <v>44</v>
      </c>
      <c r="E1" t="s">
        <v>45</v>
      </c>
      <c r="F1" s="2" t="s">
        <v>46</v>
      </c>
      <c r="G1" t="s">
        <v>47</v>
      </c>
      <c r="H1" t="s">
        <v>48</v>
      </c>
      <c r="I1" t="s">
        <v>15</v>
      </c>
      <c r="J1" t="s">
        <v>16</v>
      </c>
    </row>
    <row r="2" spans="1:10" ht="30" x14ac:dyDescent="0.25">
      <c r="A2" s="1">
        <v>46077</v>
      </c>
      <c r="B2">
        <v>9076</v>
      </c>
      <c r="C2">
        <v>9117</v>
      </c>
      <c r="D2">
        <f>C2-B2</f>
        <v>41</v>
      </c>
      <c r="E2" s="2" t="s">
        <v>80</v>
      </c>
      <c r="F2" s="3" t="s">
        <v>69</v>
      </c>
      <c r="G2" s="2" t="s">
        <v>65</v>
      </c>
      <c r="H2" s="2" t="s">
        <v>66</v>
      </c>
      <c r="I2" t="s">
        <v>67</v>
      </c>
      <c r="J2" t="s">
        <v>68</v>
      </c>
    </row>
    <row r="3" spans="1:10" ht="30" x14ac:dyDescent="0.25">
      <c r="A3" s="1">
        <v>46078</v>
      </c>
      <c r="B3">
        <v>9117</v>
      </c>
      <c r="C3">
        <v>9113</v>
      </c>
      <c r="D3">
        <f>C3-B3</f>
        <v>-4</v>
      </c>
      <c r="E3" s="2" t="s">
        <v>84</v>
      </c>
      <c r="F3" s="3" t="s">
        <v>69</v>
      </c>
      <c r="G3" t="s">
        <v>81</v>
      </c>
      <c r="H3" s="2" t="s">
        <v>82</v>
      </c>
      <c r="I3" t="s">
        <v>67</v>
      </c>
      <c r="J3" t="s">
        <v>83</v>
      </c>
    </row>
    <row r="4" spans="1:10" ht="45" x14ac:dyDescent="0.25">
      <c r="A4" s="1">
        <v>46079</v>
      </c>
      <c r="B4">
        <v>9113</v>
      </c>
      <c r="C4">
        <v>9171</v>
      </c>
      <c r="D4">
        <f>C4-B4</f>
        <v>58</v>
      </c>
      <c r="E4" s="2" t="s">
        <v>88</v>
      </c>
      <c r="F4" s="3" t="s">
        <v>89</v>
      </c>
      <c r="G4" s="2" t="s">
        <v>85</v>
      </c>
      <c r="H4" t="s">
        <v>90</v>
      </c>
      <c r="I4" t="s">
        <v>67</v>
      </c>
      <c r="J4" t="s">
        <v>68</v>
      </c>
    </row>
    <row r="5" spans="1:10" ht="90" x14ac:dyDescent="0.25">
      <c r="A5" s="1">
        <v>46080</v>
      </c>
      <c r="B5">
        <v>9171</v>
      </c>
      <c r="C5">
        <v>9186</v>
      </c>
      <c r="D5">
        <f>C5-B5</f>
        <v>15</v>
      </c>
      <c r="E5" s="2" t="s">
        <v>93</v>
      </c>
      <c r="F5" s="3" t="s">
        <v>89</v>
      </c>
      <c r="G5" s="2" t="s">
        <v>91</v>
      </c>
      <c r="H5" t="s">
        <v>94</v>
      </c>
      <c r="I5" t="s">
        <v>67</v>
      </c>
      <c r="J5" t="s">
        <v>92</v>
      </c>
    </row>
    <row r="6" spans="1:10" ht="45" x14ac:dyDescent="0.25">
      <c r="A6" s="1">
        <v>46098</v>
      </c>
      <c r="B6">
        <v>8855</v>
      </c>
      <c r="E6" s="2" t="s">
        <v>117</v>
      </c>
      <c r="F6" s="3" t="s">
        <v>89</v>
      </c>
      <c r="G6" s="2" t="s">
        <v>116</v>
      </c>
      <c r="I6" t="s">
        <v>67</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workbookViewId="0">
      <selection activeCell="B4" sqref="B4"/>
    </sheetView>
  </sheetViews>
  <sheetFormatPr baseColWidth="10" defaultRowHeight="15" x14ac:dyDescent="0.25"/>
  <sheetData>
    <row r="1" spans="1:2" x14ac:dyDescent="0.25">
      <c r="A1" t="s">
        <v>19</v>
      </c>
    </row>
    <row r="2" spans="1:2" x14ac:dyDescent="0.25">
      <c r="A2" t="s">
        <v>17</v>
      </c>
      <c r="B2">
        <f>COUNTA(Trades!A:A)-1</f>
        <v>442</v>
      </c>
    </row>
    <row r="3" spans="1:2" x14ac:dyDescent="0.25">
      <c r="A3" t="s">
        <v>18</v>
      </c>
      <c r="B3">
        <f>COUNTIF(Trades!M:M,"&gt;0")/COUNT(Trades!M:M)</f>
        <v>0.3190045248868778</v>
      </c>
    </row>
    <row r="4" spans="1:2" x14ac:dyDescent="0.25">
      <c r="A4" t="s">
        <v>20</v>
      </c>
      <c r="B4">
        <f>AVERAGE(Trades!N:N)</f>
        <v>0.11779372621033458</v>
      </c>
    </row>
    <row r="5" spans="1:2" x14ac:dyDescent="0.25">
      <c r="A5" t="s">
        <v>21</v>
      </c>
      <c r="B5">
        <f>SUM(Trades!N:N)</f>
        <v>52.064826984967887</v>
      </c>
    </row>
    <row r="6" spans="1:2" x14ac:dyDescent="0.25">
      <c r="A6" t="s">
        <v>13</v>
      </c>
      <c r="B6">
        <f>SUMIF(Trades!M:M,"&gt;0")/ABS(SUM(Trades!M:M,""&lt;0))</f>
        <v>104.00266079456759</v>
      </c>
    </row>
    <row r="8" spans="1:2" x14ac:dyDescent="0.25">
      <c r="A8" t="s">
        <v>22</v>
      </c>
    </row>
    <row r="9" spans="1:2" x14ac:dyDescent="0.25">
      <c r="A9" t="s">
        <v>23</v>
      </c>
      <c r="B9">
        <f>MAX(Trades!M:M)</f>
        <v>165.71999999999997</v>
      </c>
    </row>
    <row r="10" spans="1:2" x14ac:dyDescent="0.25">
      <c r="A10" t="s">
        <v>24</v>
      </c>
      <c r="B10">
        <f>MIN(Trades!M:M)</f>
        <v>-155.00000000000014</v>
      </c>
    </row>
    <row r="11" spans="1:2" x14ac:dyDescent="0.25">
      <c r="A11" t="s">
        <v>25</v>
      </c>
      <c r="B11">
        <f>AVERAGEIF(Trades!M:M,"&gt;0")</f>
        <v>19.294042553191495</v>
      </c>
    </row>
    <row r="12" spans="1:2" x14ac:dyDescent="0.25">
      <c r="A12" t="s">
        <v>26</v>
      </c>
      <c r="B12">
        <f>AVERAGEIF(Trades!M:M,"&lt;0")</f>
        <v>-9.1860120401337824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2026-07-02T19:05:38Z</dcterms:modified>
</cp:coreProperties>
</file>