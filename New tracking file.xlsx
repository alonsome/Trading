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8_{4F7105FA-96F3-4165-BD4D-16AE6BEDB094}"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9" i="2" l="1"/>
  <c r="I9" i="2" s="1"/>
  <c r="A9" i="2"/>
  <c r="K15" i="1"/>
  <c r="I15" i="1"/>
  <c r="A15" i="1"/>
  <c r="H8" i="2"/>
  <c r="I8" i="2" s="1"/>
  <c r="D3" i="2"/>
  <c r="D4" i="2"/>
  <c r="D5" i="2"/>
  <c r="D6" i="2"/>
  <c r="D7" i="2"/>
  <c r="D8" i="2"/>
  <c r="D2" i="2"/>
  <c r="A8" i="2"/>
  <c r="M15" i="1" l="1"/>
  <c r="M4" i="1"/>
  <c r="K3" i="1"/>
  <c r="K4" i="1"/>
  <c r="K5" i="1"/>
  <c r="K7" i="1"/>
  <c r="K8" i="1"/>
  <c r="K9" i="1"/>
  <c r="K10" i="1"/>
  <c r="K11" i="1"/>
  <c r="K12" i="1"/>
  <c r="K13" i="1"/>
  <c r="K14" i="1"/>
  <c r="K2" i="1"/>
  <c r="I14" i="1"/>
  <c r="A14" i="1"/>
  <c r="M14" i="1" s="1"/>
  <c r="I13" i="1"/>
  <c r="A13" i="1"/>
  <c r="M13" i="1" s="1"/>
  <c r="A7" i="2" l="1"/>
  <c r="I12" i="1"/>
  <c r="A12" i="1"/>
  <c r="A3" i="2"/>
  <c r="A4" i="2"/>
  <c r="A5" i="2"/>
  <c r="A6" i="2"/>
  <c r="I11" i="1"/>
  <c r="A11" i="1"/>
  <c r="M11" i="1" s="1"/>
  <c r="M10" i="1"/>
  <c r="I10" i="1"/>
  <c r="A10" i="1"/>
  <c r="I9" i="1"/>
  <c r="A9" i="1"/>
  <c r="D5" i="5"/>
  <c r="D4" i="5"/>
  <c r="I8" i="1"/>
  <c r="A8" i="1"/>
  <c r="M8" i="1" s="1"/>
  <c r="I7" i="1"/>
  <c r="A7" i="1"/>
  <c r="M7" i="1" s="1"/>
  <c r="D3" i="5"/>
  <c r="D2" i="5"/>
  <c r="I6" i="1"/>
  <c r="K6" i="1" s="1"/>
  <c r="A6" i="1"/>
  <c r="M6" i="1" s="1"/>
  <c r="I5" i="1" l="1"/>
  <c r="A5" i="1"/>
  <c r="I4" i="1"/>
  <c r="A4" i="1"/>
  <c r="I3" i="1"/>
  <c r="A3" i="1"/>
  <c r="A2" i="1"/>
  <c r="B10" i="4"/>
  <c r="I2" i="1"/>
  <c r="H3" i="4"/>
  <c r="H4" i="4"/>
  <c r="H6" i="4"/>
  <c r="H7" i="4"/>
  <c r="H8" i="4"/>
  <c r="H11" i="4"/>
  <c r="F3" i="4"/>
  <c r="F4" i="4"/>
  <c r="F6" i="4"/>
  <c r="F7" i="4"/>
  <c r="F8" i="4"/>
  <c r="F11" i="4"/>
  <c r="D3" i="4"/>
  <c r="D4" i="4"/>
  <c r="D6" i="4"/>
  <c r="D7" i="4"/>
  <c r="D8" i="4"/>
  <c r="D11" i="4"/>
  <c r="C3" i="4"/>
  <c r="E3" i="4" s="1"/>
  <c r="C4" i="4"/>
  <c r="E4" i="4" s="1"/>
  <c r="C6" i="4"/>
  <c r="E6" i="4" s="1"/>
  <c r="C7" i="4"/>
  <c r="E7" i="4" s="1"/>
  <c r="C8" i="4"/>
  <c r="E8" i="4" s="1"/>
  <c r="C11" i="4"/>
  <c r="B9" i="4"/>
  <c r="B3" i="4"/>
  <c r="B4" i="4"/>
  <c r="B5" i="4"/>
  <c r="B6" i="4"/>
  <c r="B7" i="4"/>
  <c r="B8" i="4"/>
  <c r="B11" i="4"/>
  <c r="H4" i="2" l="1"/>
  <c r="M3" i="1" s="1"/>
  <c r="H5" i="2"/>
  <c r="H2" i="2"/>
  <c r="M2" i="1" s="1"/>
  <c r="H7" i="2"/>
  <c r="H6" i="2"/>
  <c r="I6" i="2" s="1"/>
  <c r="H3" i="2"/>
  <c r="I3" i="2" s="1"/>
  <c r="I4" i="4"/>
  <c r="I6" i="4"/>
  <c r="E11" i="4"/>
  <c r="I8" i="4"/>
  <c r="I7" i="4"/>
  <c r="I3" i="4"/>
  <c r="I11" i="4"/>
  <c r="G8" i="4"/>
  <c r="G11" i="4"/>
  <c r="G7" i="4"/>
  <c r="G6" i="4"/>
  <c r="G4" i="4"/>
  <c r="G3" i="4"/>
  <c r="M5" i="1" l="1"/>
  <c r="I4" i="2"/>
  <c r="I7" i="2"/>
  <c r="M12" i="1"/>
  <c r="H2" i="4" s="1"/>
  <c r="I5" i="2"/>
  <c r="M9" i="1"/>
  <c r="H5" i="4"/>
  <c r="D5" i="4"/>
  <c r="F5" i="4"/>
  <c r="C5" i="4"/>
  <c r="E5" i="4" s="1"/>
  <c r="C2" i="4"/>
  <c r="D2" i="4" l="1"/>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<sst xmlns="http://schemas.openxmlformats.org/spreadsheetml/2006/main" count="173" uniqueCount="110">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</sst>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wrapText="1"/>
    </xf>
    <xf numFmtId="49" fontId="0" fillId="0" borderId="0" xfId="0" applyNumberFormat="1"/>
    <xf numFmtId="16" fontId="0" fillId="0" borderId="0" xfId="0" applyNumberFormat="1"/>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M15"/>
  <sheetViews>
    <sheetView tabSelected="1" workbookViewId="0">
      <selection activeCell="G4" sqref="G4"/>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x14ac:dyDescent="0.25">
      <c r="A2" t="str">
        <f t="shared" ref="A2:A15" si="0">"T-"&amp; TEXT(ROW()-1,"000")</f>
        <v>T-001</v>
      </c>
      <c r="B2" s="1">
        <v>46072</v>
      </c>
      <c r="C2" t="s">
        <v>62</v>
      </c>
      <c r="D2" t="s">
        <v>28</v>
      </c>
      <c r="E2" t="s">
        <v>63</v>
      </c>
      <c r="F2">
        <v>11.11</v>
      </c>
      <c r="G2">
        <v>9.81</v>
      </c>
      <c r="H2">
        <v>18</v>
      </c>
      <c r="I2">
        <f t="shared" ref="I2:I15" si="1">IF(D2="Long",(F2-G2)*H2,(G2-F2)*0)</f>
        <v>23.399999999999981</v>
      </c>
      <c r="J2">
        <v>2</v>
      </c>
      <c r="K2">
        <f>I2*J2</f>
        <v>46.799999999999962</v>
      </c>
      <c r="L2" t="s">
        <v>75</v>
      </c>
      <c r="M2">
        <f>SUMIF(Executions!B:B,A2,Executions!H:H)</f>
        <v>-23.399999999999981</v>
      </c>
    </row>
    <row r="3" spans="1:13" x14ac:dyDescent="0.25">
      <c r="A3" t="str">
        <f t="shared" si="0"/>
        <v>T-002</v>
      </c>
      <c r="B3" s="1">
        <v>46077</v>
      </c>
      <c r="C3" t="s">
        <v>74</v>
      </c>
      <c r="D3" t="s">
        <v>28</v>
      </c>
      <c r="E3" t="s">
        <v>61</v>
      </c>
      <c r="F3">
        <v>4.18</v>
      </c>
      <c r="G3">
        <v>3.82</v>
      </c>
      <c r="H3">
        <v>61</v>
      </c>
      <c r="I3">
        <f t="shared" si="1"/>
        <v>21.959999999999994</v>
      </c>
      <c r="J3">
        <v>2</v>
      </c>
      <c r="K3">
        <f t="shared" ref="K3:K15" si="2">I3*J3</f>
        <v>43.919999999999987</v>
      </c>
      <c r="L3" t="s">
        <v>75</v>
      </c>
      <c r="M3">
        <f>SUMIF(Executions!B:B,A3,Executions!H:H)</f>
        <v>6.7100000000000195</v>
      </c>
    </row>
    <row r="4" spans="1:13" x14ac:dyDescent="0.25">
      <c r="A4" t="str">
        <f t="shared" si="0"/>
        <v>T-003</v>
      </c>
      <c r="B4" s="1">
        <v>46077</v>
      </c>
      <c r="C4" t="s">
        <v>76</v>
      </c>
      <c r="D4" t="s">
        <v>28</v>
      </c>
      <c r="E4" t="s">
        <v>29</v>
      </c>
      <c r="F4">
        <v>136.94</v>
      </c>
      <c r="G4">
        <v>127.28</v>
      </c>
      <c r="H4">
        <v>3</v>
      </c>
      <c r="I4">
        <f t="shared" si="1"/>
        <v>28.97999999999999</v>
      </c>
      <c r="J4">
        <v>2</v>
      </c>
      <c r="K4">
        <f t="shared" si="2"/>
        <v>57.95999999999998</v>
      </c>
      <c r="L4" t="s">
        <v>30</v>
      </c>
      <c r="M4">
        <f>SUMIF(Executions!B:B,A4,Executions!H:H)</f>
        <v>0</v>
      </c>
    </row>
    <row r="5" spans="1:13"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30</v>
      </c>
      <c r="M5">
        <f>SUMIF(Executions!B:B,A5,Executions!H:H)</f>
        <v>59.310000000000031</v>
      </c>
    </row>
    <row r="6" spans="1:13"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x14ac:dyDescent="0.25">
      <c r="A7" t="str">
        <f t="shared" si="0"/>
        <v>T-006</v>
      </c>
      <c r="B7" s="1">
        <v>46079</v>
      </c>
      <c r="C7" t="s">
        <v>89</v>
      </c>
      <c r="D7" t="s">
        <v>28</v>
      </c>
      <c r="E7" t="s">
        <v>27</v>
      </c>
      <c r="F7">
        <v>92.49</v>
      </c>
      <c r="G7">
        <v>87.03</v>
      </c>
      <c r="H7">
        <v>3</v>
      </c>
      <c r="I7">
        <f t="shared" si="1"/>
        <v>16.379999999999981</v>
      </c>
      <c r="J7">
        <v>2</v>
      </c>
      <c r="K7">
        <f t="shared" si="2"/>
        <v>32.759999999999962</v>
      </c>
      <c r="L7" t="s">
        <v>30</v>
      </c>
      <c r="M7">
        <f>SUMIF(Executions!B:B,A7,Executions!H:H)</f>
        <v>0</v>
      </c>
    </row>
    <row r="8" spans="1:13" x14ac:dyDescent="0.25">
      <c r="A8" t="str">
        <f t="shared" si="0"/>
        <v>T-007</v>
      </c>
      <c r="B8" s="1">
        <v>46079</v>
      </c>
      <c r="C8" t="s">
        <v>90</v>
      </c>
      <c r="D8" t="s">
        <v>28</v>
      </c>
      <c r="E8" t="s">
        <v>63</v>
      </c>
      <c r="F8">
        <v>67.819999999999993</v>
      </c>
      <c r="G8">
        <v>58.5</v>
      </c>
      <c r="H8">
        <v>3</v>
      </c>
      <c r="I8">
        <f t="shared" si="1"/>
        <v>27.95999999999998</v>
      </c>
      <c r="J8">
        <v>2</v>
      </c>
      <c r="K8">
        <f t="shared" si="2"/>
        <v>55.919999999999959</v>
      </c>
      <c r="L8" t="s">
        <v>30</v>
      </c>
      <c r="M8">
        <f>SUMIF(Executions!B:B,A8,Executions!H:H)</f>
        <v>0</v>
      </c>
    </row>
    <row r="9" spans="1:13"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30</v>
      </c>
      <c r="M10">
        <f>SUMIF(Executions!B:B,A10,Executions!H:H)</f>
        <v>0</v>
      </c>
    </row>
    <row r="11" spans="1:13"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0</v>
      </c>
    </row>
    <row r="12" spans="1:13"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30</v>
      </c>
      <c r="M13">
        <f>SUMIF(Executions!B:B,A13,Executions!H:H)</f>
        <v>0</v>
      </c>
    </row>
    <row r="14" spans="1:13"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30</v>
      </c>
      <c r="M14">
        <f>SUMIF(Executions!B:B,A14,Executions!H:H)</f>
        <v>0</v>
      </c>
    </row>
    <row r="15" spans="1:13"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sheetData>
  <conditionalFormatting sqref="M2:M15">
    <cfRule type="cellIs" dxfId="1" priority="1" operator="lessThan">
      <formula>K2</formula>
    </cfRule>
    <cfRule type="cellIs" dxfId="0" priority="2" operator="greaterThan">
      <formula>K2</formula>
    </cfRule>
  </conditionalFormatting>
  <dataValidations count="3">
    <dataValidation type="list" allowBlank="1" showInputMessage="1" showErrorMessage="1" sqref="D2:D1048576" xr:uid="{7CC3C28F-4F55-4478-BFCD-3E2D4B39BBC5}">
      <formula1>"Long,Short"</formula1>
    </dataValidation>
    <dataValidation type="list" allowBlank="1" showInputMessage="1" showErrorMessage="1" sqref="E1 E16: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958648C-BDD0-4279-9367-17373A7E8527}">
          <x14:formula1>
            <xm:f>Setups!$A$2:$A$11</xm:f>
          </x14:formula1>
          <xm:sqref>E2:E15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9"/>
  <sheetViews>
    <sheetView workbookViewId="0">
      <selection activeCell="F25" sqref="F25"/>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9"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
        <v>108</v>
      </c>
      <c r="E9" t="s">
        <v>64</v>
      </c>
      <c r="F9">
        <v>166.62</v>
      </c>
      <c r="G9">
        <v>2</v>
      </c>
      <c r="H9">
        <f>IF(VLOOKUP(B9,Trades!A:M,4,FALSE)="Long",(F9-VLOOKUP(B9,Trades!A:M,6,FALSE))*G9,(VLOOKUP(B9,Trades!A:M,6,FALSE)-F9)*G9)</f>
        <v>-21.71999999999997</v>
      </c>
      <c r="I9">
        <f>H9/Trades!I9</f>
        <v>-0.71825396825396837</v>
      </c>
    </row>
  </sheetData>
  <dataValidations count="2">
    <dataValidation type="list" allowBlank="1" showInputMessage="1" showErrorMessage="1" sqref="E10:E1048576" xr:uid="{05958E25-911C-4ED3-A0F6-7B25054B7856}">
      <formula1>$E$2:$E100009</formula1>
    </dataValidation>
    <dataValidation type="list" allowBlank="1" showInputMessage="1" showErrorMessage="1" sqref="E2:E9"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1"/>
  <sheetViews>
    <sheetView workbookViewId="0">
      <selection activeCell="B36" sqref="B36"/>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0</v>
      </c>
      <c r="E2">
        <f>IFERROR(C2/B2,0)</f>
        <v>0.66666666666666663</v>
      </c>
      <c r="F2">
        <f>SUMIF(Trades!E:E,A2,Trades!M:M)</f>
        <v>83.73000000000016</v>
      </c>
      <c r="G2">
        <f>IFERROR(F2/B2,0)</f>
        <v>27.910000000000053</v>
      </c>
      <c r="H2">
        <f>IFERROR( SUMIFS(Trades!M:M, Trades!E:E, A2, Trades!M:M, "&gt;0")/ABS(SUMIFS(Trades!M:M,Trades!E:E, A2,Trades!M:M,"&lt;0")),0)</f>
        <v>0</v>
      </c>
      <c r="I2">
        <f>IFERROR(F2/B2,0)</f>
        <v>27.910000000000053</v>
      </c>
    </row>
    <row r="3" spans="1:10" x14ac:dyDescent="0.25">
      <c r="A3" t="s">
        <v>52</v>
      </c>
      <c r="B3">
        <f>COUNTIF(Trades!E:E,A3)</f>
        <v>0</v>
      </c>
      <c r="C3">
        <f>COUNTIFS(Trades!E:E, A3,Trades!M:M, "&gt;0")</f>
        <v>0</v>
      </c>
      <c r="D3">
        <f>COUNTIFS(Trades!E:E, A3, Trades!M:M, "&lt;0")</f>
        <v>0</v>
      </c>
      <c r="E3">
        <f t="shared" ref="E3:E11" si="0">IFERROR(C3/B3,0)</f>
        <v>0</v>
      </c>
      <c r="F3">
        <f>SUMIF(Trades!E:E,A3,Trades!M:M)</f>
        <v>0</v>
      </c>
      <c r="G3">
        <f t="shared" ref="G3:G11" si="1">IFERROR(F3/B3,0)</f>
        <v>0</v>
      </c>
      <c r="H3">
        <f>IFERROR( SUMIFS(Trades!M:M, Trades!E:E, A3, Trades!M:M, "&gt;0")/ABS(SUMIFS(Trades!M:M, Trades!E:E, A3, Trades!M:M,"&lt;0")),0)</f>
        <v>0</v>
      </c>
      <c r="I3">
        <f t="shared" ref="I3:I11" si="2">IFERROR(F3/B3,0)</f>
        <v>0</v>
      </c>
    </row>
    <row r="4" spans="1:10" x14ac:dyDescent="0.25">
      <c r="A4" t="s">
        <v>53</v>
      </c>
      <c r="B4">
        <f>COUNTIF(Trades!E:E,A4)</f>
        <v>0</v>
      </c>
      <c r="C4">
        <f>COUNTIFS(Trades!E:E, A4,Trades!M:M, "&gt;0")</f>
        <v>0</v>
      </c>
      <c r="D4">
        <f>COUNTIFS(Trades!E:E, A4, Trades!M:M, "&lt;0")</f>
        <v>0</v>
      </c>
      <c r="E4">
        <f t="shared" si="0"/>
        <v>0</v>
      </c>
      <c r="F4">
        <f>SUMIF(Trades!E:E,A4,Trades!M:M)</f>
        <v>0</v>
      </c>
      <c r="G4">
        <f t="shared" si="1"/>
        <v>0</v>
      </c>
      <c r="H4">
        <f>IFERROR( SUMIFS(Trades!M:M, Trades!E:E, A4, Trades!M:M, "&gt;0")/ABS(SUMIFS(Trades!M:M, Trades!E:E, A4, Trades!M:M,"&lt;0")),0)</f>
        <v>0</v>
      </c>
      <c r="I4">
        <f t="shared" si="2"/>
        <v>0</v>
      </c>
    </row>
    <row r="5" spans="1:10" x14ac:dyDescent="0.25">
      <c r="A5" t="s">
        <v>27</v>
      </c>
      <c r="B5">
        <f>COUNTIF(Trades!E:E,A5)</f>
        <v>1</v>
      </c>
      <c r="C5">
        <f>COUNTIFS(Trades!E:E, A5,Trades!M:M, "&gt;0")</f>
        <v>0</v>
      </c>
      <c r="D5">
        <f>COUNTIFS(Trades!E:E, A5, Trades!M:M, "&lt;0")</f>
        <v>0</v>
      </c>
      <c r="E5">
        <f t="shared" si="0"/>
        <v>0</v>
      </c>
      <c r="F5">
        <f>SUMIF(Trades!E:E,A5,Trades!M:M)</f>
        <v>0</v>
      </c>
      <c r="G5">
        <f t="shared" si="1"/>
        <v>0</v>
      </c>
      <c r="H5">
        <f>IFERROR( SUMIFS(Trades!M:M, Trades!E:E, A5, Trades!M:M, "&gt;0")/ABS(SUMIFS(Trades!M:M, Trades!E:E, A5, Trades!M:M,"&lt;0")),0)</f>
        <v>0</v>
      </c>
      <c r="I5">
        <f t="shared" si="2"/>
        <v>0</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0</v>
      </c>
      <c r="C8">
        <f>COUNTIFS(Trades!E:E, A8,Trades!M:M, "&gt;0")</f>
        <v>0</v>
      </c>
      <c r="D8">
        <f>COUNTIFS(Trades!E:E, A8, Trades!M:M, "&lt;0")</f>
        <v>0</v>
      </c>
      <c r="E8">
        <f t="shared" si="0"/>
        <v>0</v>
      </c>
      <c r="F8">
        <f>SUMIF(Trades!E:E,A8,Trades!M:M)</f>
        <v>0</v>
      </c>
      <c r="G8">
        <f t="shared" si="1"/>
        <v>0</v>
      </c>
      <c r="H8">
        <f>IFERROR( SUMIFS(Trades!M:M, Trades!E:E, A8, Trades!M:M, "&gt;0")/ABS(SUMIFS(Trades!M:M, Trades!E:E, A8, Trades!M:M,"&lt;0")),0)</f>
        <v>0</v>
      </c>
      <c r="I8">
        <f t="shared" si="2"/>
        <v>0</v>
      </c>
    </row>
    <row r="9" spans="1:10" x14ac:dyDescent="0.25">
      <c r="A9" t="s">
        <v>61</v>
      </c>
      <c r="B9">
        <f>COUNTIF(Trades!E:E,A9)</f>
        <v>5</v>
      </c>
      <c r="C9">
        <f>COUNTIFS(Trades!E:E, A9,Trades!M:M, "&gt;0")</f>
        <v>2</v>
      </c>
      <c r="D9">
        <f>COUNTIFS(Trades!E:E, A9, Trades!M:M, "&lt;0")</f>
        <v>0</v>
      </c>
      <c r="E9">
        <f>IFERROR(C9/B9,0)</f>
        <v>0.4</v>
      </c>
      <c r="F9">
        <f>SUMIF(Trades!E:E,A9,Trades!M:M)</f>
        <v>87.110000000000056</v>
      </c>
      <c r="G9">
        <f t="shared" si="1"/>
        <v>17.422000000000011</v>
      </c>
      <c r="H9">
        <f>IFERROR( SUMIFS(Trades!M:M, Trades!E:E, A9, Trades!M:M, "&gt;0")/ABS(SUMIFS(Trades!M:M, Trades!E:E, A9, Trades!M:M,"&lt;0")),0)</f>
        <v>0</v>
      </c>
      <c r="I9">
        <f t="shared" si="2"/>
        <v>17.422000000000011</v>
      </c>
    </row>
    <row r="10" spans="1:10" x14ac:dyDescent="0.25">
      <c r="A10" t="s">
        <v>63</v>
      </c>
      <c r="B10">
        <f>COUNTIF(Trades!E:E,A10)</f>
        <v>5</v>
      </c>
      <c r="C10">
        <f>COUNTIFS(Trades!E:E, A10,Trades!M:M, "&gt;0")</f>
        <v>0</v>
      </c>
      <c r="D10">
        <f>COUNTIFS(Trades!E:E, A10, Trades!M:M, "&lt;0")</f>
        <v>3</v>
      </c>
      <c r="E10">
        <f>IFERROR(C10/B10,0)</f>
        <v>0</v>
      </c>
      <c r="F10">
        <f>SUMIF(Trades!E:E,A10,Trades!M:M)</f>
        <v>-55.721999999999952</v>
      </c>
      <c r="G10">
        <f>IFERROR(F10/B10,0)</f>
        <v>-11.14439999999999</v>
      </c>
      <c r="H10">
        <f>IFERROR( SUMIFS(Trades!M:M, Trades!E:E, A10, Trades!M:M, "&gt;0")/ABS(SUMIFS(Trades!M:M, Trades!E:E, A10, Trades!M:M,"&lt;0")),0)</f>
        <v>0</v>
      </c>
      <c r="I10">
        <f>IFERROR(F10/B10,0)</f>
        <v>-11.14439999999999</v>
      </c>
    </row>
    <row r="11" spans="1:10" x14ac:dyDescent="0.25">
      <c r="A11" t="s">
        <v>57</v>
      </c>
      <c r="B11">
        <f>COUNTIF(Trades!E:E,A11)</f>
        <v>0</v>
      </c>
      <c r="C11">
        <f>COUNTIFS(Trades!E:E, A11,Trades!M:M, "&gt;0")</f>
        <v>0</v>
      </c>
      <c r="D11">
        <f>COUNTIFS(Trades!E:E, A11, Trades!M:M, "&lt;0")</f>
        <v>0</v>
      </c>
      <c r="E11">
        <f t="shared" si="0"/>
        <v>0</v>
      </c>
      <c r="F11">
        <f>SUMIF(Trades!E:E,A11,Trades!M:M)</f>
        <v>0</v>
      </c>
      <c r="G11">
        <f t="shared" si="1"/>
        <v>0</v>
      </c>
      <c r="H11">
        <f>IFERROR( SUMIFS(Trades!M:M, Trades!E:E, A11, Trades!M:M, "&gt;0")/ABS(SUMIFS(Trades!M:M, Trades!E:E, A11, Trades!M:M,"&lt;0")),0)</f>
        <v>0</v>
      </c>
      <c r="I11">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3"/>
  <sheetViews>
    <sheetView workbookViewId="0">
      <selection activeCell="F4" sqref="F4"/>
    </sheetView>
  </sheetViews>
  <sheetFormatPr baseColWidth="10" defaultRowHeight="15" x14ac:dyDescent="0.25"/>
  <cols>
    <col min="3" max="3" width="12.7109375" bestFit="1" customWidth="1"/>
    <col min="6" max="6" width="85.2851562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sheetData>
  <dataValidations count="3">
    <dataValidation type="list" allowBlank="1" showInputMessage="1" showErrorMessage="1" sqref="C4:C1048576" xr:uid="{E90ED070-6DC6-4337-8AA1-210BB22EB913}">
      <formula1>"Emotiona,Technical"</formula1>
    </dataValidation>
    <dataValidation type="list" allowBlank="1" showInputMessage="1" showErrorMessage="1" sqref="C2:C3"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5"/>
  <sheetViews>
    <sheetView workbookViewId="0">
      <selection activeCell="H5" sqref="H5"/>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4">
        <v>46147</v>
      </c>
      <c r="G5" s="2" t="s">
        <v>94</v>
      </c>
      <c r="H5" t="s">
        <v>97</v>
      </c>
      <c r="I5" t="s">
        <v>70</v>
      </c>
      <c r="J5"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13" sqref="B13"/>
    </sheetView>
  </sheetViews>
  <sheetFormatPr baseColWidth="10" defaultRowHeight="15" x14ac:dyDescent="0.25"/>
  <sheetData>
    <row r="1" spans="1:2" x14ac:dyDescent="0.25">
      <c r="A1" t="s">
        <v>19</v>
      </c>
    </row>
    <row r="2" spans="1:2" x14ac:dyDescent="0.25">
      <c r="A2" t="s">
        <v>17</v>
      </c>
      <c r="B2">
        <f>COUNTA(Trades!A:A)-1</f>
        <v>14</v>
      </c>
    </row>
    <row r="3" spans="1:2" x14ac:dyDescent="0.25">
      <c r="A3" t="s">
        <v>18</v>
      </c>
      <c r="B3">
        <f>COUNTIF(Trades!M:M,"&gt;0")/COUNT(Trades!M:M)</f>
        <v>0.2857142857142857</v>
      </c>
    </row>
    <row r="4" spans="1:2" x14ac:dyDescent="0.25">
      <c r="A4" t="s">
        <v>20</v>
      </c>
      <c r="B4">
        <f>AVERAGE(Trades!M:M)</f>
        <v>8.2227142857143054</v>
      </c>
    </row>
    <row r="5" spans="1:2" x14ac:dyDescent="0.25">
      <c r="A5" t="s">
        <v>21</v>
      </c>
      <c r="B5">
        <f>SUM(Trades!M:M)</f>
        <v>115.11800000000028</v>
      </c>
    </row>
    <row r="6" spans="1:2" x14ac:dyDescent="0.25">
      <c r="A6" t="s">
        <v>13</v>
      </c>
      <c r="B6">
        <f>SUMIF(Trades!M:M,"&gt;0")/ABS(SUM(Trades!M:M,""&lt;0))</f>
        <v>1.4840424607793723</v>
      </c>
    </row>
    <row r="8" spans="1:2" x14ac:dyDescent="0.25">
      <c r="A8" t="s">
        <v>22</v>
      </c>
    </row>
    <row r="9" spans="1:2" x14ac:dyDescent="0.25">
      <c r="A9" t="s">
        <v>23</v>
      </c>
      <c r="B9">
        <f>MAX(Trades!M:M)</f>
        <v>80.400000000000034</v>
      </c>
    </row>
    <row r="10" spans="1:2" x14ac:dyDescent="0.25">
      <c r="A10" t="s">
        <v>24</v>
      </c>
      <c r="B10">
        <f>MIN(Trades!M:M)</f>
        <v>-23.399999999999981</v>
      </c>
    </row>
    <row r="11" spans="1:2" x14ac:dyDescent="0.25">
      <c r="A11" t="s">
        <v>25</v>
      </c>
      <c r="B11">
        <f>AVERAGEIF(Trades!M:M,"&gt;0")</f>
        <v>42.710000000000051</v>
      </c>
    </row>
    <row r="12" spans="1:2" x14ac:dyDescent="0.25">
      <c r="A12" t="s">
        <v>26</v>
      </c>
      <c r="B12">
        <f>AVERAGEIF(Trades!M:M,"&lt;0")</f>
        <v>-18.573999999999984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2026-03-06T17:14:46Z</dcterms:modified>
</cp:coreProperties>
</file>