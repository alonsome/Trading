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DACB4C0D-14DC-4C26-95C7-AF9BBD5ED4E1}"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 i="2" l="1"/>
  <c r="I13" i="2" s="1"/>
  <c r="H14" i="2"/>
  <c r="I14" i="2" s="1"/>
  <c r="A13" i="2"/>
  <c r="A14" i="2"/>
  <c r="D13" i="2"/>
  <c r="M18" i="1"/>
  <c r="K18" i="1"/>
  <c r="I18" i="1"/>
  <c r="A18" i="1"/>
  <c r="I17" i="1" l="1"/>
  <c r="K17" i="1" s="1"/>
  <c r="M17" i="1"/>
  <c r="C11" i="4" s="1"/>
  <c r="E11" i="4" s="1"/>
  <c r="B11" i="4"/>
  <c r="A17" i="1"/>
  <c r="M16" i="1"/>
  <c r="K16" i="1"/>
  <c r="I16" i="1"/>
  <c r="A16" i="1"/>
  <c r="H12" i="2"/>
  <c r="I12" i="2" s="1"/>
  <c r="D12" i="2"/>
  <c r="A12" i="2"/>
  <c r="A11" i="2"/>
  <c r="H10" i="2"/>
  <c r="I10" i="2" s="1"/>
  <c r="H11" i="2"/>
  <c r="I11" i="2" s="1"/>
  <c r="D11" i="2"/>
  <c r="A10" i="2"/>
  <c r="D7" i="2"/>
  <c r="D8" i="2"/>
  <c r="D9" i="2"/>
  <c r="D10" i="2"/>
  <c r="H9" i="2"/>
  <c r="I9" i="2" s="1"/>
  <c r="A9" i="2"/>
  <c r="K15" i="1"/>
  <c r="I15" i="1"/>
  <c r="A15" i="1"/>
  <c r="H8" i="2"/>
  <c r="D3" i="2"/>
  <c r="D4" i="2"/>
  <c r="D5" i="2"/>
  <c r="D6" i="2"/>
  <c r="D2" i="2"/>
  <c r="A8" i="2"/>
  <c r="H11" i="4" l="1"/>
  <c r="F11" i="4"/>
  <c r="G11" i="4" s="1"/>
  <c r="D11" i="4"/>
  <c r="M15" i="1"/>
  <c r="M4" i="1"/>
  <c r="K3" i="1"/>
  <c r="K5" i="1"/>
  <c r="K7" i="1"/>
  <c r="K9" i="1"/>
  <c r="K10" i="1"/>
  <c r="K11" i="1"/>
  <c r="K12" i="1"/>
  <c r="K13" i="1"/>
  <c r="K14" i="1"/>
  <c r="K2" i="1"/>
  <c r="I14" i="1"/>
  <c r="A14" i="1"/>
  <c r="M14" i="1" s="1"/>
  <c r="I13" i="1"/>
  <c r="A13" i="1"/>
  <c r="M13" i="1" s="1"/>
  <c r="I11" i="4" l="1"/>
  <c r="A7" i="2"/>
  <c r="I12" i="1"/>
  <c r="A12" i="1"/>
  <c r="A3" i="2"/>
  <c r="A4" i="2"/>
  <c r="A5" i="2"/>
  <c r="A6" i="2"/>
  <c r="I11" i="1"/>
  <c r="A11" i="1"/>
  <c r="M11" i="1" s="1"/>
  <c r="M10" i="1"/>
  <c r="I10" i="1"/>
  <c r="A10" i="1"/>
  <c r="I9" i="1"/>
  <c r="A9" i="1"/>
  <c r="D5" i="5"/>
  <c r="D4" i="5"/>
  <c r="I8" i="1"/>
  <c r="A8" i="1"/>
  <c r="M8" i="1" s="1"/>
  <c r="I7" i="1"/>
  <c r="A7" i="1"/>
  <c r="M7" i="1" s="1"/>
  <c r="D3" i="5"/>
  <c r="D2" i="5"/>
  <c r="I6" i="1"/>
  <c r="K6" i="1" s="1"/>
  <c r="A6" i="1"/>
  <c r="M6" i="1" s="1"/>
  <c r="I8" i="2" l="1"/>
  <c r="K8" i="1"/>
  <c r="I5" i="1"/>
  <c r="A5" i="1"/>
  <c r="I4" i="1"/>
  <c r="K4" i="1" s="1"/>
  <c r="A4" i="1"/>
  <c r="I3" i="1"/>
  <c r="A3" i="1"/>
  <c r="A2" i="1"/>
  <c r="B10" i="4"/>
  <c r="I2" i="1"/>
  <c r="H3" i="4"/>
  <c r="H4" i="4"/>
  <c r="H6" i="4"/>
  <c r="H7" i="4"/>
  <c r="H8" i="4"/>
  <c r="H12" i="4"/>
  <c r="F3" i="4"/>
  <c r="F4" i="4"/>
  <c r="F6" i="4"/>
  <c r="F7" i="4"/>
  <c r="F8" i="4"/>
  <c r="F12" i="4"/>
  <c r="D3" i="4"/>
  <c r="D4" i="4"/>
  <c r="D6" i="4"/>
  <c r="D7" i="4"/>
  <c r="D8" i="4"/>
  <c r="D12" i="4"/>
  <c r="C3" i="4"/>
  <c r="C4" i="4"/>
  <c r="C6" i="4"/>
  <c r="E6" i="4" s="1"/>
  <c r="C7" i="4"/>
  <c r="E7" i="4" s="1"/>
  <c r="C8" i="4"/>
  <c r="E8" i="4" s="1"/>
  <c r="C12" i="4"/>
  <c r="B9" i="4"/>
  <c r="B3" i="4"/>
  <c r="B4" i="4"/>
  <c r="B5" i="4"/>
  <c r="B6" i="4"/>
  <c r="B7" i="4"/>
  <c r="B8" i="4"/>
  <c r="B12" i="4"/>
  <c r="E4" i="4" l="1"/>
  <c r="E3" i="4"/>
  <c r="H4" i="2"/>
  <c r="M3" i="1" s="1"/>
  <c r="H5" i="2"/>
  <c r="H2" i="2"/>
  <c r="M2" i="1" s="1"/>
  <c r="H7" i="2"/>
  <c r="H6" i="2"/>
  <c r="I6" i="2" s="1"/>
  <c r="H3" i="2"/>
  <c r="I3" i="2" s="1"/>
  <c r="I4" i="4"/>
  <c r="I6" i="4"/>
  <c r="E12" i="4"/>
  <c r="I8" i="4"/>
  <c r="I7" i="4"/>
  <c r="I3" i="4"/>
  <c r="I12" i="4"/>
  <c r="G8" i="4"/>
  <c r="G12"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<sst xmlns="http://schemas.openxmlformats.org/spreadsheetml/2006/main" count="193" uniqueCount="117">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</sst>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Alignment="1">
      <alignment wrapText="1"/>
    </xf>
    <xf numFmtId="49" fontId="0" fillId="0" borderId="0" xfId="0" applyNumberFormat="1"/>
    <xf numFmtId="16" fontId="0" fillId="0" borderId="0" xfId="0" applyNumberFormat="1"/>
  </cellXfs>
  <cellStyles count="1">
    <cellStyle name="Normal" xfId="0" builtinId="0"/>
  </cellStyles>
  <dxfs count="3">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18"/>
  <sheetViews>
    <sheetView tabSelected="1" workbookViewId="0">
      <selection activeCell="O22" sqref="O22"/>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18"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30</v>
      </c>
      <c r="M7">
        <f>SUMIF(Executions!B:B,A7,Executions!H:H)</f>
        <v>0</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0</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75</v>
      </c>
      <c r="M13">
        <f>SUMIF(Executions!B:B,A13,Executions!H:H)</f>
        <v>-24.779999999999976</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30</v>
      </c>
      <c r="M14">
        <f>SUMIF(Executions!B:B,A14,Executions!H:H)</f>
        <v>0</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30</v>
      </c>
      <c r="M16">
        <f>SUMIF(Executions!B:B,A16,Executions!H:H)</f>
        <v>0</v>
      </c>
    </row>
    <row r="17" spans="1:13" x14ac:dyDescent="0.25">
      <c r="A17" t="str">
        <f t="shared" si="0"/>
        <v>T-016</v>
      </c>
      <c r="B17" s="1">
        <v>46090</v>
      </c>
      <c r="C17" t="s">
        <v>114</v>
      </c>
      <c r="D17" t="s">
        <v>28</v>
      </c>
      <c r="E17" t="s">
        <v>115</v>
      </c>
      <c r="F17">
        <v>24.88</v>
      </c>
      <c r="G17">
        <v>22.31</v>
      </c>
      <c r="H17">
        <v>4</v>
      </c>
      <c r="I17">
        <f t="shared" ref="I17:I18" si="3">IF(D17="Long",(F17-G17)*H17,(G17-F17)*0)</f>
        <v>10.280000000000001</v>
      </c>
      <c r="J17">
        <v>2</v>
      </c>
      <c r="K17">
        <f t="shared" ref="K17:K18" si="4">I17*J17</f>
        <v>20.560000000000002</v>
      </c>
      <c r="L17" t="s">
        <v>30</v>
      </c>
      <c r="M17">
        <f>SUMIF(Executions!B:B,A17,Executions!H:H)</f>
        <v>0</v>
      </c>
    </row>
    <row r="18" spans="1:13"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30</v>
      </c>
      <c r="M18">
        <f>SUMIF(Executions!B:B,A18,Executions!H:H)</f>
        <v>0</v>
      </c>
    </row>
  </sheetData>
  <conditionalFormatting sqref="M2:M18">
    <cfRule type="cellIs" dxfId="2" priority="1" operator="equal">
      <formula>0</formula>
    </cfRule>
    <cfRule type="cellIs" dxfId="1" priority="2" operator="lessThan">
      <formula>K2</formula>
    </cfRule>
    <cfRule type="cellIs" dxfId="0" priority="3" operator="greaterThan">
      <formula>K2</formula>
    </cfRule>
  </conditionalFormatting>
  <dataValidations count="3">
    <dataValidation type="list" allowBlank="1" showInputMessage="1" showErrorMessage="1" sqref="D2:D1048576" xr:uid="{7CC3C28F-4F55-4478-BFCD-3E2D4B39BBC5}">
      <formula1>"Long,Short"</formula1>
    </dataValidation>
    <dataValidation type="list" allowBlank="1" showInputMessage="1" showErrorMessage="1" sqref="E1 E19: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F958648C-BDD0-4279-9367-17373A7E8527}">
          <x14:formula1>
            <xm:f>Setups!$A$2:$A$12</xm:f>
          </x14:formula1>
          <xm:sqref>E3:E18</xm:sqref>
        </x14:dataValidation>
        <x14:dataValidation type="list" allowBlank="1" showInputMessage="1" showErrorMessage="1" xr:uid="{35AFC476-A1FB-4896-88D9-082697747CAE}">
          <x14:formula1>
            <xm:f>Setups!$A$2:$A$13</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14"/>
  <sheetViews>
    <sheetView workbookViewId="0">
      <selection activeCell="H13" sqref="H13"/>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14"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row r="13" spans="1:9" x14ac:dyDescent="0.25">
      <c r="A13">
        <f t="shared" si="0"/>
        <v>12</v>
      </c>
      <c r="B13" t="s">
        <v>116</v>
      </c>
      <c r="C13" s="1">
        <v>46093</v>
      </c>
      <c r="D13" t="str">
        <f>VLOOKUP(B13,Trades!A$1:M100011,3,FALSE)</f>
        <v>APPS</v>
      </c>
      <c r="E13" t="s">
        <v>64</v>
      </c>
      <c r="F13">
        <v>3.68</v>
      </c>
      <c r="G13">
        <v>42</v>
      </c>
      <c r="H13">
        <f>IF(VLOOKUP(B13,Trades!A:M,4,FALSE)="Long",(F13-VLOOKUP(B13,Trades!A:M,6,FALSE))*G13,(VLOOKUP(B13,Trades!A:M,6,FALSE)-F13)*G13)</f>
        <v>-24.779999999999976</v>
      </c>
      <c r="I13">
        <f>H13/Trades!I13</f>
        <v>-1.1346153846153844</v>
      </c>
    </row>
    <row r="14" spans="1:9" x14ac:dyDescent="0.25">
      <c r="A14">
        <f t="shared" si="0"/>
        <v>13</v>
      </c>
      <c r="H14" t="e">
        <f>IF(VLOOKUP(B14,Trades!A:M,4,FALSE)="Long",(F14-VLOOKUP(B14,Trades!A:M,6,FALSE))*G14,(VLOOKUP(B14,Trades!A:M,6,FALSE)-F14)*G14)</f>
        <v>#N/A</v>
      </c>
      <c r="I14" t="e">
        <f>H14/Trades!I14</f>
        <v>#N/A</v>
      </c>
    </row>
  </sheetData>
  <dataValidations count="2">
    <dataValidation type="list" allowBlank="1" showInputMessage="1" showErrorMessage="1" sqref="E14:E1048576" xr:uid="{05958E25-911C-4ED3-A0F6-7B25054B7856}">
      <formula1>$E$2:$E100013</formula1>
    </dataValidation>
    <dataValidation type="list" allowBlank="1" showInputMessage="1" showErrorMessage="1" sqref="E2:E13"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2"/>
  <sheetViews>
    <sheetView workbookViewId="0">
      <selection activeCell="B10" sqref="B10:I11"/>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2" si="0">IFERROR(C3/B3,0)</f>
        <v>0</v>
      </c>
      <c r="F3">
        <f>SUMIF(Trades!E:E,A3,Trades!M:M)</f>
        <v>0</v>
      </c>
      <c r="G3">
        <f t="shared" ref="G3:G12" si="1">IFERROR(F3/B3,0)</f>
        <v>0</v>
      </c>
      <c r="H3">
        <f>IFERROR( SUMIFS(Trades!M:M, Trades!E:E, A3, Trades!M:M, "&gt;0")/ABS(SUMIFS(Trades!M:M, Trades!E:E, A3, Trades!M:M,"&lt;0")),0)</f>
        <v>0</v>
      </c>
      <c r="I3">
        <f t="shared" ref="I3:I12" si="2">IFERROR(F3/B3,0)</f>
        <v>0</v>
      </c>
    </row>
    <row r="4" spans="1:10" x14ac:dyDescent="0.25">
      <c r="A4" t="s">
        <v>53</v>
      </c>
      <c r="B4">
        <f>COUNTIF(Trades!E:E,A4)</f>
        <v>0</v>
      </c>
      <c r="C4">
        <f>COUNTIFS(Trades!E:E, A4,Trades!M:M, "&gt;0")</f>
        <v>0</v>
      </c>
      <c r="D4">
        <f>COUNTIFS(Trades!E:E, A4, Trades!M:M, "&lt;0")</f>
        <v>0</v>
      </c>
      <c r="E4">
        <f t="shared" si="0"/>
        <v>0</v>
      </c>
      <c r="F4">
        <f>SUMIF(Trades!E:E,A4,Trades!M:M)</f>
        <v>0</v>
      </c>
      <c r="G4">
        <f t="shared" si="1"/>
        <v>0</v>
      </c>
      <c r="H4">
        <f>IFERROR( SUMIFS(Trades!M:M, Trades!E:E, A4, Trades!M:M, "&gt;0")/ABS(SUMIFS(Trades!M:M, Trades!E:E, A4, Trades!M:M,"&lt;0")),0)</f>
        <v>0</v>
      </c>
      <c r="I4">
        <f t="shared" si="2"/>
        <v>0</v>
      </c>
    </row>
    <row r="5" spans="1:10" x14ac:dyDescent="0.25">
      <c r="A5" t="s">
        <v>27</v>
      </c>
      <c r="B5">
        <f>COUNTIF(Trades!E:E,A5)</f>
        <v>1</v>
      </c>
      <c r="C5">
        <f>COUNTIFS(Trades!E:E, A5,Trades!M:M, "&gt;0")</f>
        <v>0</v>
      </c>
      <c r="D5">
        <f>COUNTIFS(Trades!E:E, A5, Trades!M:M, "&lt;0")</f>
        <v>0</v>
      </c>
      <c r="E5">
        <f t="shared" si="0"/>
        <v>0</v>
      </c>
      <c r="F5">
        <f>SUMIF(Trades!E:E,A5,Trades!M:M)</f>
        <v>0</v>
      </c>
      <c r="G5">
        <f t="shared" si="1"/>
        <v>0</v>
      </c>
      <c r="H5">
        <f>IFERROR( SUMIFS(Trades!M:M, Trades!E:E, A5, Trades!M:M, "&gt;0")/ABS(SUMIFS(Trades!M:M, Trades!E:E, A5, Trades!M:M,"&lt;0")),0)</f>
        <v>0</v>
      </c>
      <c r="I5">
        <f t="shared" si="2"/>
        <v>0</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0</v>
      </c>
      <c r="E8">
        <f t="shared" si="0"/>
        <v>0</v>
      </c>
      <c r="F8">
        <f>SUMIF(Trades!E:E,A8,Trades!M:M)</f>
        <v>0</v>
      </c>
      <c r="G8">
        <f t="shared" si="1"/>
        <v>0</v>
      </c>
      <c r="H8">
        <f>IFERROR( SUMIFS(Trades!M:M, Trades!E:E, A8, Trades!M:M, "&gt;0")/ABS(SUMIFS(Trades!M:M, Trades!E:E, A8, Trades!M:M,"&lt;0")),0)</f>
        <v>0</v>
      </c>
      <c r="I8">
        <f t="shared" si="2"/>
        <v>0</v>
      </c>
    </row>
    <row r="9" spans="1:10" x14ac:dyDescent="0.25">
      <c r="A9" t="s">
        <v>61</v>
      </c>
      <c r="B9">
        <f>COUNTIF(Trades!E:E,A9)</f>
        <v>6</v>
      </c>
      <c r="C9">
        <f>COUNTIFS(Trades!E:E, A9,Trades!M:M, "&gt;0")</f>
        <v>2</v>
      </c>
      <c r="D9">
        <f>COUNTIFS(Trades!E:E, A9, Trades!M:M, "&lt;0")</f>
        <v>1</v>
      </c>
      <c r="E9">
        <f>IFERROR(C9/B9,0)</f>
        <v>0.33333333333333331</v>
      </c>
      <c r="F9">
        <f>SUMIF(Trades!E:E,A9,Trades!M:M)</f>
        <v>61.665000000000049</v>
      </c>
      <c r="G9">
        <f t="shared" si="1"/>
        <v>10.277500000000009</v>
      </c>
      <c r="H9">
        <f>IFERROR( SUMIFS(Trades!M:M, Trades!E:E, A9, Trades!M:M, "&gt;0")/ABS(SUMIFS(Trades!M:M, Trades!E:E, A9, Trades!M:M,"&lt;0")),0)</f>
        <v>3.4234623698172535</v>
      </c>
      <c r="I9">
        <f t="shared" si="2"/>
        <v>10.277500000000009</v>
      </c>
    </row>
    <row r="10" spans="1:10" x14ac:dyDescent="0.25">
      <c r="A10" t="s">
        <v>63</v>
      </c>
      <c r="B10">
        <f>COUNTIF(Trades!E:E,A10)</f>
        <v>5</v>
      </c>
      <c r="C10">
        <f>COUNTIFS(Trades!E:E, A10,Trades!M:M, "&gt;0")</f>
        <v>0</v>
      </c>
      <c r="D10">
        <f>COUNTIFS(Trades!E:E, A10, Trades!M:M, "&lt;0")</f>
        <v>5</v>
      </c>
      <c r="E10">
        <f>IFERROR(C10/B10,0)</f>
        <v>0</v>
      </c>
      <c r="F10">
        <f>SUMIF(Trades!E:E,A10,Trades!M:M)</f>
        <v>-108.67199999999991</v>
      </c>
      <c r="G10">
        <f>IFERROR(F10/B10,0)</f>
        <v>-21.734399999999983</v>
      </c>
      <c r="H10">
        <f>IFERROR( SUMIFS(Trades!M:M, Trades!E:E, A10, Trades!M:M, "&gt;0")/ABS(SUMIFS(Trades!M:M, Trades!E:E, A10, Trades!M:M,"&lt;0")),0)</f>
        <v>0</v>
      </c>
      <c r="I10">
        <f>IFERROR(F10/B10,0)</f>
        <v>-21.734399999999983</v>
      </c>
    </row>
    <row r="11" spans="1:10" x14ac:dyDescent="0.25">
      <c r="A11" t="s">
        <v>115</v>
      </c>
      <c r="B11">
        <f>COUNTIF(Trades!E:E,A11)</f>
        <v>1</v>
      </c>
      <c r="C11">
        <f>COUNTIFS(Trades!E:E, A11,Trades!M:M, "&gt;0")</f>
        <v>0</v>
      </c>
      <c r="D11">
        <f>COUNTIFS(Trades!E:E, A11, Trades!M:M, "&lt;0")</f>
        <v>0</v>
      </c>
      <c r="E11">
        <f>IFERROR(C11/B11,0)</f>
        <v>0</v>
      </c>
      <c r="F11">
        <f>SUMIF(Trades!E:E,A11,Trades!M:M)</f>
        <v>0</v>
      </c>
      <c r="G11">
        <f>IFERROR(F11/B11,0)</f>
        <v>0</v>
      </c>
      <c r="H11">
        <f>IFERROR( SUMIFS(Trades!M:M, Trades!E:E, A11, Trades!M:M, "&gt;0")/ABS(SUMIFS(Trades!M:M, Trades!E:E, A11, Trades!M:M,"&lt;0")),0)</f>
        <v>0</v>
      </c>
      <c r="I11">
        <f>IFERROR(F11/B11,0)</f>
        <v>0</v>
      </c>
    </row>
    <row r="12" spans="1:10" x14ac:dyDescent="0.25">
      <c r="A12" t="s">
        <v>57</v>
      </c>
      <c r="B12">
        <f>COUNTIF(Trades!E:E,A12)</f>
        <v>0</v>
      </c>
      <c r="C12">
        <f>COUNTIFS(Trades!E:E, A12,Trades!M:M, "&gt;0")</f>
        <v>0</v>
      </c>
      <c r="D12">
        <f>COUNTIFS(Trades!E:E, A12, Trades!M:M, "&lt;0")</f>
        <v>0</v>
      </c>
      <c r="E12">
        <f t="shared" si="0"/>
        <v>0</v>
      </c>
      <c r="F12">
        <f>SUMIF(Trades!E:E,A12,Trades!M:M)</f>
        <v>0</v>
      </c>
      <c r="G12">
        <f t="shared" si="1"/>
        <v>0</v>
      </c>
      <c r="H12">
        <f>IFERROR( SUMIFS(Trades!M:M, Trades!E:E, A12, Trades!M:M, "&gt;0")/ABS(SUMIFS(Trades!M:M, Trades!E:E, A12, Trades!M:M,"&lt;0")),0)</f>
        <v>0</v>
      </c>
      <c r="I12">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3"/>
  <sheetViews>
    <sheetView workbookViewId="0">
      <selection activeCell="F4" sqref="F4"/>
    </sheetView>
  </sheetViews>
  <sheetFormatPr baseColWidth="10" defaultRowHeight="15" x14ac:dyDescent="0.25"/>
  <cols>
    <col min="3" max="3" width="12.7109375" bestFit="1" customWidth="1"/>
    <col min="6" max="6" width="85.2851562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sheetData>
  <dataValidations count="3">
    <dataValidation type="list" allowBlank="1" showInputMessage="1" showErrorMessage="1" sqref="C4:C1048576" xr:uid="{E90ED070-6DC6-4337-8AA1-210BB22EB913}">
      <formula1>"Emotiona,Technical"</formula1>
    </dataValidation>
    <dataValidation type="list" allowBlank="1" showInputMessage="1" showErrorMessage="1" sqref="C2:C3"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5"/>
  <sheetViews>
    <sheetView workbookViewId="0">
      <selection activeCell="H5" sqref="H5"/>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4">
        <v>46147</v>
      </c>
      <c r="G5" s="2" t="s">
        <v>94</v>
      </c>
      <c r="H5" t="s">
        <v>97</v>
      </c>
      <c r="I5" t="s">
        <v>70</v>
      </c>
      <c r="J5"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B13" sqref="B13"/>
    </sheetView>
  </sheetViews>
  <sheetFormatPr baseColWidth="10" defaultRowHeight="15" x14ac:dyDescent="0.25"/>
  <sheetData>
    <row r="1" spans="1:2" x14ac:dyDescent="0.25">
      <c r="A1" t="s">
        <v>19</v>
      </c>
    </row>
    <row r="2" spans="1:2" x14ac:dyDescent="0.25">
      <c r="A2" t="s">
        <v>17</v>
      </c>
      <c r="B2">
        <f>COUNTA(Trades!A:A)-1</f>
        <v>17</v>
      </c>
    </row>
    <row r="3" spans="1:2" x14ac:dyDescent="0.25">
      <c r="A3" t="s">
        <v>18</v>
      </c>
      <c r="B3">
        <f>COUNTIF(Trades!M:M,"&gt;0")/COUNT(Trades!M:M)</f>
        <v>0.23529411764705882</v>
      </c>
    </row>
    <row r="4" spans="1:2" x14ac:dyDescent="0.25">
      <c r="A4" t="s">
        <v>20</v>
      </c>
      <c r="B4">
        <f>AVERAGE(Trades!M:M)</f>
        <v>0.10076470588236992</v>
      </c>
    </row>
    <row r="5" spans="1:2" x14ac:dyDescent="0.25">
      <c r="A5" t="s">
        <v>21</v>
      </c>
      <c r="B5">
        <f>SUM(Trades!M:M)</f>
        <v>1.7130000000002887</v>
      </c>
    </row>
    <row r="6" spans="1:2" x14ac:dyDescent="0.25">
      <c r="A6" t="s">
        <v>13</v>
      </c>
      <c r="B6">
        <f>SUMIF(Trades!M:M,"&gt;0")/ABS(SUM(Trades!M:M,""&lt;0))</f>
        <v>99.731465265599184</v>
      </c>
    </row>
    <row r="8" spans="1:2" x14ac:dyDescent="0.25">
      <c r="A8" t="s">
        <v>22</v>
      </c>
    </row>
    <row r="9" spans="1:2" x14ac:dyDescent="0.25">
      <c r="A9" t="s">
        <v>23</v>
      </c>
      <c r="B9">
        <f>MAX(Trades!M:M)</f>
        <v>80.400000000000034</v>
      </c>
    </row>
    <row r="10" spans="1:2" x14ac:dyDescent="0.25">
      <c r="A10" t="s">
        <v>24</v>
      </c>
      <c r="B10">
        <f>MIN(Trades!M:M)</f>
        <v>-35.010000000000005</v>
      </c>
    </row>
    <row r="11" spans="1:2" x14ac:dyDescent="0.25">
      <c r="A11" t="s">
        <v>25</v>
      </c>
      <c r="B11">
        <f>AVERAGEIF(Trades!M:M,"&gt;0")</f>
        <v>42.710000000000051</v>
      </c>
    </row>
    <row r="12" spans="1:2" x14ac:dyDescent="0.25">
      <c r="A12" t="s">
        <v>26</v>
      </c>
      <c r="B12">
        <f>AVERAGEIF(Trades!M:M,"&lt;0")</f>
        <v>-24.160999999999991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2026-03-12T18:24:47Z</dcterms:modified>
</cp:coreProperties>
</file>