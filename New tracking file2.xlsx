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Zuriel\Documents\github\Trading\"/>
    </mc:Choice>
  </mc:AlternateContent>
  <xr:revisionPtr revIDLastSave="0" documentId="13_ncr:1_{E75BFF9F-8D68-41FA-B804-96C306B78869}" xr6:coauthVersionLast="47" xr6:coauthVersionMax="47" xr10:uidLastSave="{00000000-0000-0000-0000-000000000000}"/>
  <bookViews>
    <workbookView xWindow="-120" yWindow="-120" windowWidth="29040" windowHeight="15720" xr2:uid="{045517DB-0C92-4CAE-B507-36AB229E2600}"/>
  </bookViews>
  <sheets>
    <sheet name="Trades" sheetId="1" r:id="rId1"/>
    <sheet name="Executions" sheetId="2" r:id="rId2"/>
    <sheet name="Setups" sheetId="4" r:id="rId3"/>
    <sheet name="Mistakes" sheetId="3" r:id="rId4"/>
    <sheet name="Daily Journal" sheetId="5" r:id="rId5"/>
    <sheet name="Dashboard" sheetId="6" r:id="rId6"/>
  </sheets>
  <definedNames>
    <definedName name="_xlnm._FilterDatabase" localSheetId="0" hidden="1">Trades!$M$1:$M$79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05" i="2" l="1"/>
  <c r="D905" i="2"/>
  <c r="H905" i="2"/>
  <c r="I905" i="2" s="1"/>
  <c r="A904" i="2"/>
  <c r="D904" i="2"/>
  <c r="H904" i="2"/>
  <c r="I904" i="2" s="1"/>
  <c r="A903" i="2"/>
  <c r="D903" i="2"/>
  <c r="H903" i="2"/>
  <c r="I903" i="2" s="1"/>
  <c r="A902" i="2"/>
  <c r="D902" i="2"/>
  <c r="H902" i="2"/>
  <c r="I902" i="2" s="1"/>
  <c r="A901" i="2"/>
  <c r="D901" i="2"/>
  <c r="H901" i="2"/>
  <c r="I901" i="2" s="1"/>
  <c r="A876" i="1"/>
  <c r="H876" i="1"/>
  <c r="J876" i="1"/>
  <c r="L876" i="1" s="1"/>
  <c r="A875" i="1"/>
  <c r="H875" i="1"/>
  <c r="J875" i="1"/>
  <c r="L875" i="1" s="1"/>
  <c r="A900" i="2"/>
  <c r="A874" i="1"/>
  <c r="H874" i="1"/>
  <c r="J874" i="1"/>
  <c r="L874" i="1" s="1"/>
  <c r="A873" i="1"/>
  <c r="H873" i="1"/>
  <c r="J873" i="1"/>
  <c r="L873" i="1" s="1"/>
  <c r="A872" i="1"/>
  <c r="H872" i="1"/>
  <c r="J872" i="1"/>
  <c r="P872" i="1" s="1"/>
  <c r="A871" i="1"/>
  <c r="H871" i="1"/>
  <c r="J871" i="1"/>
  <c r="L871" i="1" s="1"/>
  <c r="A899" i="2"/>
  <c r="A898" i="2"/>
  <c r="A897" i="2"/>
  <c r="A896" i="2"/>
  <c r="A895" i="2"/>
  <c r="A870" i="1"/>
  <c r="H870" i="1"/>
  <c r="J870" i="1"/>
  <c r="L870" i="1" s="1"/>
  <c r="A894" i="2"/>
  <c r="A869" i="1"/>
  <c r="H869" i="1"/>
  <c r="J869" i="1"/>
  <c r="L869" i="1" s="1"/>
  <c r="A893" i="2"/>
  <c r="A868" i="1"/>
  <c r="H868" i="1"/>
  <c r="J868" i="1"/>
  <c r="L868" i="1" s="1"/>
  <c r="A867" i="1"/>
  <c r="H867" i="1"/>
  <c r="J867" i="1"/>
  <c r="L867" i="1" s="1"/>
  <c r="A892" i="2"/>
  <c r="A891" i="2"/>
  <c r="A866" i="1"/>
  <c r="H866" i="1"/>
  <c r="J866" i="1"/>
  <c r="L866" i="1" s="1"/>
  <c r="A865" i="1"/>
  <c r="H865" i="1"/>
  <c r="J865" i="1"/>
  <c r="L865" i="1" s="1"/>
  <c r="A864" i="1"/>
  <c r="H864" i="1"/>
  <c r="J864" i="1"/>
  <c r="R864" i="1" s="1"/>
  <c r="A863" i="1"/>
  <c r="H863" i="1"/>
  <c r="J863" i="1"/>
  <c r="L863" i="1" s="1"/>
  <c r="A890" i="2"/>
  <c r="A889" i="2"/>
  <c r="A888" i="2"/>
  <c r="A887" i="2"/>
  <c r="A886" i="2"/>
  <c r="A885" i="2"/>
  <c r="A884" i="2"/>
  <c r="A862" i="1"/>
  <c r="H862" i="1"/>
  <c r="J862" i="1"/>
  <c r="L862" i="1" s="1"/>
  <c r="A861" i="1"/>
  <c r="H861" i="1"/>
  <c r="J861" i="1"/>
  <c r="L861" i="1" s="1"/>
  <c r="A860" i="1"/>
  <c r="H860" i="1"/>
  <c r="J860" i="1"/>
  <c r="L860" i="1" s="1"/>
  <c r="A883" i="2"/>
  <c r="A859" i="1"/>
  <c r="H859" i="1"/>
  <c r="J859" i="1"/>
  <c r="L859" i="1" s="1"/>
  <c r="A858" i="1"/>
  <c r="H858" i="1"/>
  <c r="J858" i="1"/>
  <c r="L858" i="1" s="1"/>
  <c r="A857" i="1"/>
  <c r="H857" i="1"/>
  <c r="J857" i="1"/>
  <c r="L857" i="1" s="1"/>
  <c r="A856" i="1"/>
  <c r="H856" i="1"/>
  <c r="J856" i="1"/>
  <c r="L856" i="1" s="1"/>
  <c r="A855" i="1"/>
  <c r="H855" i="1"/>
  <c r="J855" i="1"/>
  <c r="L855" i="1" s="1"/>
  <c r="A882" i="2"/>
  <c r="A881" i="2"/>
  <c r="A880" i="2"/>
  <c r="A879" i="2"/>
  <c r="A878" i="2"/>
  <c r="A877" i="2"/>
  <c r="A876" i="2"/>
  <c r="A875" i="2"/>
  <c r="A874" i="2"/>
  <c r="A873" i="2"/>
  <c r="A872" i="2"/>
  <c r="A871" i="2"/>
  <c r="A854" i="1"/>
  <c r="H854" i="1"/>
  <c r="J854" i="1"/>
  <c r="L854" i="1" s="1"/>
  <c r="A853" i="1"/>
  <c r="H853" i="1"/>
  <c r="J853" i="1"/>
  <c r="L853" i="1" s="1"/>
  <c r="A852" i="1"/>
  <c r="H852" i="1"/>
  <c r="J852" i="1"/>
  <c r="L852" i="1" s="1"/>
  <c r="A851" i="1"/>
  <c r="H851" i="1"/>
  <c r="J851" i="1"/>
  <c r="L851" i="1" s="1"/>
  <c r="A850" i="1"/>
  <c r="H850" i="1"/>
  <c r="J850" i="1"/>
  <c r="L850" i="1" s="1"/>
  <c r="A849" i="1"/>
  <c r="H849" i="1"/>
  <c r="J849" i="1"/>
  <c r="L849" i="1" s="1"/>
  <c r="A848" i="1"/>
  <c r="H848" i="1"/>
  <c r="J848" i="1"/>
  <c r="L848" i="1" s="1"/>
  <c r="A847" i="1"/>
  <c r="H847" i="1"/>
  <c r="J847" i="1"/>
  <c r="L847" i="1" s="1"/>
  <c r="N876" i="1" l="1"/>
  <c r="O876" i="1" s="1"/>
  <c r="N872" i="1"/>
  <c r="O872" i="1" s="1"/>
  <c r="N874" i="1"/>
  <c r="O874" i="1" s="1"/>
  <c r="N875" i="1"/>
  <c r="O875" i="1" s="1"/>
  <c r="N873" i="1"/>
  <c r="O873" i="1" s="1"/>
  <c r="P876" i="1"/>
  <c r="R876" i="1"/>
  <c r="T876" i="1"/>
  <c r="S876" i="1"/>
  <c r="Q876" i="1"/>
  <c r="Q875" i="1"/>
  <c r="P875" i="1"/>
  <c r="T875" i="1"/>
  <c r="S875" i="1"/>
  <c r="R875" i="1"/>
  <c r="T874" i="1"/>
  <c r="R874" i="1"/>
  <c r="S874" i="1"/>
  <c r="Q874" i="1"/>
  <c r="P874" i="1"/>
  <c r="T873" i="1"/>
  <c r="S873" i="1"/>
  <c r="R873" i="1"/>
  <c r="Q873" i="1"/>
  <c r="P873" i="1"/>
  <c r="T872" i="1"/>
  <c r="S872" i="1"/>
  <c r="R872" i="1"/>
  <c r="Q872" i="1"/>
  <c r="L872" i="1"/>
  <c r="T871" i="1"/>
  <c r="P871" i="1"/>
  <c r="S871" i="1"/>
  <c r="R871" i="1"/>
  <c r="Q871" i="1"/>
  <c r="T870" i="1"/>
  <c r="S870" i="1"/>
  <c r="Q870" i="1"/>
  <c r="R870" i="1"/>
  <c r="P870" i="1"/>
  <c r="S869" i="1"/>
  <c r="R869" i="1"/>
  <c r="T869" i="1"/>
  <c r="Q869" i="1"/>
  <c r="P869" i="1"/>
  <c r="R868" i="1"/>
  <c r="T868" i="1"/>
  <c r="Q868" i="1"/>
  <c r="S868" i="1"/>
  <c r="P868" i="1"/>
  <c r="S867" i="1"/>
  <c r="R867" i="1"/>
  <c r="P867" i="1"/>
  <c r="T867" i="1"/>
  <c r="Q867" i="1"/>
  <c r="T866" i="1"/>
  <c r="S866" i="1"/>
  <c r="R866" i="1"/>
  <c r="Q866" i="1"/>
  <c r="P866" i="1"/>
  <c r="R865" i="1"/>
  <c r="T865" i="1"/>
  <c r="S865" i="1"/>
  <c r="Q865" i="1"/>
  <c r="P865" i="1"/>
  <c r="S864" i="1"/>
  <c r="T864" i="1"/>
  <c r="Q864" i="1"/>
  <c r="P864" i="1"/>
  <c r="L864" i="1"/>
  <c r="T863" i="1"/>
  <c r="R863" i="1"/>
  <c r="Q863" i="1"/>
  <c r="P863" i="1"/>
  <c r="S863" i="1"/>
  <c r="T862" i="1"/>
  <c r="S862" i="1"/>
  <c r="R862" i="1"/>
  <c r="Q862" i="1"/>
  <c r="P862" i="1"/>
  <c r="R861" i="1"/>
  <c r="Q861" i="1"/>
  <c r="P861" i="1"/>
  <c r="T861" i="1"/>
  <c r="S861" i="1"/>
  <c r="R860" i="1"/>
  <c r="T860" i="1"/>
  <c r="Q860" i="1"/>
  <c r="S860" i="1"/>
  <c r="P860" i="1"/>
  <c r="T859" i="1"/>
  <c r="S859" i="1"/>
  <c r="R859" i="1"/>
  <c r="Q859" i="1"/>
  <c r="P859" i="1"/>
  <c r="T858" i="1"/>
  <c r="S858" i="1"/>
  <c r="R858" i="1"/>
  <c r="Q858" i="1"/>
  <c r="P858" i="1"/>
  <c r="T857" i="1"/>
  <c r="S857" i="1"/>
  <c r="Q857" i="1"/>
  <c r="R857" i="1"/>
  <c r="P857" i="1"/>
  <c r="R856" i="1"/>
  <c r="S856" i="1"/>
  <c r="Q856" i="1"/>
  <c r="T856" i="1"/>
  <c r="P856" i="1"/>
  <c r="T855" i="1"/>
  <c r="S855" i="1"/>
  <c r="R855" i="1"/>
  <c r="Q855" i="1"/>
  <c r="P855" i="1"/>
  <c r="Q853" i="1"/>
  <c r="T854" i="1"/>
  <c r="R851" i="1"/>
  <c r="S854" i="1"/>
  <c r="P854" i="1"/>
  <c r="R854" i="1"/>
  <c r="T852" i="1"/>
  <c r="Q854" i="1"/>
  <c r="T853" i="1"/>
  <c r="S852" i="1"/>
  <c r="T851" i="1"/>
  <c r="S853" i="1"/>
  <c r="S851" i="1"/>
  <c r="R853" i="1"/>
  <c r="P853" i="1"/>
  <c r="R849" i="1"/>
  <c r="T850" i="1"/>
  <c r="R852" i="1"/>
  <c r="Q852" i="1"/>
  <c r="P852" i="1"/>
  <c r="S848" i="1"/>
  <c r="R848" i="1"/>
  <c r="P850" i="1"/>
  <c r="P849" i="1"/>
  <c r="Q851" i="1"/>
  <c r="P851" i="1"/>
  <c r="T847" i="1"/>
  <c r="P848" i="1"/>
  <c r="S850" i="1"/>
  <c r="R850" i="1"/>
  <c r="Q850" i="1"/>
  <c r="T849" i="1"/>
  <c r="S849" i="1"/>
  <c r="Q849" i="1"/>
  <c r="T848" i="1"/>
  <c r="S847" i="1"/>
  <c r="Q848" i="1"/>
  <c r="R847" i="1"/>
  <c r="Q847" i="1"/>
  <c r="P847" i="1"/>
  <c r="A846" i="1" l="1"/>
  <c r="H846" i="1"/>
  <c r="J846" i="1"/>
  <c r="L846" i="1" s="1"/>
  <c r="A870" i="2"/>
  <c r="A869" i="2"/>
  <c r="A868" i="2"/>
  <c r="A845" i="1"/>
  <c r="H845" i="1"/>
  <c r="J845" i="1"/>
  <c r="L845" i="1" s="1"/>
  <c r="A867" i="2"/>
  <c r="A844" i="1"/>
  <c r="H844" i="1"/>
  <c r="J844" i="1"/>
  <c r="L844" i="1" s="1"/>
  <c r="A843" i="1"/>
  <c r="H843" i="1"/>
  <c r="J843" i="1"/>
  <c r="L843" i="1" s="1"/>
  <c r="A842" i="1"/>
  <c r="H842" i="1"/>
  <c r="J842" i="1"/>
  <c r="L842" i="1" s="1"/>
  <c r="A841" i="1"/>
  <c r="H841" i="1"/>
  <c r="J841" i="1"/>
  <c r="L841" i="1" s="1"/>
  <c r="A840" i="1"/>
  <c r="H840" i="1"/>
  <c r="J840" i="1"/>
  <c r="L840" i="1" s="1"/>
  <c r="A839" i="1"/>
  <c r="H839" i="1"/>
  <c r="J839" i="1"/>
  <c r="L839" i="1" s="1"/>
  <c r="A866" i="2"/>
  <c r="A865" i="2"/>
  <c r="A864" i="2"/>
  <c r="A838" i="1"/>
  <c r="H838" i="1"/>
  <c r="J838" i="1"/>
  <c r="P838" i="1" s="1"/>
  <c r="A863" i="2"/>
  <c r="A862" i="2"/>
  <c r="A837" i="1"/>
  <c r="H837" i="1"/>
  <c r="J837" i="1"/>
  <c r="L837" i="1" s="1"/>
  <c r="A836" i="1"/>
  <c r="H836" i="1"/>
  <c r="J836" i="1"/>
  <c r="L836" i="1" s="1"/>
  <c r="A861" i="2"/>
  <c r="A835" i="1"/>
  <c r="H835" i="1"/>
  <c r="J835" i="1"/>
  <c r="L835" i="1" s="1"/>
  <c r="A834" i="1"/>
  <c r="H834" i="1"/>
  <c r="J834" i="1"/>
  <c r="L834" i="1" s="1"/>
  <c r="A860" i="2"/>
  <c r="A833" i="1"/>
  <c r="H833" i="1"/>
  <c r="J833" i="1"/>
  <c r="L833" i="1" s="1"/>
  <c r="J832" i="1"/>
  <c r="L832" i="1" s="1"/>
  <c r="H832" i="1"/>
  <c r="A832" i="1"/>
  <c r="A859" i="2"/>
  <c r="A858" i="2"/>
  <c r="A857" i="2"/>
  <c r="A856" i="2"/>
  <c r="A855" i="2"/>
  <c r="A854" i="2"/>
  <c r="A831" i="1"/>
  <c r="H831" i="1"/>
  <c r="J831" i="1"/>
  <c r="L831" i="1" s="1"/>
  <c r="A830" i="1"/>
  <c r="H830" i="1"/>
  <c r="J830" i="1"/>
  <c r="Q830" i="1" s="1"/>
  <c r="A829" i="1"/>
  <c r="H829" i="1"/>
  <c r="J829" i="1"/>
  <c r="L829" i="1" s="1"/>
  <c r="A853" i="2"/>
  <c r="A828" i="1"/>
  <c r="H828" i="1"/>
  <c r="J828" i="1"/>
  <c r="P828" i="1" s="1"/>
  <c r="A827" i="1"/>
  <c r="H827" i="1"/>
  <c r="J827" i="1"/>
  <c r="L827" i="1" s="1"/>
  <c r="A826" i="1"/>
  <c r="H826" i="1"/>
  <c r="J826" i="1"/>
  <c r="L826" i="1" s="1"/>
  <c r="A825" i="1"/>
  <c r="H825" i="1"/>
  <c r="J825" i="1"/>
  <c r="L825" i="1" s="1"/>
  <c r="A824" i="1"/>
  <c r="N824" i="1" s="1"/>
  <c r="H824" i="1"/>
  <c r="J824" i="1"/>
  <c r="L824" i="1" s="1"/>
  <c r="A852" i="2"/>
  <c r="A851" i="2"/>
  <c r="A823" i="1"/>
  <c r="H823" i="1"/>
  <c r="J823" i="1"/>
  <c r="L823" i="1" s="1"/>
  <c r="A822" i="1"/>
  <c r="H822" i="1"/>
  <c r="J822" i="1"/>
  <c r="L822" i="1" s="1"/>
  <c r="A850" i="2"/>
  <c r="A849" i="2"/>
  <c r="A848" i="2"/>
  <c r="A847" i="2"/>
  <c r="A821" i="1"/>
  <c r="H821" i="1"/>
  <c r="J821" i="1"/>
  <c r="L821" i="1" s="1"/>
  <c r="A820" i="1"/>
  <c r="H820" i="1"/>
  <c r="J820" i="1"/>
  <c r="L820" i="1" s="1"/>
  <c r="A819" i="1"/>
  <c r="H819" i="1"/>
  <c r="J819" i="1"/>
  <c r="L819" i="1" s="1"/>
  <c r="A846" i="2"/>
  <c r="A818" i="1"/>
  <c r="H818" i="1"/>
  <c r="J818" i="1"/>
  <c r="L818" i="1" s="1"/>
  <c r="A817" i="1"/>
  <c r="H817" i="1"/>
  <c r="J817" i="1"/>
  <c r="L817" i="1" s="1"/>
  <c r="A845" i="2"/>
  <c r="A844" i="2"/>
  <c r="A843" i="2"/>
  <c r="A842" i="2"/>
  <c r="A816" i="1"/>
  <c r="H816" i="1"/>
  <c r="J816" i="1"/>
  <c r="L816" i="1" s="1"/>
  <c r="A815" i="1"/>
  <c r="H815" i="1"/>
  <c r="J815" i="1"/>
  <c r="L815" i="1" s="1"/>
  <c r="A814" i="1"/>
  <c r="H814" i="1"/>
  <c r="J814" i="1"/>
  <c r="L814" i="1" s="1"/>
  <c r="A841" i="2"/>
  <c r="A840" i="2"/>
  <c r="A839" i="2"/>
  <c r="A838" i="2"/>
  <c r="A813" i="1"/>
  <c r="H813" i="1"/>
  <c r="J813" i="1"/>
  <c r="L813" i="1" s="1"/>
  <c r="A812" i="1"/>
  <c r="H812" i="1"/>
  <c r="J812" i="1"/>
  <c r="L812" i="1" s="1"/>
  <c r="A811" i="1"/>
  <c r="H811" i="1"/>
  <c r="J811" i="1"/>
  <c r="L811" i="1" s="1"/>
  <c r="A810" i="1"/>
  <c r="H810" i="1"/>
  <c r="J810" i="1"/>
  <c r="L810" i="1" s="1"/>
  <c r="A809" i="1"/>
  <c r="H809" i="1"/>
  <c r="J809" i="1"/>
  <c r="L809" i="1" s="1"/>
  <c r="A837" i="2"/>
  <c r="A836" i="2"/>
  <c r="A808" i="1"/>
  <c r="H808" i="1"/>
  <c r="J808" i="1"/>
  <c r="L808" i="1" s="1"/>
  <c r="A835" i="2"/>
  <c r="A834" i="2"/>
  <c r="A807" i="1"/>
  <c r="H807" i="1"/>
  <c r="J807" i="1"/>
  <c r="L807" i="1" s="1"/>
  <c r="A833" i="2"/>
  <c r="A832" i="2"/>
  <c r="A806" i="1"/>
  <c r="H806" i="1"/>
  <c r="J806" i="1"/>
  <c r="L806" i="1" s="1"/>
  <c r="A805" i="1"/>
  <c r="H805" i="1"/>
  <c r="J805" i="1"/>
  <c r="L805" i="1" s="1"/>
  <c r="A831" i="2"/>
  <c r="A804" i="1"/>
  <c r="H804" i="1"/>
  <c r="J804" i="1"/>
  <c r="L804" i="1" s="1"/>
  <c r="A830" i="2"/>
  <c r="A803" i="1"/>
  <c r="H803" i="1"/>
  <c r="J803" i="1"/>
  <c r="L803" i="1" s="1"/>
  <c r="A802" i="1"/>
  <c r="H802" i="1"/>
  <c r="J802" i="1"/>
  <c r="L802" i="1" s="1"/>
  <c r="A801" i="1"/>
  <c r="H801" i="1"/>
  <c r="J801" i="1"/>
  <c r="L801" i="1" s="1"/>
  <c r="A829" i="2"/>
  <c r="A800" i="1"/>
  <c r="H800" i="1"/>
  <c r="J800" i="1"/>
  <c r="L800" i="1" s="1"/>
  <c r="A828" i="2"/>
  <c r="D9" i="4"/>
  <c r="F9" i="4"/>
  <c r="H9" i="4"/>
  <c r="C9" i="4"/>
  <c r="B8" i="4"/>
  <c r="B9" i="4"/>
  <c r="A827" i="2"/>
  <c r="A826" i="2"/>
  <c r="A825" i="2"/>
  <c r="A824" i="2"/>
  <c r="A799" i="1"/>
  <c r="H799" i="1"/>
  <c r="J799" i="1"/>
  <c r="L799" i="1" s="1"/>
  <c r="A823" i="2"/>
  <c r="A798" i="1"/>
  <c r="H798" i="1"/>
  <c r="J798" i="1"/>
  <c r="L798" i="1" s="1"/>
  <c r="A822" i="2"/>
  <c r="A821" i="2"/>
  <c r="A820" i="2"/>
  <c r="A797" i="1"/>
  <c r="H797" i="1"/>
  <c r="J797" i="1"/>
  <c r="L797" i="1" s="1"/>
  <c r="A796" i="1"/>
  <c r="H796" i="1"/>
  <c r="J796" i="1"/>
  <c r="L796" i="1" s="1"/>
  <c r="A795" i="1"/>
  <c r="H795" i="1"/>
  <c r="J795" i="1"/>
  <c r="L795" i="1" s="1"/>
  <c r="A794" i="1"/>
  <c r="H794" i="1"/>
  <c r="J794" i="1"/>
  <c r="L794" i="1" s="1"/>
  <c r="A793" i="1"/>
  <c r="H793" i="1"/>
  <c r="J793" i="1"/>
  <c r="L793" i="1" s="1"/>
  <c r="A792" i="1"/>
  <c r="H792" i="1"/>
  <c r="J792" i="1"/>
  <c r="L792" i="1" s="1"/>
  <c r="A819" i="2"/>
  <c r="A818" i="2"/>
  <c r="A817" i="2"/>
  <c r="A816" i="2"/>
  <c r="A815" i="2"/>
  <c r="A814" i="2"/>
  <c r="A813" i="2"/>
  <c r="A791" i="1"/>
  <c r="H791" i="1"/>
  <c r="J791" i="1"/>
  <c r="L791" i="1" s="1"/>
  <c r="A790" i="1"/>
  <c r="H790" i="1"/>
  <c r="J790" i="1"/>
  <c r="L790" i="1" s="1"/>
  <c r="A812" i="2"/>
  <c r="A789" i="1"/>
  <c r="H789" i="1"/>
  <c r="J789" i="1"/>
  <c r="L789" i="1" s="1"/>
  <c r="A788" i="1"/>
  <c r="H788" i="1"/>
  <c r="J788" i="1"/>
  <c r="L788" i="1" s="1"/>
  <c r="A787" i="1"/>
  <c r="H787" i="1"/>
  <c r="J787" i="1"/>
  <c r="L787" i="1" s="1"/>
  <c r="A811" i="2"/>
  <c r="A786" i="1"/>
  <c r="H786" i="1"/>
  <c r="J786" i="1"/>
  <c r="L786" i="1" s="1"/>
  <c r="A785" i="1"/>
  <c r="H785" i="1"/>
  <c r="J785" i="1"/>
  <c r="L785" i="1" s="1"/>
  <c r="A784" i="1"/>
  <c r="H784" i="1"/>
  <c r="J784" i="1"/>
  <c r="L784" i="1" s="1"/>
  <c r="A783" i="1"/>
  <c r="H783" i="1"/>
  <c r="J783" i="1"/>
  <c r="L783" i="1" s="1"/>
  <c r="A810" i="2"/>
  <c r="A809" i="2"/>
  <c r="A808" i="2"/>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A807" i="2"/>
  <c r="A806" i="2"/>
  <c r="A805" i="2"/>
  <c r="A804" i="2"/>
  <c r="A782" i="1"/>
  <c r="J782" i="1"/>
  <c r="L782" i="1" s="1"/>
  <c r="A803" i="2"/>
  <c r="A781" i="1"/>
  <c r="J781" i="1"/>
  <c r="L781" i="1" s="1"/>
  <c r="A780" i="1"/>
  <c r="J780" i="1"/>
  <c r="L780" i="1" s="1"/>
  <c r="A802" i="2"/>
  <c r="A801" i="2"/>
  <c r="A779" i="1"/>
  <c r="J779" i="1"/>
  <c r="L779" i="1" s="1"/>
  <c r="A778" i="1"/>
  <c r="J778" i="1"/>
  <c r="L778" i="1" s="1"/>
  <c r="A777" i="1"/>
  <c r="J777" i="1"/>
  <c r="L777" i="1" s="1"/>
  <c r="A776" i="1"/>
  <c r="J776" i="1"/>
  <c r="L776" i="1" s="1"/>
  <c r="A775" i="1"/>
  <c r="J775" i="1"/>
  <c r="L775" i="1" s="1"/>
  <c r="A774" i="1"/>
  <c r="J774" i="1"/>
  <c r="L774" i="1" s="1"/>
  <c r="A800" i="2"/>
  <c r="A799" i="2"/>
  <c r="A798" i="2"/>
  <c r="A797" i="2"/>
  <c r="A796" i="2"/>
  <c r="A773" i="1"/>
  <c r="J773" i="1"/>
  <c r="L773" i="1" s="1"/>
  <c r="A772" i="1"/>
  <c r="J772" i="1"/>
  <c r="L772" i="1" s="1"/>
  <c r="A771" i="1"/>
  <c r="J771" i="1"/>
  <c r="L771" i="1" s="1"/>
  <c r="A795" i="2"/>
  <c r="A770" i="1"/>
  <c r="J770" i="1"/>
  <c r="L770" i="1" s="1"/>
  <c r="A769" i="1"/>
  <c r="J769" i="1"/>
  <c r="L769" i="1" s="1"/>
  <c r="A768" i="1"/>
  <c r="J768" i="1"/>
  <c r="L768" i="1" s="1"/>
  <c r="A767" i="1"/>
  <c r="J767" i="1"/>
  <c r="S767" i="1" s="1"/>
  <c r="A794" i="2"/>
  <c r="A793" i="2"/>
  <c r="A766" i="1"/>
  <c r="J766" i="1"/>
  <c r="L766" i="1" s="1"/>
  <c r="A792" i="2"/>
  <c r="A791" i="2"/>
  <c r="A790" i="2"/>
  <c r="A789" i="2"/>
  <c r="A765" i="1"/>
  <c r="J765" i="1"/>
  <c r="L765" i="1" s="1"/>
  <c r="A788" i="2"/>
  <c r="A764" i="1"/>
  <c r="J764" i="1"/>
  <c r="L764" i="1" s="1"/>
  <c r="A763" i="1"/>
  <c r="J763" i="1"/>
  <c r="L763" i="1" s="1"/>
  <c r="A787" i="2"/>
  <c r="A762" i="1"/>
  <c r="J762" i="1"/>
  <c r="L762" i="1" s="1"/>
  <c r="A761" i="1"/>
  <c r="J761" i="1"/>
  <c r="L761" i="1" s="1"/>
  <c r="A760" i="1"/>
  <c r="J760" i="1"/>
  <c r="L760" i="1" s="1"/>
  <c r="A759" i="1"/>
  <c r="J759" i="1"/>
  <c r="L759" i="1" s="1"/>
  <c r="A786" i="2"/>
  <c r="A785" i="2"/>
  <c r="A758" i="1"/>
  <c r="J758" i="1"/>
  <c r="L758" i="1" s="1"/>
  <c r="A784" i="2"/>
  <c r="A783" i="2"/>
  <c r="A782" i="2"/>
  <c r="A781" i="2"/>
  <c r="A780" i="2"/>
  <c r="A757" i="1"/>
  <c r="J757" i="1"/>
  <c r="L757" i="1" s="1"/>
  <c r="A756" i="1"/>
  <c r="J756" i="1"/>
  <c r="L756" i="1" s="1"/>
  <c r="A755" i="1"/>
  <c r="J755" i="1"/>
  <c r="L755" i="1" s="1"/>
  <c r="A779" i="2"/>
  <c r="A754" i="1"/>
  <c r="J754" i="1"/>
  <c r="L754" i="1" s="1"/>
  <c r="J753" i="1"/>
  <c r="Q753" i="1" s="1"/>
  <c r="A753" i="1"/>
  <c r="A752" i="1"/>
  <c r="J752" i="1"/>
  <c r="L752" i="1" s="1"/>
  <c r="A751" i="1"/>
  <c r="J751" i="1"/>
  <c r="L751" i="1" s="1"/>
  <c r="A750" i="1"/>
  <c r="J750" i="1"/>
  <c r="R750" i="1" s="1"/>
  <c r="A778" i="2"/>
  <c r="A777" i="2"/>
  <c r="A776" i="2"/>
  <c r="A775" i="2"/>
  <c r="A774" i="2"/>
  <c r="A773" i="2"/>
  <c r="A749" i="1"/>
  <c r="J749" i="1"/>
  <c r="L749" i="1" s="1"/>
  <c r="A748" i="1"/>
  <c r="J748" i="1"/>
  <c r="L748" i="1" s="1"/>
  <c r="A772" i="2"/>
  <c r="A771" i="2"/>
  <c r="A747" i="1"/>
  <c r="J747" i="1"/>
  <c r="L747" i="1" s="1"/>
  <c r="A770" i="2"/>
  <c r="J746" i="1"/>
  <c r="L746" i="1" s="1"/>
  <c r="A746" i="1"/>
  <c r="A769" i="2"/>
  <c r="A745" i="1"/>
  <c r="J745" i="1"/>
  <c r="L745" i="1" s="1"/>
  <c r="A744" i="1"/>
  <c r="J744" i="1"/>
  <c r="L744" i="1" s="1"/>
  <c r="A768" i="2"/>
  <c r="A743" i="1"/>
  <c r="J743" i="1"/>
  <c r="L743" i="1" s="1"/>
  <c r="A742" i="1"/>
  <c r="J742" i="1"/>
  <c r="L742" i="1" s="1"/>
  <c r="A741" i="1"/>
  <c r="J741" i="1"/>
  <c r="L741" i="1" s="1"/>
  <c r="A740" i="1"/>
  <c r="J740" i="1"/>
  <c r="L740" i="1" s="1"/>
  <c r="A739" i="1"/>
  <c r="J739" i="1"/>
  <c r="L739" i="1" s="1"/>
  <c r="A767" i="2"/>
  <c r="A766" i="2"/>
  <c r="A765" i="2"/>
  <c r="A764" i="2"/>
  <c r="A763" i="2"/>
  <c r="A762" i="2"/>
  <c r="A738" i="1"/>
  <c r="J738" i="1"/>
  <c r="P738" i="1" s="1"/>
  <c r="A737" i="1"/>
  <c r="J737" i="1"/>
  <c r="L737" i="1" s="1"/>
  <c r="A761" i="2"/>
  <c r="A736" i="1"/>
  <c r="J736" i="1"/>
  <c r="L736" i="1" s="1"/>
  <c r="A760" i="2"/>
  <c r="A735" i="1"/>
  <c r="J735" i="1"/>
  <c r="L735" i="1" s="1"/>
  <c r="A734" i="1"/>
  <c r="J734" i="1"/>
  <c r="S734" i="1" s="1"/>
  <c r="A733" i="1"/>
  <c r="J733" i="1"/>
  <c r="L733" i="1" s="1"/>
  <c r="A732" i="1"/>
  <c r="J732" i="1"/>
  <c r="L732" i="1" s="1"/>
  <c r="A731" i="1"/>
  <c r="J731" i="1"/>
  <c r="L731" i="1" s="1"/>
  <c r="A759" i="2"/>
  <c r="A758" i="2"/>
  <c r="A757" i="2"/>
  <c r="A756" i="2"/>
  <c r="A755" i="2"/>
  <c r="A754" i="2"/>
  <c r="A730" i="1"/>
  <c r="J730" i="1"/>
  <c r="L730" i="1" s="1"/>
  <c r="A729" i="1"/>
  <c r="J729" i="1"/>
  <c r="L729" i="1" s="1"/>
  <c r="A728" i="1"/>
  <c r="J728" i="1"/>
  <c r="L728" i="1" s="1"/>
  <c r="A753" i="2"/>
  <c r="A727" i="1"/>
  <c r="J727" i="1"/>
  <c r="L727" i="1" s="1"/>
  <c r="A752" i="2"/>
  <c r="A726" i="1"/>
  <c r="J726" i="1"/>
  <c r="L726" i="1" s="1"/>
  <c r="A725" i="1"/>
  <c r="J725" i="1"/>
  <c r="L725" i="1" s="1"/>
  <c r="A751" i="2"/>
  <c r="A724" i="1"/>
  <c r="J724" i="1"/>
  <c r="L724" i="1" s="1"/>
  <c r="A723" i="1"/>
  <c r="J723" i="1"/>
  <c r="L723" i="1" s="1"/>
  <c r="A722" i="1"/>
  <c r="J722" i="1"/>
  <c r="L722" i="1" s="1"/>
  <c r="A750" i="2"/>
  <c r="A749" i="2"/>
  <c r="A748" i="2"/>
  <c r="A747" i="2"/>
  <c r="A746" i="2"/>
  <c r="A745" i="2"/>
  <c r="A744" i="2"/>
  <c r="A721" i="1"/>
  <c r="J721" i="1"/>
  <c r="L721" i="1" s="1"/>
  <c r="A720" i="1"/>
  <c r="J720" i="1"/>
  <c r="L720" i="1" s="1"/>
  <c r="A719" i="1"/>
  <c r="J719" i="1"/>
  <c r="L719" i="1" s="1"/>
  <c r="A718" i="1"/>
  <c r="J718" i="1"/>
  <c r="L718" i="1" s="1"/>
  <c r="A717" i="1"/>
  <c r="J717" i="1"/>
  <c r="L717" i="1" s="1"/>
  <c r="A743" i="2"/>
  <c r="A742" i="2"/>
  <c r="A716" i="1"/>
  <c r="J716" i="1"/>
  <c r="L716" i="1" s="1"/>
  <c r="A741" i="2"/>
  <c r="A740" i="2"/>
  <c r="A715" i="1"/>
  <c r="J715" i="1"/>
  <c r="L715" i="1" s="1"/>
  <c r="A714" i="1"/>
  <c r="J714" i="1"/>
  <c r="L714" i="1" s="1"/>
  <c r="A739" i="2"/>
  <c r="A713" i="1"/>
  <c r="J713" i="1"/>
  <c r="L713" i="1" s="1"/>
  <c r="A712" i="1"/>
  <c r="J712" i="1"/>
  <c r="L712" i="1" s="1"/>
  <c r="A711" i="1"/>
  <c r="J711" i="1"/>
  <c r="S711" i="1" s="1"/>
  <c r="A738" i="2"/>
  <c r="A737" i="2"/>
  <c r="A736" i="2"/>
  <c r="A735" i="2"/>
  <c r="A710" i="1"/>
  <c r="J710" i="1"/>
  <c r="L710" i="1" s="1"/>
  <c r="A734" i="2"/>
  <c r="A709" i="1"/>
  <c r="J709" i="1"/>
  <c r="L709" i="1" s="1"/>
  <c r="A733" i="2"/>
  <c r="A708" i="1"/>
  <c r="J708" i="1"/>
  <c r="L708" i="1" s="1"/>
  <c r="A732" i="2"/>
  <c r="A707" i="1"/>
  <c r="J707" i="1"/>
  <c r="L707" i="1" s="1"/>
  <c r="A706" i="1"/>
  <c r="J706" i="1"/>
  <c r="L706" i="1" s="1"/>
  <c r="A705" i="1"/>
  <c r="J705" i="1"/>
  <c r="L705" i="1" s="1"/>
  <c r="A731" i="2"/>
  <c r="A704" i="1"/>
  <c r="J704" i="1"/>
  <c r="L704" i="1" s="1"/>
  <c r="A703" i="1"/>
  <c r="J703" i="1"/>
  <c r="L703" i="1" s="1"/>
  <c r="A702" i="1"/>
  <c r="J702" i="1"/>
  <c r="L702" i="1" s="1"/>
  <c r="A730" i="2"/>
  <c r="A729" i="2"/>
  <c r="A728" i="2"/>
  <c r="A727" i="2"/>
  <c r="A701" i="1"/>
  <c r="J701" i="1"/>
  <c r="L701" i="1" s="1"/>
  <c r="A726" i="2"/>
  <c r="A725" i="2"/>
  <c r="A700" i="1"/>
  <c r="J700" i="1"/>
  <c r="L700" i="1" s="1"/>
  <c r="A724" i="2"/>
  <c r="A699" i="1"/>
  <c r="J699" i="1"/>
  <c r="L699" i="1" s="1"/>
  <c r="A698" i="1"/>
  <c r="J698" i="1"/>
  <c r="L698" i="1" s="1"/>
  <c r="A723" i="2"/>
  <c r="A697" i="1"/>
  <c r="J697" i="1"/>
  <c r="L697" i="1" s="1"/>
  <c r="A722" i="2"/>
  <c r="A721" i="2"/>
  <c r="A696" i="1"/>
  <c r="J696" i="1"/>
  <c r="L696" i="1" s="1"/>
  <c r="A695" i="1"/>
  <c r="J695" i="1"/>
  <c r="L695" i="1" s="1"/>
  <c r="A694" i="1"/>
  <c r="J694" i="1"/>
  <c r="P694" i="1" s="1"/>
  <c r="A720" i="2"/>
  <c r="A719" i="2"/>
  <c r="A718" i="2"/>
  <c r="A717" i="2"/>
  <c r="A693" i="1"/>
  <c r="J693" i="1"/>
  <c r="L693" i="1" s="1"/>
  <c r="A692" i="1"/>
  <c r="J692" i="1"/>
  <c r="L692" i="1" s="1"/>
  <c r="A691" i="1"/>
  <c r="J691" i="1"/>
  <c r="L691" i="1" s="1"/>
  <c r="A716" i="2"/>
  <c r="A715" i="2"/>
  <c r="A690" i="1"/>
  <c r="J690" i="1"/>
  <c r="L690" i="1" s="1"/>
  <c r="A689" i="1"/>
  <c r="J689" i="1"/>
  <c r="L689" i="1" s="1"/>
  <c r="A714" i="2"/>
  <c r="A688" i="1"/>
  <c r="J688" i="1"/>
  <c r="L688" i="1" s="1"/>
  <c r="A687" i="1"/>
  <c r="J687" i="1"/>
  <c r="L687" i="1" s="1"/>
  <c r="A713" i="2"/>
  <c r="A712" i="2"/>
  <c r="A686" i="1"/>
  <c r="J686" i="1"/>
  <c r="L686" i="1" s="1"/>
  <c r="A711" i="2"/>
  <c r="A710" i="2"/>
  <c r="A709" i="2"/>
  <c r="A685" i="1"/>
  <c r="J685" i="1"/>
  <c r="P685" i="1" s="1"/>
  <c r="A708" i="2"/>
  <c r="A707" i="2"/>
  <c r="A706" i="2"/>
  <c r="A684" i="1"/>
  <c r="J684" i="1"/>
  <c r="L684" i="1" s="1"/>
  <c r="A683" i="1"/>
  <c r="J683" i="1"/>
  <c r="L683" i="1" s="1"/>
  <c r="A682" i="1"/>
  <c r="J682" i="1"/>
  <c r="L682" i="1" s="1"/>
  <c r="A681" i="1"/>
  <c r="J681" i="1"/>
  <c r="L681" i="1" s="1"/>
  <c r="A680" i="1"/>
  <c r="J680" i="1"/>
  <c r="L680" i="1" s="1"/>
  <c r="A679" i="1"/>
  <c r="J679" i="1"/>
  <c r="L679" i="1" s="1"/>
  <c r="A705" i="2"/>
  <c r="A704" i="2"/>
  <c r="A703" i="2"/>
  <c r="A702" i="2"/>
  <c r="A678" i="1"/>
  <c r="J678" i="1"/>
  <c r="L678" i="1" s="1"/>
  <c r="A701" i="2"/>
  <c r="A700" i="2"/>
  <c r="A677" i="1"/>
  <c r="J677" i="1"/>
  <c r="L677" i="1" s="1"/>
  <c r="A676" i="1"/>
  <c r="J676" i="1"/>
  <c r="L676" i="1" s="1"/>
  <c r="A675" i="1"/>
  <c r="J675" i="1"/>
  <c r="L675" i="1" s="1"/>
  <c r="A699" i="2"/>
  <c r="A674" i="1"/>
  <c r="J674" i="1"/>
  <c r="L674" i="1" s="1"/>
  <c r="A698" i="2"/>
  <c r="A673" i="1"/>
  <c r="J673" i="1"/>
  <c r="L673" i="1" s="1"/>
  <c r="A672" i="1"/>
  <c r="J672" i="1"/>
  <c r="L672" i="1" s="1"/>
  <c r="A671" i="1"/>
  <c r="J671" i="1"/>
  <c r="P671" i="1" s="1"/>
  <c r="A697" i="2"/>
  <c r="A696" i="2"/>
  <c r="A670" i="1"/>
  <c r="J670" i="1"/>
  <c r="L670" i="1" s="1"/>
  <c r="A669" i="1"/>
  <c r="J669" i="1"/>
  <c r="L669" i="1" s="1"/>
  <c r="A668" i="1"/>
  <c r="J668" i="1"/>
  <c r="L668" i="1" s="1"/>
  <c r="A695" i="2"/>
  <c r="A694" i="2"/>
  <c r="A693" i="2"/>
  <c r="A692" i="2"/>
  <c r="A667" i="1"/>
  <c r="J667" i="1"/>
  <c r="L667" i="1" s="1"/>
  <c r="A691" i="2"/>
  <c r="A690" i="2"/>
  <c r="A666" i="1"/>
  <c r="J666" i="1"/>
  <c r="L666" i="1" s="1"/>
  <c r="A689" i="2"/>
  <c r="A665" i="1"/>
  <c r="J665" i="1"/>
  <c r="L665" i="1" s="1"/>
  <c r="A664" i="1"/>
  <c r="J664" i="1"/>
  <c r="L664" i="1" s="1"/>
  <c r="A688" i="2"/>
  <c r="A663" i="1"/>
  <c r="J663" i="1"/>
  <c r="L663" i="1" s="1"/>
  <c r="A662" i="1"/>
  <c r="J662" i="1"/>
  <c r="L662" i="1" s="1"/>
  <c r="A661" i="1"/>
  <c r="J661" i="1"/>
  <c r="L661" i="1" s="1"/>
  <c r="A660" i="1"/>
  <c r="J660" i="1"/>
  <c r="Q660" i="1" s="1"/>
  <c r="A687" i="2"/>
  <c r="A686" i="2"/>
  <c r="A685" i="2"/>
  <c r="A684" i="2"/>
  <c r="A683" i="2"/>
  <c r="A659" i="1"/>
  <c r="J659" i="1"/>
  <c r="L659" i="1" s="1"/>
  <c r="A682" i="2"/>
  <c r="A658" i="1"/>
  <c r="J658" i="1"/>
  <c r="L658" i="1" s="1"/>
  <c r="A681" i="2"/>
  <c r="A680" i="2"/>
  <c r="A657" i="1"/>
  <c r="J657" i="1"/>
  <c r="L657" i="1" s="1"/>
  <c r="A656" i="1"/>
  <c r="J656" i="1"/>
  <c r="L656" i="1" s="1"/>
  <c r="A655" i="1"/>
  <c r="J655" i="1"/>
  <c r="L655" i="1" s="1"/>
  <c r="A654" i="1"/>
  <c r="J654" i="1"/>
  <c r="S654" i="1" s="1"/>
  <c r="A653" i="1"/>
  <c r="J653" i="1"/>
  <c r="L653" i="1" s="1"/>
  <c r="A679" i="2"/>
  <c r="A652" i="1"/>
  <c r="J652" i="1"/>
  <c r="L652" i="1" s="1"/>
  <c r="A651" i="1"/>
  <c r="J651" i="1"/>
  <c r="P651" i="1" s="1"/>
  <c r="A678" i="2"/>
  <c r="A677" i="2"/>
  <c r="A676" i="2"/>
  <c r="A675" i="2"/>
  <c r="A674" i="2"/>
  <c r="A673" i="2"/>
  <c r="A672" i="2"/>
  <c r="A671" i="2"/>
  <c r="A650" i="1"/>
  <c r="J650" i="1"/>
  <c r="L650" i="1" s="1"/>
  <c r="A649" i="1"/>
  <c r="J649" i="1"/>
  <c r="L649" i="1" s="1"/>
  <c r="A670" i="2"/>
  <c r="A648" i="1"/>
  <c r="J648" i="1"/>
  <c r="L648" i="1" s="1"/>
  <c r="A647" i="1"/>
  <c r="J647" i="1"/>
  <c r="L647" i="1" s="1"/>
  <c r="A646" i="1"/>
  <c r="J646" i="1"/>
  <c r="L646" i="1" s="1"/>
  <c r="A645" i="1"/>
  <c r="J645" i="1"/>
  <c r="L645" i="1" s="1"/>
  <c r="A644" i="1"/>
  <c r="J644" i="1"/>
  <c r="L644" i="1" s="1"/>
  <c r="A643" i="1"/>
  <c r="J643" i="1"/>
  <c r="L643" i="1" s="1"/>
  <c r="A642" i="1"/>
  <c r="J642" i="1"/>
  <c r="L642" i="1" s="1"/>
  <c r="A669" i="2"/>
  <c r="A641" i="1"/>
  <c r="J641" i="1"/>
  <c r="L641" i="1" s="1"/>
  <c r="A668" i="2"/>
  <c r="A667" i="2"/>
  <c r="A666" i="2"/>
  <c r="A665" i="2"/>
  <c r="A664" i="2"/>
  <c r="A640" i="1"/>
  <c r="J640" i="1"/>
  <c r="L640" i="1" s="1"/>
  <c r="A663" i="2"/>
  <c r="A662" i="2"/>
  <c r="A661" i="2"/>
  <c r="A660" i="2"/>
  <c r="A639" i="1"/>
  <c r="J639" i="1"/>
  <c r="L639" i="1" s="1"/>
  <c r="A638" i="1"/>
  <c r="J638" i="1"/>
  <c r="P638" i="1" s="1"/>
  <c r="A637" i="1"/>
  <c r="J637" i="1"/>
  <c r="L637" i="1" s="1"/>
  <c r="A636" i="1"/>
  <c r="J636" i="1"/>
  <c r="L636" i="1" s="1"/>
  <c r="A635" i="1"/>
  <c r="J635" i="1"/>
  <c r="L635" i="1" s="1"/>
  <c r="A634" i="1"/>
  <c r="J634" i="1"/>
  <c r="L634" i="1" s="1"/>
  <c r="A633" i="1"/>
  <c r="J633" i="1"/>
  <c r="L633" i="1" s="1"/>
  <c r="A632" i="1"/>
  <c r="J632" i="1"/>
  <c r="L632" i="1" s="1"/>
  <c r="A659" i="2"/>
  <c r="A658" i="2"/>
  <c r="A657" i="2"/>
  <c r="A656" i="2"/>
  <c r="A631" i="1"/>
  <c r="J631" i="1"/>
  <c r="L631" i="1" s="1"/>
  <c r="A630" i="1"/>
  <c r="J630" i="1"/>
  <c r="L630" i="1" s="1"/>
  <c r="J629" i="1"/>
  <c r="S629" i="1" s="1"/>
  <c r="A629" i="1"/>
  <c r="A655" i="2"/>
  <c r="A628" i="1"/>
  <c r="J628" i="1"/>
  <c r="L628" i="1" s="1"/>
  <c r="A654" i="2"/>
  <c r="A653" i="2"/>
  <c r="A627" i="1"/>
  <c r="J627" i="1"/>
  <c r="L627" i="1" s="1"/>
  <c r="A626" i="1"/>
  <c r="J626" i="1"/>
  <c r="L626" i="1" s="1"/>
  <c r="A652" i="2"/>
  <c r="A625" i="1"/>
  <c r="J625" i="1"/>
  <c r="L625" i="1" s="1"/>
  <c r="A624" i="1"/>
  <c r="J624" i="1"/>
  <c r="L624" i="1" s="1"/>
  <c r="A623" i="1"/>
  <c r="J623" i="1"/>
  <c r="L623" i="1" s="1"/>
  <c r="A651" i="2"/>
  <c r="A650" i="2"/>
  <c r="A649" i="2"/>
  <c r="A648" i="2"/>
  <c r="A647" i="2"/>
  <c r="A622" i="1"/>
  <c r="J622" i="1"/>
  <c r="L622" i="1" s="1"/>
  <c r="A646" i="2"/>
  <c r="A621" i="1"/>
  <c r="J621" i="1"/>
  <c r="L621" i="1" s="1"/>
  <c r="A645" i="2"/>
  <c r="A644" i="2"/>
  <c r="A617" i="1"/>
  <c r="A620" i="1"/>
  <c r="J620" i="1"/>
  <c r="L620" i="1" s="1"/>
  <c r="A643" i="2"/>
  <c r="A642" i="2"/>
  <c r="A619" i="1"/>
  <c r="J619" i="1"/>
  <c r="L619" i="1" s="1"/>
  <c r="A641" i="2"/>
  <c r="A618" i="1"/>
  <c r="J618" i="1"/>
  <c r="L618" i="1" s="1"/>
  <c r="J617" i="1"/>
  <c r="L617" i="1" s="1"/>
  <c r="A616" i="1"/>
  <c r="J616" i="1"/>
  <c r="L616" i="1" s="1"/>
  <c r="A640" i="2"/>
  <c r="A615" i="1"/>
  <c r="J615" i="1"/>
  <c r="L615" i="1" s="1"/>
  <c r="A614" i="1"/>
  <c r="J614" i="1"/>
  <c r="L614" i="1" s="1"/>
  <c r="A613" i="1"/>
  <c r="J613" i="1"/>
  <c r="L613" i="1" s="1"/>
  <c r="A612" i="1"/>
  <c r="J612" i="1"/>
  <c r="L612" i="1" s="1"/>
  <c r="J611" i="1"/>
  <c r="L611" i="1" s="1"/>
  <c r="A611" i="1"/>
  <c r="A639" i="2"/>
  <c r="A638" i="2"/>
  <c r="A637" i="2"/>
  <c r="A610" i="1"/>
  <c r="J610" i="1"/>
  <c r="L610" i="1" s="1"/>
  <c r="A636" i="2"/>
  <c r="A635" i="2"/>
  <c r="A609" i="1"/>
  <c r="J609" i="1"/>
  <c r="L609" i="1" s="1"/>
  <c r="A634" i="2"/>
  <c r="A608" i="1"/>
  <c r="J608" i="1"/>
  <c r="L608" i="1" s="1"/>
  <c r="A633" i="2"/>
  <c r="A632" i="2"/>
  <c r="A607" i="1"/>
  <c r="J607" i="1"/>
  <c r="L607" i="1" s="1"/>
  <c r="A631" i="2"/>
  <c r="A606" i="1"/>
  <c r="J606" i="1"/>
  <c r="L606" i="1" s="1"/>
  <c r="A605" i="1"/>
  <c r="J605" i="1"/>
  <c r="L605" i="1" s="1"/>
  <c r="A604" i="1"/>
  <c r="J604" i="1"/>
  <c r="L604" i="1" s="1"/>
  <c r="A630" i="2"/>
  <c r="A603" i="1"/>
  <c r="J603" i="1"/>
  <c r="L603" i="1" s="1"/>
  <c r="A602" i="1"/>
  <c r="J602" i="1"/>
  <c r="L602" i="1" s="1"/>
  <c r="A629" i="2"/>
  <c r="A628" i="2"/>
  <c r="A601" i="1"/>
  <c r="J601" i="1"/>
  <c r="L601" i="1" s="1"/>
  <c r="A627" i="2"/>
  <c r="A626" i="2"/>
  <c r="A625" i="2"/>
  <c r="A600" i="1"/>
  <c r="J600" i="1"/>
  <c r="L600" i="1" s="1"/>
  <c r="A624" i="2"/>
  <c r="A623" i="2"/>
  <c r="A599" i="1"/>
  <c r="J599" i="1"/>
  <c r="L599" i="1" s="1"/>
  <c r="A622" i="2"/>
  <c r="A598" i="1"/>
  <c r="J598" i="1"/>
  <c r="L598" i="1" s="1"/>
  <c r="A597" i="1"/>
  <c r="J597" i="1"/>
  <c r="L597" i="1" s="1"/>
  <c r="A621" i="2"/>
  <c r="A596" i="1"/>
  <c r="J596" i="1"/>
  <c r="L596" i="1" s="1"/>
  <c r="A595" i="1"/>
  <c r="J595" i="1"/>
  <c r="L595" i="1" s="1"/>
  <c r="A594" i="1"/>
  <c r="J594" i="1"/>
  <c r="L594" i="1" s="1"/>
  <c r="A593" i="1"/>
  <c r="J593" i="1"/>
  <c r="S593" i="1" s="1"/>
  <c r="A620" i="2"/>
  <c r="A619" i="2"/>
  <c r="A618" i="2"/>
  <c r="A617" i="2"/>
  <c r="A616" i="2"/>
  <c r="A592" i="1"/>
  <c r="J592" i="1"/>
  <c r="L592" i="1" s="1"/>
  <c r="A615" i="2"/>
  <c r="A591" i="1"/>
  <c r="J591" i="1"/>
  <c r="L591" i="1" s="1"/>
  <c r="A590" i="1"/>
  <c r="J590" i="1"/>
  <c r="L590" i="1" s="1"/>
  <c r="A614" i="2"/>
  <c r="A613" i="2"/>
  <c r="A612" i="2"/>
  <c r="A589" i="1"/>
  <c r="J589" i="1"/>
  <c r="L589" i="1" s="1"/>
  <c r="A588" i="1"/>
  <c r="J588" i="1"/>
  <c r="L588" i="1" s="1"/>
  <c r="A611" i="2"/>
  <c r="A587" i="1"/>
  <c r="J587" i="1"/>
  <c r="L587" i="1" s="1"/>
  <c r="A586" i="1"/>
  <c r="J586" i="1"/>
  <c r="L586" i="1" s="1"/>
  <c r="A585" i="1"/>
  <c r="J585" i="1"/>
  <c r="L585" i="1" s="1"/>
  <c r="A584" i="1"/>
  <c r="J584" i="1"/>
  <c r="L584" i="1" s="1"/>
  <c r="A583" i="1"/>
  <c r="J583" i="1"/>
  <c r="L583" i="1" s="1"/>
  <c r="A610" i="2"/>
  <c r="A609" i="2"/>
  <c r="A608" i="2"/>
  <c r="A607" i="2"/>
  <c r="A582" i="1"/>
  <c r="J582" i="1"/>
  <c r="L582" i="1" s="1"/>
  <c r="A581" i="1"/>
  <c r="J581" i="1"/>
  <c r="L581" i="1" s="1"/>
  <c r="A580" i="1"/>
  <c r="J580" i="1"/>
  <c r="L580" i="1" s="1"/>
  <c r="A606" i="2"/>
  <c r="A605" i="2"/>
  <c r="A579" i="1"/>
  <c r="J579" i="1"/>
  <c r="L579" i="1" s="1"/>
  <c r="A578" i="1"/>
  <c r="J578" i="1"/>
  <c r="L578" i="1" s="1"/>
  <c r="A604" i="2"/>
  <c r="A577" i="1"/>
  <c r="J577" i="1"/>
  <c r="L577" i="1" s="1"/>
  <c r="A576" i="1"/>
  <c r="J576" i="1"/>
  <c r="L576" i="1" s="1"/>
  <c r="A603" i="2"/>
  <c r="A602" i="2"/>
  <c r="A601" i="2"/>
  <c r="A575" i="1"/>
  <c r="J575" i="1"/>
  <c r="L575" i="1" s="1"/>
  <c r="A600" i="2"/>
  <c r="A574" i="1"/>
  <c r="J574" i="1"/>
  <c r="L574" i="1" s="1"/>
  <c r="A573" i="1"/>
  <c r="J573" i="1"/>
  <c r="L573" i="1" s="1"/>
  <c r="A572" i="1"/>
  <c r="J572" i="1"/>
  <c r="L572" i="1" s="1"/>
  <c r="A599" i="2"/>
  <c r="A598" i="2"/>
  <c r="A571" i="1"/>
  <c r="J571" i="1"/>
  <c r="L571" i="1" s="1"/>
  <c r="A570" i="1"/>
  <c r="J570" i="1"/>
  <c r="L570" i="1" s="1"/>
  <c r="A597" i="2"/>
  <c r="A596" i="2"/>
  <c r="A595" i="2"/>
  <c r="A569" i="1"/>
  <c r="J569" i="1"/>
  <c r="L569" i="1" s="1"/>
  <c r="A568" i="1"/>
  <c r="J568" i="1"/>
  <c r="L568" i="1" s="1"/>
  <c r="A567" i="1"/>
  <c r="J567" i="1"/>
  <c r="L567" i="1" s="1"/>
  <c r="A594" i="2"/>
  <c r="A566" i="1"/>
  <c r="J566" i="1"/>
  <c r="L566" i="1" s="1"/>
  <c r="A593" i="2"/>
  <c r="A592" i="2"/>
  <c r="A565" i="1"/>
  <c r="J565" i="1"/>
  <c r="L565" i="1" s="1"/>
  <c r="A591" i="2"/>
  <c r="A590" i="2"/>
  <c r="A589" i="2"/>
  <c r="A564" i="1"/>
  <c r="J564" i="1"/>
  <c r="L564" i="1" s="1"/>
  <c r="A588" i="2"/>
  <c r="A563" i="1"/>
  <c r="J563" i="1"/>
  <c r="L563" i="1" s="1"/>
  <c r="A562" i="1"/>
  <c r="J562" i="1"/>
  <c r="L562" i="1" s="1"/>
  <c r="A587" i="2"/>
  <c r="A586" i="2"/>
  <c r="A585" i="2"/>
  <c r="A561" i="1"/>
  <c r="J561" i="1"/>
  <c r="L561" i="1" s="1"/>
  <c r="A560" i="1"/>
  <c r="J560" i="1"/>
  <c r="L560" i="1" s="1"/>
  <c r="A559" i="1"/>
  <c r="J559" i="1"/>
  <c r="L559" i="1" s="1"/>
  <c r="A558" i="1"/>
  <c r="J558" i="1"/>
  <c r="Q558" i="1" s="1"/>
  <c r="A584" i="2"/>
  <c r="A583" i="2"/>
  <c r="A557" i="1"/>
  <c r="J557" i="1"/>
  <c r="L557" i="1" s="1"/>
  <c r="A582" i="2"/>
  <c r="A581" i="2"/>
  <c r="A580" i="2"/>
  <c r="A579" i="2"/>
  <c r="A578" i="2"/>
  <c r="A556" i="1"/>
  <c r="J556" i="1"/>
  <c r="L556" i="1" s="1"/>
  <c r="A555" i="1"/>
  <c r="J555" i="1"/>
  <c r="L555" i="1" s="1"/>
  <c r="A554" i="1"/>
  <c r="J554" i="1"/>
  <c r="L554" i="1" s="1"/>
  <c r="A553" i="1"/>
  <c r="J553" i="1"/>
  <c r="L553" i="1" s="1"/>
  <c r="A577" i="2"/>
  <c r="A552" i="1"/>
  <c r="J552" i="1"/>
  <c r="L552" i="1" s="1"/>
  <c r="A576" i="2"/>
  <c r="A551" i="1"/>
  <c r="J551" i="1"/>
  <c r="L551" i="1" s="1"/>
  <c r="A550" i="1"/>
  <c r="J550" i="1"/>
  <c r="L550" i="1" s="1"/>
  <c r="A575" i="2"/>
  <c r="A574" i="2"/>
  <c r="A573" i="2"/>
  <c r="A572" i="2"/>
  <c r="A571" i="2"/>
  <c r="A570" i="2"/>
  <c r="A549" i="1"/>
  <c r="J549" i="1"/>
  <c r="L549" i="1" s="1"/>
  <c r="A548" i="1"/>
  <c r="J548" i="1"/>
  <c r="L548" i="1" s="1"/>
  <c r="A547" i="1"/>
  <c r="J547" i="1"/>
  <c r="L547" i="1" s="1"/>
  <c r="A546" i="1"/>
  <c r="J546" i="1"/>
  <c r="L546" i="1" s="1"/>
  <c r="A545" i="1"/>
  <c r="J545" i="1"/>
  <c r="P545" i="1" s="1"/>
  <c r="A544" i="1"/>
  <c r="J544" i="1"/>
  <c r="L544" i="1" s="1"/>
  <c r="A569" i="2"/>
  <c r="A568" i="2"/>
  <c r="A567" i="2"/>
  <c r="A566" i="2"/>
  <c r="A565" i="2"/>
  <c r="A564" i="2"/>
  <c r="A543" i="1"/>
  <c r="J543" i="1"/>
  <c r="L543" i="1" s="1"/>
  <c r="A542" i="1"/>
  <c r="J542" i="1"/>
  <c r="L542" i="1" s="1"/>
  <c r="A563" i="2"/>
  <c r="A541" i="1"/>
  <c r="J541" i="1"/>
  <c r="L541" i="1" s="1"/>
  <c r="A540" i="1"/>
  <c r="J540" i="1"/>
  <c r="L540" i="1" s="1"/>
  <c r="A562" i="2"/>
  <c r="A539" i="1"/>
  <c r="J539" i="1"/>
  <c r="L539" i="1" s="1"/>
  <c r="A538" i="1"/>
  <c r="J538" i="1"/>
  <c r="L538" i="1" s="1"/>
  <c r="A537" i="1"/>
  <c r="J537" i="1"/>
  <c r="L537" i="1" s="1"/>
  <c r="A536" i="1"/>
  <c r="J536" i="1"/>
  <c r="L536" i="1" s="1"/>
  <c r="A561" i="2"/>
  <c r="A535" i="1"/>
  <c r="J535" i="1"/>
  <c r="L535" i="1" s="1"/>
  <c r="A560" i="2"/>
  <c r="A559" i="2"/>
  <c r="A558" i="2"/>
  <c r="A534" i="1"/>
  <c r="J534" i="1"/>
  <c r="L534" i="1" s="1"/>
  <c r="A533" i="1"/>
  <c r="J533" i="1"/>
  <c r="L533" i="1" s="1"/>
  <c r="A532" i="1"/>
  <c r="J532" i="1"/>
  <c r="L532" i="1" s="1"/>
  <c r="A557" i="2"/>
  <c r="A531" i="1"/>
  <c r="J531" i="1"/>
  <c r="L531" i="1" s="1"/>
  <c r="A556" i="2"/>
  <c r="A555" i="2"/>
  <c r="A554" i="2"/>
  <c r="A530" i="1"/>
  <c r="J530" i="1"/>
  <c r="L530" i="1" s="1"/>
  <c r="A529" i="1"/>
  <c r="J529" i="1"/>
  <c r="L529" i="1" s="1"/>
  <c r="A553" i="2"/>
  <c r="A528" i="1"/>
  <c r="J528" i="1"/>
  <c r="L528" i="1" s="1"/>
  <c r="A552" i="2"/>
  <c r="A551" i="2"/>
  <c r="A527" i="1"/>
  <c r="J527" i="1"/>
  <c r="L527" i="1" s="1"/>
  <c r="A526" i="1"/>
  <c r="J526" i="1"/>
  <c r="P526" i="1" s="1"/>
  <c r="A550" i="2"/>
  <c r="A549" i="2"/>
  <c r="A548" i="2"/>
  <c r="A525" i="1"/>
  <c r="J525" i="1"/>
  <c r="L525" i="1" s="1"/>
  <c r="A547" i="2"/>
  <c r="A524" i="1"/>
  <c r="J524" i="1"/>
  <c r="L524" i="1" s="1"/>
  <c r="A523" i="1"/>
  <c r="J523" i="1"/>
  <c r="L523" i="1" s="1"/>
  <c r="A546" i="2"/>
  <c r="A522" i="1"/>
  <c r="J522" i="1"/>
  <c r="L522" i="1" s="1"/>
  <c r="A545" i="2"/>
  <c r="A521" i="1"/>
  <c r="J521" i="1"/>
  <c r="L521" i="1" s="1"/>
  <c r="A544" i="2"/>
  <c r="A520" i="1"/>
  <c r="J520" i="1"/>
  <c r="L520" i="1" s="1"/>
  <c r="A519" i="1"/>
  <c r="J519" i="1"/>
  <c r="L519" i="1" s="1"/>
  <c r="A543" i="2"/>
  <c r="A542" i="2"/>
  <c r="A541" i="2"/>
  <c r="A518" i="1"/>
  <c r="J518" i="1"/>
  <c r="L518" i="1" s="1"/>
  <c r="A517" i="1"/>
  <c r="J517" i="1"/>
  <c r="L517" i="1" s="1"/>
  <c r="A540" i="2"/>
  <c r="A539" i="2"/>
  <c r="A538" i="2"/>
  <c r="A516" i="1"/>
  <c r="J516" i="1"/>
  <c r="L516" i="1" s="1"/>
  <c r="A537" i="2"/>
  <c r="A515" i="1"/>
  <c r="J515" i="1"/>
  <c r="L515" i="1" s="1"/>
  <c r="A514" i="1"/>
  <c r="J514" i="1"/>
  <c r="L514" i="1" s="1"/>
  <c r="A536" i="2"/>
  <c r="A535" i="2"/>
  <c r="A534" i="2"/>
  <c r="A513" i="1"/>
  <c r="J513" i="1"/>
  <c r="L513" i="1" s="1"/>
  <c r="A512" i="1"/>
  <c r="J512" i="1"/>
  <c r="L512" i="1" s="1"/>
  <c r="A511" i="1"/>
  <c r="J511" i="1"/>
  <c r="L511" i="1" s="1"/>
  <c r="A510" i="1"/>
  <c r="J510" i="1"/>
  <c r="L510" i="1" s="1"/>
  <c r="A533" i="2"/>
  <c r="A532" i="2"/>
  <c r="A531" i="2"/>
  <c r="A530" i="2"/>
  <c r="A529" i="2"/>
  <c r="A509" i="1"/>
  <c r="J509" i="1"/>
  <c r="L509" i="1" s="1"/>
  <c r="A508" i="1"/>
  <c r="J508" i="1"/>
  <c r="L508" i="1" s="1"/>
  <c r="A528" i="2"/>
  <c r="A507" i="1"/>
  <c r="J507" i="1"/>
  <c r="L507" i="1" s="1"/>
  <c r="A506" i="1"/>
  <c r="J506" i="1"/>
  <c r="P506" i="1" s="1"/>
  <c r="A505" i="1"/>
  <c r="J505" i="1"/>
  <c r="L505" i="1" s="1"/>
  <c r="A504" i="1"/>
  <c r="J504" i="1"/>
  <c r="L504" i="1" s="1"/>
  <c r="A527" i="2"/>
  <c r="A526" i="2"/>
  <c r="A525" i="2"/>
  <c r="A503" i="1"/>
  <c r="J503" i="1"/>
  <c r="L503" i="1" s="1"/>
  <c r="A524" i="2"/>
  <c r="A502" i="1"/>
  <c r="J502" i="1"/>
  <c r="L502" i="1" s="1"/>
  <c r="A501" i="1"/>
  <c r="J501" i="1"/>
  <c r="L501" i="1" s="1"/>
  <c r="A523" i="2"/>
  <c r="A500" i="1"/>
  <c r="J500" i="1"/>
  <c r="L500" i="1" s="1"/>
  <c r="A499" i="1"/>
  <c r="J499" i="1"/>
  <c r="L499" i="1" s="1"/>
  <c r="A522" i="2"/>
  <c r="A521" i="2"/>
  <c r="A520" i="2"/>
  <c r="A519" i="2"/>
  <c r="A518" i="2"/>
  <c r="A517" i="2"/>
  <c r="A498" i="1"/>
  <c r="J498" i="1"/>
  <c r="L498" i="1" s="1"/>
  <c r="A516" i="2"/>
  <c r="A515" i="2"/>
  <c r="A497" i="1"/>
  <c r="J497" i="1"/>
  <c r="L497" i="1" s="1"/>
  <c r="A496" i="1"/>
  <c r="J496" i="1"/>
  <c r="L496" i="1" s="1"/>
  <c r="A495" i="1"/>
  <c r="J495" i="1"/>
  <c r="L495" i="1" s="1"/>
  <c r="A494" i="1"/>
  <c r="J494" i="1"/>
  <c r="L494" i="1" s="1"/>
  <c r="A514" i="2"/>
  <c r="A493" i="1"/>
  <c r="J493" i="1"/>
  <c r="L493" i="1" s="1"/>
  <c r="A513" i="2"/>
  <c r="A512" i="2"/>
  <c r="A511" i="2"/>
  <c r="A492" i="1"/>
  <c r="J492" i="1"/>
  <c r="L492" i="1" s="1"/>
  <c r="A491" i="1"/>
  <c r="J491" i="1"/>
  <c r="L491" i="1" s="1"/>
  <c r="A490" i="1"/>
  <c r="J490" i="1"/>
  <c r="L490" i="1" s="1"/>
  <c r="A510" i="2"/>
  <c r="A489" i="1"/>
  <c r="J489" i="1"/>
  <c r="L489" i="1" s="1"/>
  <c r="A488" i="1"/>
  <c r="J488" i="1"/>
  <c r="L488" i="1" s="1"/>
  <c r="A487" i="1"/>
  <c r="J487" i="1"/>
  <c r="P487" i="1" s="1"/>
  <c r="A486" i="1"/>
  <c r="J486" i="1"/>
  <c r="P486" i="1" s="1"/>
  <c r="A509" i="2"/>
  <c r="A485" i="1"/>
  <c r="J485" i="1"/>
  <c r="L485" i="1" s="1"/>
  <c r="A508" i="2"/>
  <c r="A507" i="2"/>
  <c r="A484" i="1"/>
  <c r="J484" i="1"/>
  <c r="L484" i="1" s="1"/>
  <c r="A506" i="2"/>
  <c r="A505" i="2"/>
  <c r="A504" i="2"/>
  <c r="A483" i="1"/>
  <c r="J483" i="1"/>
  <c r="L483" i="1" s="1"/>
  <c r="A482" i="1"/>
  <c r="J482" i="1"/>
  <c r="L482" i="1" s="1"/>
  <c r="A481" i="1"/>
  <c r="J481" i="1"/>
  <c r="L481" i="1" s="1"/>
  <c r="A480" i="1"/>
  <c r="J480" i="1"/>
  <c r="L480" i="1" s="1"/>
  <c r="A503" i="2"/>
  <c r="A502" i="2"/>
  <c r="A501" i="2"/>
  <c r="A500" i="2"/>
  <c r="A479" i="1"/>
  <c r="J479" i="1"/>
  <c r="L479" i="1" s="1"/>
  <c r="A478" i="1"/>
  <c r="J478" i="1"/>
  <c r="L478" i="1" s="1"/>
  <c r="A477" i="1"/>
  <c r="J477" i="1"/>
  <c r="L477" i="1" s="1"/>
  <c r="A499" i="2"/>
  <c r="A498" i="2"/>
  <c r="A476" i="1"/>
  <c r="J476" i="1"/>
  <c r="L476" i="1" s="1"/>
  <c r="A497" i="2"/>
  <c r="A475" i="1"/>
  <c r="J475" i="1"/>
  <c r="L475" i="1" s="1"/>
  <c r="A474" i="1"/>
  <c r="J474" i="1"/>
  <c r="L474" i="1" s="1"/>
  <c r="A496" i="2"/>
  <c r="A473" i="1"/>
  <c r="J473" i="1"/>
  <c r="L473" i="1" s="1"/>
  <c r="A495" i="2"/>
  <c r="A472" i="1"/>
  <c r="J472" i="1"/>
  <c r="L472" i="1" s="1"/>
  <c r="A471" i="1"/>
  <c r="J471" i="1"/>
  <c r="L471" i="1" s="1"/>
  <c r="A494" i="2"/>
  <c r="A470" i="1"/>
  <c r="J470" i="1"/>
  <c r="L470" i="1" s="1"/>
  <c r="A493" i="2"/>
  <c r="A469" i="1"/>
  <c r="J469" i="1"/>
  <c r="L469" i="1" s="1"/>
  <c r="A492" i="2"/>
  <c r="A491" i="2"/>
  <c r="A468" i="1"/>
  <c r="J468" i="1"/>
  <c r="L468" i="1" s="1"/>
  <c r="A467" i="1"/>
  <c r="J467" i="1"/>
  <c r="L467" i="1" s="1"/>
  <c r="A466" i="1"/>
  <c r="J466" i="1"/>
  <c r="L466" i="1" s="1"/>
  <c r="A490" i="2"/>
  <c r="A489" i="2"/>
  <c r="A465" i="1"/>
  <c r="J465" i="1"/>
  <c r="L465" i="1" s="1"/>
  <c r="A464" i="1"/>
  <c r="J464" i="1"/>
  <c r="L464" i="1" s="1"/>
  <c r="A488" i="2"/>
  <c r="A487" i="2"/>
  <c r="A486" i="2"/>
  <c r="A463" i="1"/>
  <c r="J463" i="1"/>
  <c r="L463" i="1" s="1"/>
  <c r="A462" i="1"/>
  <c r="J462" i="1"/>
  <c r="P462" i="1" s="1"/>
  <c r="A485" i="2"/>
  <c r="A484" i="2"/>
  <c r="A483" i="2"/>
  <c r="A461" i="1"/>
  <c r="J461" i="1"/>
  <c r="L461" i="1" s="1"/>
  <c r="A460" i="1"/>
  <c r="J460" i="1"/>
  <c r="L460" i="1" s="1"/>
  <c r="A459" i="1"/>
  <c r="J459" i="1"/>
  <c r="L459" i="1" s="1"/>
  <c r="A482" i="2"/>
  <c r="A481" i="2"/>
  <c r="A480" i="2"/>
  <c r="A479" i="2"/>
  <c r="A458" i="1"/>
  <c r="J458" i="1"/>
  <c r="L458" i="1" s="1"/>
  <c r="A457" i="1"/>
  <c r="J457" i="1"/>
  <c r="L457" i="1" s="1"/>
  <c r="A456" i="1"/>
  <c r="J456" i="1"/>
  <c r="L456" i="1" s="1"/>
  <c r="A478" i="2"/>
  <c r="A477" i="2"/>
  <c r="A455" i="1"/>
  <c r="A476" i="2"/>
  <c r="J455" i="1"/>
  <c r="L455" i="1" s="1"/>
  <c r="A454" i="1"/>
  <c r="J454" i="1"/>
  <c r="L454" i="1" s="1"/>
  <c r="A475" i="2"/>
  <c r="A453" i="1"/>
  <c r="J453" i="1"/>
  <c r="L453" i="1" s="1"/>
  <c r="A452" i="1"/>
  <c r="J452" i="1"/>
  <c r="L452" i="1" s="1"/>
  <c r="A474" i="2"/>
  <c r="A473" i="2"/>
  <c r="A472" i="2"/>
  <c r="A471" i="2"/>
  <c r="A451" i="1"/>
  <c r="J451" i="1"/>
  <c r="L451" i="1" s="1"/>
  <c r="A470" i="2"/>
  <c r="A450" i="1"/>
  <c r="J450" i="1"/>
  <c r="P450" i="1" s="1"/>
  <c r="A469" i="2"/>
  <c r="A449" i="1"/>
  <c r="J449" i="1"/>
  <c r="L449" i="1" s="1"/>
  <c r="A468" i="2"/>
  <c r="A448" i="1"/>
  <c r="J448" i="1"/>
  <c r="L448" i="1" s="1"/>
  <c r="A447" i="1"/>
  <c r="J447" i="1"/>
  <c r="L447" i="1" s="1"/>
  <c r="A467" i="2"/>
  <c r="A446" i="1"/>
  <c r="J446" i="1"/>
  <c r="L446" i="1" s="1"/>
  <c r="A445" i="1"/>
  <c r="J445" i="1"/>
  <c r="L445" i="1" s="1"/>
  <c r="A444" i="1"/>
  <c r="J444" i="1"/>
  <c r="P444" i="1" s="1"/>
  <c r="A466" i="2"/>
  <c r="A465" i="2"/>
  <c r="A443" i="1"/>
  <c r="J443" i="1"/>
  <c r="L443" i="1" s="1"/>
  <c r="A464" i="2"/>
  <c r="A463" i="2"/>
  <c r="A442" i="1"/>
  <c r="J442" i="1"/>
  <c r="L442" i="1" s="1"/>
  <c r="J441" i="1"/>
  <c r="T441" i="1" s="1"/>
  <c r="A441" i="1"/>
  <c r="A462" i="2"/>
  <c r="A461" i="2"/>
  <c r="A460" i="2"/>
  <c r="A459" i="2"/>
  <c r="A440" i="1"/>
  <c r="J440" i="1"/>
  <c r="L440" i="1" s="1"/>
  <c r="A458" i="2"/>
  <c r="A439" i="1"/>
  <c r="J439" i="1"/>
  <c r="L439" i="1" s="1"/>
  <c r="A438" i="1"/>
  <c r="J438" i="1"/>
  <c r="L438" i="1" s="1"/>
  <c r="A437" i="1"/>
  <c r="J437" i="1"/>
  <c r="L437" i="1" s="1"/>
  <c r="A436" i="1"/>
  <c r="J436" i="1"/>
  <c r="L436" i="1" s="1"/>
  <c r="A435" i="1"/>
  <c r="J435" i="1"/>
  <c r="L435" i="1" s="1"/>
  <c r="A457" i="2"/>
  <c r="A434" i="1"/>
  <c r="J434" i="1"/>
  <c r="L434" i="1" s="1"/>
  <c r="A456" i="2"/>
  <c r="A455" i="2"/>
  <c r="A454" i="2"/>
  <c r="A453" i="2"/>
  <c r="A433" i="1"/>
  <c r="J433" i="1"/>
  <c r="L433" i="1" s="1"/>
  <c r="A432" i="1"/>
  <c r="J432" i="1"/>
  <c r="L432" i="1" s="1"/>
  <c r="A452" i="2"/>
  <c r="A451" i="2"/>
  <c r="A431" i="1"/>
  <c r="J431" i="1"/>
  <c r="L431" i="1" s="1"/>
  <c r="A450" i="2"/>
  <c r="A449" i="2"/>
  <c r="A430" i="1"/>
  <c r="J430" i="1"/>
  <c r="L430" i="1" s="1"/>
  <c r="A448" i="2"/>
  <c r="A429" i="1"/>
  <c r="J429" i="1"/>
  <c r="L429" i="1" s="1"/>
  <c r="A428" i="1"/>
  <c r="J428" i="1"/>
  <c r="L428" i="1" s="1"/>
  <c r="A427" i="1"/>
  <c r="J427" i="1"/>
  <c r="L427" i="1" s="1"/>
  <c r="A447" i="2"/>
  <c r="A446" i="2"/>
  <c r="A445" i="2"/>
  <c r="A426" i="1"/>
  <c r="J426" i="1"/>
  <c r="L426" i="1" s="1"/>
  <c r="A425" i="1"/>
  <c r="J425" i="1"/>
  <c r="L425" i="1" s="1"/>
  <c r="A444" i="2"/>
  <c r="A443" i="2"/>
  <c r="A424" i="1"/>
  <c r="J424" i="1"/>
  <c r="L424" i="1" s="1"/>
  <c r="A442" i="2"/>
  <c r="A423" i="1"/>
  <c r="J423" i="1"/>
  <c r="L423" i="1" s="1"/>
  <c r="A441" i="2"/>
  <c r="A422" i="1"/>
  <c r="J422" i="1"/>
  <c r="L422" i="1" s="1"/>
  <c r="A440" i="2"/>
  <c r="A439" i="2"/>
  <c r="A421" i="1"/>
  <c r="J421" i="1"/>
  <c r="L421" i="1" s="1"/>
  <c r="A420" i="1"/>
  <c r="J420" i="1"/>
  <c r="L420" i="1" s="1"/>
  <c r="A419" i="1"/>
  <c r="J419" i="1"/>
  <c r="L419" i="1" s="1"/>
  <c r="A438" i="2"/>
  <c r="A437" i="2"/>
  <c r="A436" i="2"/>
  <c r="A418" i="1"/>
  <c r="J418" i="1"/>
  <c r="L418" i="1" s="1"/>
  <c r="A417" i="1"/>
  <c r="J417" i="1"/>
  <c r="L417" i="1" s="1"/>
  <c r="A416" i="1"/>
  <c r="J416" i="1"/>
  <c r="L416" i="1" s="1"/>
  <c r="A435" i="2"/>
  <c r="A415" i="1"/>
  <c r="J415" i="1"/>
  <c r="L415" i="1" s="1"/>
  <c r="A434" i="2"/>
  <c r="A433" i="2"/>
  <c r="A414" i="1"/>
  <c r="J414" i="1"/>
  <c r="L414" i="1" s="1"/>
  <c r="A432" i="2"/>
  <c r="A431" i="2"/>
  <c r="A413" i="1"/>
  <c r="J413" i="1"/>
  <c r="L413" i="1" s="1"/>
  <c r="A412" i="1"/>
  <c r="J412" i="1"/>
  <c r="L412" i="1" s="1"/>
  <c r="A411" i="1"/>
  <c r="J411" i="1"/>
  <c r="P411" i="1" s="1"/>
  <c r="A430" i="2"/>
  <c r="A429" i="2"/>
  <c r="A410" i="1"/>
  <c r="J410" i="1"/>
  <c r="L410" i="1" s="1"/>
  <c r="A428" i="2"/>
  <c r="A427" i="2"/>
  <c r="A409" i="1"/>
  <c r="J409" i="1"/>
  <c r="L409" i="1" s="1"/>
  <c r="A426" i="2"/>
  <c r="A408" i="1"/>
  <c r="J408" i="1"/>
  <c r="L408" i="1" s="1"/>
  <c r="A407" i="1"/>
  <c r="J407" i="1"/>
  <c r="L407" i="1" s="1"/>
  <c r="A406" i="1"/>
  <c r="J406" i="1"/>
  <c r="L406" i="1" s="1"/>
  <c r="A425" i="2"/>
  <c r="A405" i="1"/>
  <c r="J405" i="1"/>
  <c r="L405" i="1" s="1"/>
  <c r="A424" i="2"/>
  <c r="A423" i="2"/>
  <c r="A422" i="2"/>
  <c r="A404" i="1"/>
  <c r="J404" i="1"/>
  <c r="L404" i="1" s="1"/>
  <c r="A403" i="1"/>
  <c r="J403" i="1"/>
  <c r="L403" i="1" s="1"/>
  <c r="A421" i="2"/>
  <c r="A420" i="2"/>
  <c r="A402" i="1"/>
  <c r="J402" i="1"/>
  <c r="L402" i="1" s="1"/>
  <c r="A401" i="1"/>
  <c r="J401" i="1"/>
  <c r="L401" i="1" s="1"/>
  <c r="A400" i="1"/>
  <c r="J400" i="1"/>
  <c r="L400" i="1" s="1"/>
  <c r="A419" i="2"/>
  <c r="A418" i="2"/>
  <c r="A417" i="2"/>
  <c r="A399" i="1"/>
  <c r="J399" i="1"/>
  <c r="L399" i="1" s="1"/>
  <c r="A398" i="1"/>
  <c r="J398" i="1"/>
  <c r="L398" i="1" s="1"/>
  <c r="A416" i="2"/>
  <c r="A397" i="1"/>
  <c r="J397" i="1"/>
  <c r="L397" i="1" s="1"/>
  <c r="A396" i="1"/>
  <c r="J396" i="1"/>
  <c r="L396" i="1" s="1"/>
  <c r="A415" i="2"/>
  <c r="A414" i="2"/>
  <c r="A413" i="2"/>
  <c r="A395" i="1"/>
  <c r="J395" i="1"/>
  <c r="L395" i="1" s="1"/>
  <c r="A394" i="1"/>
  <c r="J394" i="1"/>
  <c r="L394" i="1" s="1"/>
  <c r="A412" i="2"/>
  <c r="A393" i="1"/>
  <c r="J393" i="1"/>
  <c r="L393" i="1" s="1"/>
  <c r="A411" i="2"/>
  <c r="A392" i="1"/>
  <c r="J392" i="1"/>
  <c r="Q392" i="1" s="1"/>
  <c r="A410" i="2"/>
  <c r="A409" i="2"/>
  <c r="A391" i="1"/>
  <c r="J391" i="1"/>
  <c r="T391" i="1" s="1"/>
  <c r="A408" i="2"/>
  <c r="A390" i="1"/>
  <c r="J390" i="1"/>
  <c r="T390" i="1" s="1"/>
  <c r="A407" i="2"/>
  <c r="A389" i="1"/>
  <c r="J389" i="1"/>
  <c r="L389" i="1" s="1"/>
  <c r="A406" i="2"/>
  <c r="A388" i="1"/>
  <c r="J388" i="1"/>
  <c r="L388" i="1" s="1"/>
  <c r="A387" i="1"/>
  <c r="J387" i="1"/>
  <c r="L387" i="1" s="1"/>
  <c r="A405" i="2"/>
  <c r="A404" i="2"/>
  <c r="A386" i="1"/>
  <c r="J386" i="1"/>
  <c r="T386" i="1" s="1"/>
  <c r="A385" i="1"/>
  <c r="J385" i="1"/>
  <c r="R385" i="1" s="1"/>
  <c r="A403" i="2"/>
  <c r="A384" i="1"/>
  <c r="J384" i="1"/>
  <c r="R384" i="1" s="1"/>
  <c r="A402" i="2"/>
  <c r="A383" i="1"/>
  <c r="J383" i="1"/>
  <c r="R383" i="1" s="1"/>
  <c r="A401" i="2"/>
  <c r="A382" i="1"/>
  <c r="J382" i="1"/>
  <c r="L382" i="1" s="1"/>
  <c r="A400" i="2"/>
  <c r="A399" i="2"/>
  <c r="A381" i="1"/>
  <c r="J381" i="1"/>
  <c r="L381" i="1" s="1"/>
  <c r="A380" i="1"/>
  <c r="J380" i="1"/>
  <c r="L380" i="1" s="1"/>
  <c r="A398" i="2"/>
  <c r="A397" i="2"/>
  <c r="A379" i="1"/>
  <c r="J379" i="1"/>
  <c r="T379" i="1" s="1"/>
  <c r="A396" i="2"/>
  <c r="A395" i="2"/>
  <c r="A378" i="1"/>
  <c r="J378" i="1"/>
  <c r="T378" i="1" s="1"/>
  <c r="A394" i="2"/>
  <c r="A393" i="2"/>
  <c r="A377" i="1"/>
  <c r="J377" i="1"/>
  <c r="L377" i="1" s="1"/>
  <c r="A392" i="2"/>
  <c r="A391" i="2"/>
  <c r="A376" i="1"/>
  <c r="J376" i="1"/>
  <c r="T376" i="1" s="1"/>
  <c r="A390" i="2"/>
  <c r="A389" i="2"/>
  <c r="A375" i="1"/>
  <c r="J375" i="1"/>
  <c r="T375" i="1" s="1"/>
  <c r="A374" i="1"/>
  <c r="J374" i="1"/>
  <c r="T374" i="1" s="1"/>
  <c r="A373" i="1"/>
  <c r="J373" i="1"/>
  <c r="L373" i="1" s="1"/>
  <c r="A372" i="1"/>
  <c r="J372" i="1"/>
  <c r="L372" i="1" s="1"/>
  <c r="A388" i="2"/>
  <c r="A387" i="2"/>
  <c r="A386" i="2"/>
  <c r="A385" i="2"/>
  <c r="A371" i="1"/>
  <c r="J371" i="1"/>
  <c r="T371" i="1" s="1"/>
  <c r="A384" i="2"/>
  <c r="A370" i="1"/>
  <c r="J370" i="1"/>
  <c r="Q370" i="1" s="1"/>
  <c r="A369" i="1"/>
  <c r="J369" i="1"/>
  <c r="Q369" i="1" s="1"/>
  <c r="A383" i="2"/>
  <c r="A368" i="1"/>
  <c r="J368" i="1"/>
  <c r="Q368" i="1" s="1"/>
  <c r="A382" i="2"/>
  <c r="A367" i="1"/>
  <c r="J367" i="1"/>
  <c r="L367" i="1" s="1"/>
  <c r="A366" i="1"/>
  <c r="J366" i="1"/>
  <c r="L366" i="1" s="1"/>
  <c r="A381" i="2"/>
  <c r="A380" i="2"/>
  <c r="A379" i="2"/>
  <c r="A365" i="1"/>
  <c r="J365" i="1"/>
  <c r="L365" i="1" s="1"/>
  <c r="A364" i="1"/>
  <c r="J364" i="1"/>
  <c r="L364" i="1" s="1"/>
  <c r="A363" i="1"/>
  <c r="J363" i="1"/>
  <c r="Q363" i="1" s="1"/>
  <c r="A378" i="2"/>
  <c r="A377" i="2"/>
  <c r="A376" i="2"/>
  <c r="A362" i="1"/>
  <c r="J362" i="1"/>
  <c r="L362" i="1" s="1"/>
  <c r="A375" i="2"/>
  <c r="A374" i="2"/>
  <c r="A361" i="1"/>
  <c r="J361" i="1"/>
  <c r="Q361" i="1" s="1"/>
  <c r="A373" i="2"/>
  <c r="A360" i="1"/>
  <c r="J360" i="1"/>
  <c r="T360" i="1" s="1"/>
  <c r="A372" i="2"/>
  <c r="A359" i="1"/>
  <c r="J359" i="1"/>
  <c r="T359" i="1" s="1"/>
  <c r="A371" i="2"/>
  <c r="A370" i="2"/>
  <c r="A358" i="1"/>
  <c r="J358" i="1"/>
  <c r="L358" i="1" s="1"/>
  <c r="A357" i="1"/>
  <c r="J357" i="1"/>
  <c r="L357" i="1" s="1"/>
  <c r="A369" i="2"/>
  <c r="A368" i="2"/>
  <c r="A356" i="1"/>
  <c r="J356" i="1"/>
  <c r="L356" i="1" s="1"/>
  <c r="A355" i="1"/>
  <c r="J355" i="1"/>
  <c r="T355" i="1" s="1"/>
  <c r="A354" i="1"/>
  <c r="J354" i="1"/>
  <c r="R354" i="1" s="1"/>
  <c r="A367" i="2"/>
  <c r="A353" i="1"/>
  <c r="J353" i="1"/>
  <c r="R353" i="1" s="1"/>
  <c r="A366" i="2"/>
  <c r="A352" i="1"/>
  <c r="J352" i="1"/>
  <c r="L352" i="1" s="1"/>
  <c r="A365" i="2"/>
  <c r="A364" i="2"/>
  <c r="A351" i="1"/>
  <c r="J351" i="1"/>
  <c r="Q351" i="1" s="1"/>
  <c r="A363" i="2"/>
  <c r="A350" i="1"/>
  <c r="J350" i="1"/>
  <c r="L350" i="1" s="1"/>
  <c r="A362" i="2"/>
  <c r="A361" i="2"/>
  <c r="A349" i="1"/>
  <c r="J349" i="1"/>
  <c r="L349" i="1" s="1"/>
  <c r="A348" i="1"/>
  <c r="J348" i="1"/>
  <c r="L348" i="1" s="1"/>
  <c r="A347" i="1"/>
  <c r="J347" i="1"/>
  <c r="Q347" i="1" s="1"/>
  <c r="A360" i="2"/>
  <c r="A359" i="2"/>
  <c r="A358" i="2"/>
  <c r="J346" i="1"/>
  <c r="L346" i="1" s="1"/>
  <c r="A346" i="1"/>
  <c r="A357" i="2"/>
  <c r="A356" i="2"/>
  <c r="A345" i="1"/>
  <c r="J345" i="1"/>
  <c r="T345" i="1" s="1"/>
  <c r="A355" i="2"/>
  <c r="A354" i="2"/>
  <c r="A353" i="2"/>
  <c r="A352" i="2"/>
  <c r="A344" i="1"/>
  <c r="J344" i="1"/>
  <c r="Q344" i="1" s="1"/>
  <c r="A343" i="1"/>
  <c r="J343" i="1"/>
  <c r="L343" i="1" s="1"/>
  <c r="A342" i="1"/>
  <c r="J342" i="1"/>
  <c r="L342" i="1" s="1"/>
  <c r="A341" i="1"/>
  <c r="J341" i="1"/>
  <c r="L341" i="1" s="1"/>
  <c r="A340" i="1"/>
  <c r="J340" i="1"/>
  <c r="L340" i="1" s="1"/>
  <c r="A339" i="1"/>
  <c r="J339" i="1"/>
  <c r="T339" i="1" s="1"/>
  <c r="A351" i="2"/>
  <c r="A350" i="2"/>
  <c r="A349" i="2"/>
  <c r="A348" i="2"/>
  <c r="A347" i="2"/>
  <c r="A338" i="1"/>
  <c r="J338" i="1"/>
  <c r="R338" i="1" s="1"/>
  <c r="A346" i="2"/>
  <c r="A337" i="1"/>
  <c r="J337" i="1"/>
  <c r="L337" i="1" s="1"/>
  <c r="A345" i="2"/>
  <c r="A336" i="1"/>
  <c r="J336" i="1"/>
  <c r="R336" i="1" s="1"/>
  <c r="A344" i="2"/>
  <c r="A335" i="1"/>
  <c r="J335" i="1"/>
  <c r="R335" i="1" s="1"/>
  <c r="A334" i="1"/>
  <c r="J334" i="1"/>
  <c r="L334" i="1" s="1"/>
  <c r="A333" i="1"/>
  <c r="J333" i="1"/>
  <c r="L333" i="1" s="1"/>
  <c r="A332" i="1"/>
  <c r="J332" i="1"/>
  <c r="L332" i="1" s="1"/>
  <c r="A343" i="2"/>
  <c r="A342" i="2"/>
  <c r="A331" i="1"/>
  <c r="J331" i="1"/>
  <c r="L331" i="1" s="1"/>
  <c r="A330" i="1"/>
  <c r="J330" i="1"/>
  <c r="Q330" i="1" s="1"/>
  <c r="A329" i="1"/>
  <c r="J329" i="1"/>
  <c r="T329" i="1" s="1"/>
  <c r="A341" i="2"/>
  <c r="A340" i="2"/>
  <c r="A339" i="2"/>
  <c r="A328" i="1"/>
  <c r="J328" i="1"/>
  <c r="T328" i="1" s="1"/>
  <c r="A338" i="2"/>
  <c r="A327" i="1"/>
  <c r="J327" i="1"/>
  <c r="Q327" i="1" s="1"/>
  <c r="A326" i="1"/>
  <c r="J326" i="1"/>
  <c r="L326" i="1" s="1"/>
  <c r="A337" i="2"/>
  <c r="A325" i="1"/>
  <c r="J325" i="1"/>
  <c r="L325" i="1" s="1"/>
  <c r="A336" i="2"/>
  <c r="A335" i="2"/>
  <c r="A324" i="1"/>
  <c r="J324" i="1"/>
  <c r="L324" i="1" s="1"/>
  <c r="A323" i="1"/>
  <c r="J323" i="1"/>
  <c r="Q323" i="1" s="1"/>
  <c r="A334" i="2"/>
  <c r="A322" i="1"/>
  <c r="J322" i="1"/>
  <c r="Q322" i="1" s="1"/>
  <c r="A333" i="2"/>
  <c r="A332" i="2"/>
  <c r="A321" i="1"/>
  <c r="J321" i="1"/>
  <c r="L321" i="1" s="1"/>
  <c r="A331" i="2"/>
  <c r="A320" i="1"/>
  <c r="J320" i="1"/>
  <c r="L320" i="1" s="1"/>
  <c r="A330" i="2"/>
  <c r="A319" i="1"/>
  <c r="J319" i="1"/>
  <c r="R319" i="1" s="1"/>
  <c r="A329" i="2"/>
  <c r="A328" i="2"/>
  <c r="A318" i="1"/>
  <c r="J318" i="1"/>
  <c r="L318" i="1" s="1"/>
  <c r="A327" i="2"/>
  <c r="A317" i="1"/>
  <c r="J317" i="1"/>
  <c r="L317" i="1" s="1"/>
  <c r="A326" i="2"/>
  <c r="A316" i="1"/>
  <c r="J316" i="1"/>
  <c r="L316" i="1" s="1"/>
  <c r="A325" i="2"/>
  <c r="A324" i="2"/>
  <c r="A315" i="1"/>
  <c r="J315" i="1"/>
  <c r="Q315" i="1" s="1"/>
  <c r="A323" i="2"/>
  <c r="A322" i="2"/>
  <c r="A314" i="1"/>
  <c r="J314" i="1"/>
  <c r="T314" i="1" s="1"/>
  <c r="A313" i="1"/>
  <c r="J313" i="1"/>
  <c r="T313" i="1" s="1"/>
  <c r="A321" i="2"/>
  <c r="A312" i="1"/>
  <c r="J312" i="1"/>
  <c r="T312" i="1" s="1"/>
  <c r="J311" i="1"/>
  <c r="T311" i="1" s="1"/>
  <c r="A311" i="1"/>
  <c r="A310" i="1"/>
  <c r="J310" i="1"/>
  <c r="L310" i="1" s="1"/>
  <c r="A320" i="2"/>
  <c r="A319" i="2"/>
  <c r="A318" i="2"/>
  <c r="A317" i="2"/>
  <c r="A316" i="2"/>
  <c r="A309" i="1"/>
  <c r="J309" i="1"/>
  <c r="L309" i="1" s="1"/>
  <c r="A308" i="1"/>
  <c r="J308" i="1"/>
  <c r="L308" i="1" s="1"/>
  <c r="A315" i="2"/>
  <c r="A314" i="2"/>
  <c r="A307" i="1"/>
  <c r="J307" i="1"/>
  <c r="T307" i="1" s="1"/>
  <c r="A306" i="1"/>
  <c r="J306" i="1"/>
  <c r="L306" i="1" s="1"/>
  <c r="A305" i="1"/>
  <c r="J305" i="1"/>
  <c r="L305" i="1" s="1"/>
  <c r="A304" i="1"/>
  <c r="J304" i="1"/>
  <c r="Q304" i="1" s="1"/>
  <c r="A303" i="1"/>
  <c r="J303" i="1"/>
  <c r="R303" i="1" s="1"/>
  <c r="A313" i="2"/>
  <c r="A312" i="2"/>
  <c r="A302" i="1"/>
  <c r="J302" i="1"/>
  <c r="L302" i="1" s="1"/>
  <c r="A311" i="2"/>
  <c r="A310" i="2"/>
  <c r="A309" i="2"/>
  <c r="A308" i="2"/>
  <c r="A301" i="1"/>
  <c r="J301" i="1"/>
  <c r="L301" i="1" s="1"/>
  <c r="A300" i="1"/>
  <c r="J300" i="1"/>
  <c r="L300" i="1" s="1"/>
  <c r="A307" i="2"/>
  <c r="A299" i="1"/>
  <c r="J299" i="1"/>
  <c r="Q299" i="1" s="1"/>
  <c r="A298" i="1"/>
  <c r="J298" i="1"/>
  <c r="T298" i="1" s="1"/>
  <c r="A297" i="1"/>
  <c r="J297" i="1"/>
  <c r="T297" i="1" s="1"/>
  <c r="A306" i="2"/>
  <c r="A296" i="1"/>
  <c r="J296" i="1"/>
  <c r="T296" i="1" s="1"/>
  <c r="A305" i="2"/>
  <c r="A295" i="1"/>
  <c r="J295" i="1"/>
  <c r="T295" i="1" s="1"/>
  <c r="A304" i="2"/>
  <c r="A303" i="2"/>
  <c r="A294" i="1"/>
  <c r="J294" i="1"/>
  <c r="L294" i="1" s="1"/>
  <c r="A293" i="1"/>
  <c r="J293" i="1"/>
  <c r="L293" i="1" s="1"/>
  <c r="A302" i="2"/>
  <c r="A301" i="2"/>
  <c r="A292" i="1"/>
  <c r="J292" i="1"/>
  <c r="L292" i="1" s="1"/>
  <c r="A291" i="1"/>
  <c r="J291" i="1"/>
  <c r="T291" i="1" s="1"/>
  <c r="A300" i="2"/>
  <c r="A299" i="2"/>
  <c r="A290" i="1"/>
  <c r="J290" i="1"/>
  <c r="Q290" i="1" s="1"/>
  <c r="A298" i="2"/>
  <c r="A289" i="1"/>
  <c r="J289" i="1"/>
  <c r="L289" i="1" s="1"/>
  <c r="A288" i="1"/>
  <c r="J288" i="1"/>
  <c r="Q288" i="1" s="1"/>
  <c r="A297" i="2"/>
  <c r="A287" i="1"/>
  <c r="J287" i="1"/>
  <c r="R287" i="1" s="1"/>
  <c r="A286" i="1"/>
  <c r="J286" i="1"/>
  <c r="L286" i="1" s="1"/>
  <c r="A296" i="2"/>
  <c r="A285" i="1"/>
  <c r="J285" i="1"/>
  <c r="L285" i="1" s="1"/>
  <c r="A295" i="2"/>
  <c r="A284" i="1"/>
  <c r="J284" i="1"/>
  <c r="L284" i="1" s="1"/>
  <c r="A294" i="2"/>
  <c r="A293" i="2"/>
  <c r="A283" i="1"/>
  <c r="J283" i="1"/>
  <c r="L283" i="1" s="1"/>
  <c r="A292" i="2"/>
  <c r="A291" i="2"/>
  <c r="A290" i="2"/>
  <c r="A282" i="1"/>
  <c r="J282" i="1"/>
  <c r="T282" i="1" s="1"/>
  <c r="A289" i="2"/>
  <c r="J280" i="1"/>
  <c r="Q280" i="1" s="1"/>
  <c r="A281" i="1"/>
  <c r="J281" i="1"/>
  <c r="Q281" i="1" s="1"/>
  <c r="A280" i="1"/>
  <c r="A279" i="1"/>
  <c r="J279" i="1"/>
  <c r="Q279" i="1" s="1"/>
  <c r="A278" i="1"/>
  <c r="J278" i="1"/>
  <c r="L278" i="1" s="1"/>
  <c r="A288" i="2"/>
  <c r="A277" i="1"/>
  <c r="J277" i="1"/>
  <c r="L277" i="1" s="1"/>
  <c r="A287" i="2"/>
  <c r="A286" i="2"/>
  <c r="A285" i="2"/>
  <c r="A276" i="1"/>
  <c r="J276" i="1"/>
  <c r="L276" i="1" s="1"/>
  <c r="A284" i="2"/>
  <c r="A283" i="2"/>
  <c r="A282" i="2"/>
  <c r="A275" i="1"/>
  <c r="J275" i="1"/>
  <c r="T275" i="1" s="1"/>
  <c r="A274" i="1"/>
  <c r="J274" i="1"/>
  <c r="L274" i="1" s="1"/>
  <c r="A273" i="1"/>
  <c r="J273" i="1"/>
  <c r="L273" i="1" s="1"/>
  <c r="A272" i="1"/>
  <c r="J272" i="1"/>
  <c r="Q272" i="1" s="1"/>
  <c r="A281" i="2"/>
  <c r="A280" i="2"/>
  <c r="A271" i="1"/>
  <c r="J271" i="1"/>
  <c r="Q271" i="1" s="1"/>
  <c r="A270" i="1"/>
  <c r="J270" i="1"/>
  <c r="L270" i="1" s="1"/>
  <c r="A279" i="2"/>
  <c r="A278" i="2"/>
  <c r="A277" i="2"/>
  <c r="A276" i="2"/>
  <c r="A269" i="1"/>
  <c r="J269" i="1"/>
  <c r="L269" i="1" s="1"/>
  <c r="A268" i="1"/>
  <c r="J268" i="1"/>
  <c r="L268" i="1" s="1"/>
  <c r="A275" i="2"/>
  <c r="A274" i="2"/>
  <c r="A267" i="1"/>
  <c r="J267" i="1"/>
  <c r="T267" i="1" s="1"/>
  <c r="A273" i="2"/>
  <c r="A266" i="1"/>
  <c r="J266" i="1"/>
  <c r="T266" i="1" s="1"/>
  <c r="A272" i="2"/>
  <c r="A265" i="1"/>
  <c r="J265" i="1"/>
  <c r="T265" i="1" s="1"/>
  <c r="A271" i="2"/>
  <c r="A270" i="2"/>
  <c r="A264" i="1"/>
  <c r="J264" i="1"/>
  <c r="L264" i="1" s="1"/>
  <c r="A263" i="1"/>
  <c r="J263" i="1"/>
  <c r="L263" i="1" s="1"/>
  <c r="A262" i="1"/>
  <c r="J262" i="1"/>
  <c r="Q262" i="1" s="1"/>
  <c r="A261" i="1"/>
  <c r="J261" i="1"/>
  <c r="L261" i="1" s="1"/>
  <c r="A269" i="2"/>
  <c r="A260" i="1"/>
  <c r="J260" i="1"/>
  <c r="L260" i="1" s="1"/>
  <c r="A268" i="2"/>
  <c r="A267" i="2"/>
  <c r="A266" i="2"/>
  <c r="A265" i="2"/>
  <c r="A259" i="1"/>
  <c r="J259" i="1"/>
  <c r="Q259" i="1" s="1"/>
  <c r="A264" i="2"/>
  <c r="A258" i="1"/>
  <c r="J258" i="1"/>
  <c r="L258" i="1" s="1"/>
  <c r="A257" i="1"/>
  <c r="J257" i="1"/>
  <c r="Q257" i="1" s="1"/>
  <c r="A256" i="1"/>
  <c r="J256" i="1"/>
  <c r="R256" i="1" s="1"/>
  <c r="A263" i="2"/>
  <c r="A262" i="2"/>
  <c r="A261" i="2"/>
  <c r="A260" i="2"/>
  <c r="A259" i="2"/>
  <c r="A258" i="2"/>
  <c r="A255" i="1"/>
  <c r="J255" i="1"/>
  <c r="R255" i="1" s="1"/>
  <c r="A254" i="1"/>
  <c r="J254" i="1"/>
  <c r="L254" i="1" s="1"/>
  <c r="A253" i="1"/>
  <c r="J253" i="1"/>
  <c r="L253" i="1" s="1"/>
  <c r="A252" i="1"/>
  <c r="J252" i="1"/>
  <c r="L252" i="1" s="1"/>
  <c r="A251" i="1"/>
  <c r="J251" i="1"/>
  <c r="T251" i="1" s="1"/>
  <c r="A257" i="2"/>
  <c r="A256" i="2"/>
  <c r="A250" i="1"/>
  <c r="J250" i="1"/>
  <c r="T250" i="1" s="1"/>
  <c r="A249" i="1"/>
  <c r="J249" i="1"/>
  <c r="T249" i="1" s="1"/>
  <c r="A255" i="2"/>
  <c r="A254" i="2"/>
  <c r="A253" i="2"/>
  <c r="A248" i="1"/>
  <c r="J248" i="1"/>
  <c r="L248" i="1" s="1"/>
  <c r="A252" i="2"/>
  <c r="A247" i="1"/>
  <c r="J247" i="1"/>
  <c r="Q247" i="1" s="1"/>
  <c r="A246" i="1"/>
  <c r="J246" i="1"/>
  <c r="T246" i="1" s="1"/>
  <c r="A245" i="1"/>
  <c r="J245" i="1"/>
  <c r="L245" i="1" s="1"/>
  <c r="A251" i="2"/>
  <c r="A250" i="2"/>
  <c r="A244" i="1"/>
  <c r="J244" i="1"/>
  <c r="L244" i="1" s="1"/>
  <c r="A243" i="1"/>
  <c r="J243" i="1"/>
  <c r="P243" i="1" s="1"/>
  <c r="A249" i="2"/>
  <c r="A248" i="2"/>
  <c r="A247" i="2"/>
  <c r="A242" i="1"/>
  <c r="J242" i="1"/>
  <c r="L242" i="1" s="1"/>
  <c r="A246" i="2"/>
  <c r="A245" i="2"/>
  <c r="A244" i="2"/>
  <c r="A243" i="2"/>
  <c r="A241" i="1"/>
  <c r="J241" i="1"/>
  <c r="Q241" i="1" s="1"/>
  <c r="A240" i="1"/>
  <c r="J240" i="1"/>
  <c r="Q240" i="1" s="1"/>
  <c r="A242" i="2"/>
  <c r="A241" i="2"/>
  <c r="A239" i="1"/>
  <c r="J239" i="1"/>
  <c r="Q239" i="1" s="1"/>
  <c r="A238" i="1"/>
  <c r="J238" i="1"/>
  <c r="L238" i="1" s="1"/>
  <c r="A240" i="2"/>
  <c r="A237" i="1"/>
  <c r="J237" i="1"/>
  <c r="L237" i="1" s="1"/>
  <c r="A236" i="1"/>
  <c r="J236" i="1"/>
  <c r="L236" i="1" s="1"/>
  <c r="A239" i="2"/>
  <c r="A238" i="2"/>
  <c r="A237" i="2"/>
  <c r="A236" i="2"/>
  <c r="A235" i="1"/>
  <c r="J235" i="1"/>
  <c r="Q235" i="1" s="1"/>
  <c r="A234" i="1"/>
  <c r="J234" i="1"/>
  <c r="Q234" i="1" s="1"/>
  <c r="A233" i="1"/>
  <c r="J233" i="1"/>
  <c r="L233" i="1" s="1"/>
  <c r="A232" i="1"/>
  <c r="J232" i="1"/>
  <c r="L232" i="1" s="1"/>
  <c r="A231" i="1"/>
  <c r="J231" i="1"/>
  <c r="Q231" i="1" s="1"/>
  <c r="A230" i="1"/>
  <c r="J230" i="1"/>
  <c r="T230" i="1" s="1"/>
  <c r="A235" i="2"/>
  <c r="A234" i="2"/>
  <c r="A229" i="1"/>
  <c r="J229" i="1"/>
  <c r="L229" i="1" s="1"/>
  <c r="A228" i="1"/>
  <c r="J228" i="1"/>
  <c r="L228" i="1" s="1"/>
  <c r="A233" i="2"/>
  <c r="A232" i="2"/>
  <c r="A231" i="2"/>
  <c r="A227" i="1"/>
  <c r="J227" i="1"/>
  <c r="L227" i="1" s="1"/>
  <c r="A230" i="2"/>
  <c r="A229" i="2"/>
  <c r="A228" i="2"/>
  <c r="A227" i="2"/>
  <c r="A226" i="1"/>
  <c r="J226" i="1"/>
  <c r="R226" i="1" s="1"/>
  <c r="A225" i="1"/>
  <c r="J225" i="1"/>
  <c r="R225" i="1" s="1"/>
  <c r="A224" i="1"/>
  <c r="J224" i="1"/>
  <c r="R224" i="1" s="1"/>
  <c r="A223" i="1"/>
  <c r="J223" i="1"/>
  <c r="Q223" i="1" s="1"/>
  <c r="A222" i="1"/>
  <c r="J222" i="1"/>
  <c r="L222" i="1" s="1"/>
  <c r="A226" i="2"/>
  <c r="A221" i="1"/>
  <c r="J221" i="1"/>
  <c r="L221" i="1" s="1"/>
  <c r="A225" i="2"/>
  <c r="A224" i="2"/>
  <c r="A220" i="1"/>
  <c r="J220" i="1"/>
  <c r="L220" i="1" s="1"/>
  <c r="A223" i="2"/>
  <c r="A222" i="2"/>
  <c r="A221" i="2"/>
  <c r="A219" i="1"/>
  <c r="J219" i="1"/>
  <c r="Q219" i="1" s="1"/>
  <c r="A218" i="1"/>
  <c r="J218" i="1"/>
  <c r="Q218" i="1" s="1"/>
  <c r="A217" i="1"/>
  <c r="J217" i="1"/>
  <c r="Q217" i="1" s="1"/>
  <c r="A220" i="2"/>
  <c r="A219" i="2"/>
  <c r="A218" i="2"/>
  <c r="A216" i="1"/>
  <c r="J216" i="1"/>
  <c r="Q216" i="1" s="1"/>
  <c r="A215" i="1"/>
  <c r="J215" i="1"/>
  <c r="T215" i="1" s="1"/>
  <c r="A214" i="1"/>
  <c r="J214" i="1"/>
  <c r="T214" i="1" s="1"/>
  <c r="A217" i="2"/>
  <c r="A216" i="2"/>
  <c r="A215" i="2"/>
  <c r="A213" i="1"/>
  <c r="J213" i="1"/>
  <c r="L213" i="1" s="1"/>
  <c r="A214" i="2"/>
  <c r="A212" i="1"/>
  <c r="J212" i="1"/>
  <c r="L212" i="1" s="1"/>
  <c r="A211" i="1"/>
  <c r="J211" i="1"/>
  <c r="L211" i="1" s="1"/>
  <c r="A213" i="2"/>
  <c r="A210" i="1"/>
  <c r="J210" i="1"/>
  <c r="Q210" i="1" s="1"/>
  <c r="A209" i="1"/>
  <c r="J209" i="1"/>
  <c r="Q209" i="1" s="1"/>
  <c r="A208" i="1"/>
  <c r="J208" i="1"/>
  <c r="R208" i="1" s="1"/>
  <c r="A212" i="2"/>
  <c r="A207" i="1"/>
  <c r="J207" i="1"/>
  <c r="R207" i="1" s="1"/>
  <c r="A206" i="1"/>
  <c r="J206" i="1"/>
  <c r="R206" i="1" s="1"/>
  <c r="A211" i="2"/>
  <c r="A210" i="2"/>
  <c r="A205" i="1"/>
  <c r="J205" i="1"/>
  <c r="L205" i="1" s="1"/>
  <c r="A209" i="2"/>
  <c r="A204" i="1"/>
  <c r="J204" i="1"/>
  <c r="L204" i="1" s="1"/>
  <c r="A208" i="2"/>
  <c r="A203" i="1"/>
  <c r="J203" i="1"/>
  <c r="T203" i="1" s="1"/>
  <c r="A207" i="2"/>
  <c r="A206" i="2"/>
  <c r="A202" i="1"/>
  <c r="J202" i="1"/>
  <c r="T202" i="1" s="1"/>
  <c r="A201" i="1"/>
  <c r="J201" i="1"/>
  <c r="T201" i="1" s="1"/>
  <c r="A205" i="2"/>
  <c r="A204" i="2"/>
  <c r="A203" i="2"/>
  <c r="A200" i="1"/>
  <c r="J200" i="1"/>
  <c r="L200" i="1" s="1"/>
  <c r="A199" i="1"/>
  <c r="J199" i="1"/>
  <c r="Q199" i="1" s="1"/>
  <c r="A198" i="1"/>
  <c r="J198" i="1"/>
  <c r="T198" i="1" s="1"/>
  <c r="A202" i="2"/>
  <c r="A201" i="2"/>
  <c r="A197" i="1"/>
  <c r="J197" i="1"/>
  <c r="L197" i="1" s="1"/>
  <c r="A200" i="2"/>
  <c r="A199" i="2"/>
  <c r="A196" i="1"/>
  <c r="J196" i="1"/>
  <c r="Q196" i="1" s="1"/>
  <c r="A195" i="1"/>
  <c r="J195" i="1"/>
  <c r="Q195" i="1" s="1"/>
  <c r="A194" i="1"/>
  <c r="J194" i="1"/>
  <c r="L194" i="1" s="1"/>
  <c r="A193" i="1"/>
  <c r="J193" i="1"/>
  <c r="R193" i="1" s="1"/>
  <c r="A198" i="2"/>
  <c r="A197" i="2"/>
  <c r="A192" i="1"/>
  <c r="J192" i="1"/>
  <c r="R192" i="1" s="1"/>
  <c r="A191" i="1"/>
  <c r="J191" i="1"/>
  <c r="R191" i="1" s="1"/>
  <c r="A196" i="2"/>
  <c r="A195" i="2"/>
  <c r="A190" i="1"/>
  <c r="J190" i="1"/>
  <c r="Q190" i="1" s="1"/>
  <c r="A189" i="1"/>
  <c r="J189" i="1"/>
  <c r="L189" i="1" s="1"/>
  <c r="A194" i="2"/>
  <c r="A188" i="1"/>
  <c r="J188" i="1"/>
  <c r="L188" i="1" s="1"/>
  <c r="A187" i="1"/>
  <c r="J187" i="1"/>
  <c r="Q187" i="1" s="1"/>
  <c r="A193" i="2"/>
  <c r="A186" i="1"/>
  <c r="J186" i="1"/>
  <c r="T186" i="1" s="1"/>
  <c r="A185" i="1"/>
  <c r="J185" i="1"/>
  <c r="T185" i="1" s="1"/>
  <c r="A192" i="2"/>
  <c r="A191" i="2"/>
  <c r="J184" i="1"/>
  <c r="T184" i="1" s="1"/>
  <c r="A184" i="1"/>
  <c r="A190" i="2"/>
  <c r="A189" i="2"/>
  <c r="A183" i="1"/>
  <c r="J183" i="1"/>
  <c r="L183" i="1" s="1"/>
  <c r="A182" i="1"/>
  <c r="J182" i="1"/>
  <c r="T182" i="1" s="1"/>
  <c r="A188" i="2"/>
  <c r="A187" i="2"/>
  <c r="A186" i="2"/>
  <c r="A181" i="1"/>
  <c r="J181" i="1"/>
  <c r="L181" i="1" s="1"/>
  <c r="A180" i="1"/>
  <c r="J180" i="1"/>
  <c r="T180" i="1" s="1"/>
  <c r="A185" i="2"/>
  <c r="A184" i="2"/>
  <c r="A183" i="2"/>
  <c r="A179" i="1"/>
  <c r="J179" i="1"/>
  <c r="P179" i="1" s="1"/>
  <c r="A182" i="2"/>
  <c r="A181" i="2"/>
  <c r="A178" i="1"/>
  <c r="J178" i="1"/>
  <c r="P178" i="1" s="1"/>
  <c r="A180" i="2"/>
  <c r="A179" i="2"/>
  <c r="A178" i="2"/>
  <c r="A177" i="1"/>
  <c r="J177" i="1"/>
  <c r="Q177" i="1" s="1"/>
  <c r="A177" i="2"/>
  <c r="A176" i="1"/>
  <c r="J176" i="1"/>
  <c r="R176" i="1" s="1"/>
  <c r="A176" i="2"/>
  <c r="A175" i="2"/>
  <c r="A175" i="1"/>
  <c r="J175" i="1"/>
  <c r="R175" i="1" s="1"/>
  <c r="A174" i="1"/>
  <c r="J174" i="1"/>
  <c r="L174" i="1" s="1"/>
  <c r="A173" i="1"/>
  <c r="J173" i="1"/>
  <c r="L173" i="1" s="1"/>
  <c r="A174" i="2"/>
  <c r="A173" i="2"/>
  <c r="A172" i="2"/>
  <c r="A172" i="1"/>
  <c r="J172" i="1"/>
  <c r="L172" i="1" s="1"/>
  <c r="A171" i="2"/>
  <c r="A171" i="1"/>
  <c r="J171" i="1"/>
  <c r="T171" i="1" s="1"/>
  <c r="A170" i="2"/>
  <c r="A169" i="2"/>
  <c r="A170" i="1"/>
  <c r="J170" i="1"/>
  <c r="Q170" i="1" s="1"/>
  <c r="A169" i="1"/>
  <c r="J169" i="1"/>
  <c r="L169" i="1" s="1"/>
  <c r="A168" i="2"/>
  <c r="A167" i="2"/>
  <c r="A168" i="1"/>
  <c r="J168" i="1"/>
  <c r="T168" i="1" s="1"/>
  <c r="A166" i="2"/>
  <c r="A165" i="2"/>
  <c r="A164" i="2"/>
  <c r="A167" i="1"/>
  <c r="J167" i="1"/>
  <c r="Q167" i="1" s="1"/>
  <c r="A163" i="2"/>
  <c r="A162" i="2"/>
  <c r="A166" i="1"/>
  <c r="J166" i="1"/>
  <c r="Q166" i="1" s="1"/>
  <c r="A165" i="1"/>
  <c r="J165" i="1"/>
  <c r="L165" i="1" s="1"/>
  <c r="A161" i="2"/>
  <c r="A160" i="2"/>
  <c r="A159" i="2"/>
  <c r="J162" i="1"/>
  <c r="R162" i="1" s="1"/>
  <c r="A164" i="1"/>
  <c r="J164" i="1"/>
  <c r="T164" i="1" s="1"/>
  <c r="A163" i="1"/>
  <c r="J163" i="1"/>
  <c r="Q163" i="1" s="1"/>
  <c r="A162" i="1"/>
  <c r="A161" i="1"/>
  <c r="J161" i="1"/>
  <c r="R161" i="1" s="1"/>
  <c r="A160" i="1"/>
  <c r="J160" i="1"/>
  <c r="R160" i="1" s="1"/>
  <c r="A158" i="2"/>
  <c r="A159" i="1"/>
  <c r="J159" i="1"/>
  <c r="Q159" i="1" s="1"/>
  <c r="A157" i="2"/>
  <c r="A156" i="2"/>
  <c r="A158" i="1"/>
  <c r="J158" i="1"/>
  <c r="R158" i="1" s="1"/>
  <c r="A157" i="1"/>
  <c r="J157" i="1"/>
  <c r="L157" i="1" s="1"/>
  <c r="A155" i="2"/>
  <c r="A156" i="1"/>
  <c r="J156" i="1"/>
  <c r="L156" i="1" s="1"/>
  <c r="A154" i="2"/>
  <c r="A155" i="1"/>
  <c r="J155" i="1"/>
  <c r="T155" i="1" s="1"/>
  <c r="A153" i="2"/>
  <c r="A154" i="1"/>
  <c r="J154" i="1"/>
  <c r="T154" i="1" s="1"/>
  <c r="A152" i="2"/>
  <c r="A153" i="1"/>
  <c r="J153" i="1"/>
  <c r="Q153" i="1" s="1"/>
  <c r="A151" i="2"/>
  <c r="A152" i="1"/>
  <c r="J152" i="1"/>
  <c r="T152" i="1" s="1"/>
  <c r="A150" i="2"/>
  <c r="A149" i="2"/>
  <c r="A148" i="2"/>
  <c r="A151" i="1"/>
  <c r="J151" i="1"/>
  <c r="T151" i="1" s="1"/>
  <c r="A147" i="2"/>
  <c r="A150" i="1"/>
  <c r="J150" i="1"/>
  <c r="Q150" i="1" s="1"/>
  <c r="A146" i="2"/>
  <c r="A149" i="1"/>
  <c r="J149" i="1"/>
  <c r="L149" i="1" s="1"/>
  <c r="A148" i="1"/>
  <c r="J148" i="1"/>
  <c r="Q148" i="1" s="1"/>
  <c r="A145" i="2"/>
  <c r="A144" i="2"/>
  <c r="A143" i="2"/>
  <c r="A147" i="1"/>
  <c r="J147" i="1"/>
  <c r="Q147" i="1" s="1"/>
  <c r="A142" i="2"/>
  <c r="A146" i="1"/>
  <c r="J146" i="1"/>
  <c r="Q146" i="1" s="1"/>
  <c r="A141" i="2"/>
  <c r="A140" i="2"/>
  <c r="A139" i="2"/>
  <c r="A145" i="1"/>
  <c r="J145" i="1"/>
  <c r="Q145" i="1" s="1"/>
  <c r="A144" i="1"/>
  <c r="J144" i="1"/>
  <c r="L144" i="1" s="1"/>
  <c r="A143" i="1"/>
  <c r="J143" i="1"/>
  <c r="R143" i="1" s="1"/>
  <c r="A142" i="1"/>
  <c r="J142" i="1"/>
  <c r="R142" i="1" s="1"/>
  <c r="A138" i="2"/>
  <c r="A141" i="1"/>
  <c r="J141" i="1"/>
  <c r="L141" i="1" s="1"/>
  <c r="A137" i="2"/>
  <c r="A140" i="1"/>
  <c r="J140" i="1"/>
  <c r="L140" i="1" s="1"/>
  <c r="A136" i="2"/>
  <c r="A135" i="2"/>
  <c r="A134" i="2"/>
  <c r="A133" i="2"/>
  <c r="A139" i="1"/>
  <c r="J139" i="1"/>
  <c r="L139" i="1" s="1"/>
  <c r="A132" i="2"/>
  <c r="A138" i="1"/>
  <c r="J138" i="1"/>
  <c r="Q138" i="1" s="1"/>
  <c r="A131" i="2"/>
  <c r="A137" i="1"/>
  <c r="J137" i="1"/>
  <c r="T137" i="1" s="1"/>
  <c r="A136" i="1"/>
  <c r="J136" i="1"/>
  <c r="T136" i="1" s="1"/>
  <c r="A130" i="2"/>
  <c r="A135" i="1"/>
  <c r="J135" i="1"/>
  <c r="T135" i="1" s="1"/>
  <c r="A134" i="1"/>
  <c r="J134" i="1"/>
  <c r="T134" i="1" s="1"/>
  <c r="A133" i="1"/>
  <c r="J133" i="1"/>
  <c r="L133" i="1" s="1"/>
  <c r="A129" i="2"/>
  <c r="A128" i="2"/>
  <c r="A132" i="1"/>
  <c r="J132" i="1"/>
  <c r="T132" i="1" s="1"/>
  <c r="A131" i="1"/>
  <c r="J131" i="1"/>
  <c r="Q131" i="1" s="1"/>
  <c r="A130" i="1"/>
  <c r="J130" i="1"/>
  <c r="R130" i="1" s="1"/>
  <c r="J70" i="1"/>
  <c r="R70" i="1" s="1"/>
  <c r="A127" i="2"/>
  <c r="A126" i="2"/>
  <c r="A125" i="2"/>
  <c r="A129" i="1"/>
  <c r="J129" i="1"/>
  <c r="Q129" i="1" s="1"/>
  <c r="A124" i="2"/>
  <c r="A123" i="2"/>
  <c r="A122" i="2"/>
  <c r="A121" i="2"/>
  <c r="A128" i="1"/>
  <c r="J128" i="1"/>
  <c r="R128" i="1" s="1"/>
  <c r="A127" i="1"/>
  <c r="J127" i="1"/>
  <c r="R127" i="1" s="1"/>
  <c r="A126" i="1"/>
  <c r="J126" i="1"/>
  <c r="Q126" i="1" s="1"/>
  <c r="A125" i="1"/>
  <c r="J125" i="1"/>
  <c r="L125" i="1" s="1"/>
  <c r="A124" i="1"/>
  <c r="J124" i="1"/>
  <c r="L124" i="1" s="1"/>
  <c r="A120" i="2"/>
  <c r="A119" i="2"/>
  <c r="A118" i="2"/>
  <c r="A123" i="1"/>
  <c r="J123" i="1"/>
  <c r="L123" i="1" s="1"/>
  <c r="A117" i="2"/>
  <c r="A116" i="2"/>
  <c r="A122" i="1"/>
  <c r="J122" i="1"/>
  <c r="T122" i="1" s="1"/>
  <c r="A115" i="2"/>
  <c r="A114" i="2"/>
  <c r="A121" i="1"/>
  <c r="J121" i="1"/>
  <c r="T121" i="1" s="1"/>
  <c r="A113" i="2"/>
  <c r="A120" i="1"/>
  <c r="J120" i="1"/>
  <c r="T120" i="1" s="1"/>
  <c r="A112" i="2"/>
  <c r="A119" i="1"/>
  <c r="J119" i="1"/>
  <c r="Q119" i="1" s="1"/>
  <c r="T846" i="1" l="1"/>
  <c r="Q846" i="1"/>
  <c r="S846" i="1"/>
  <c r="R846" i="1"/>
  <c r="P846" i="1"/>
  <c r="S845" i="1"/>
  <c r="Q845" i="1"/>
  <c r="T845" i="1"/>
  <c r="R845" i="1"/>
  <c r="P845" i="1"/>
  <c r="T844" i="1"/>
  <c r="S844" i="1"/>
  <c r="R844" i="1"/>
  <c r="Q844" i="1"/>
  <c r="P844" i="1"/>
  <c r="T843" i="1"/>
  <c r="S843" i="1"/>
  <c r="R843" i="1"/>
  <c r="Q843" i="1"/>
  <c r="P843" i="1"/>
  <c r="T842" i="1"/>
  <c r="S842" i="1"/>
  <c r="Q842" i="1"/>
  <c r="P842" i="1"/>
  <c r="R842" i="1"/>
  <c r="S841" i="1"/>
  <c r="T841" i="1"/>
  <c r="R841" i="1"/>
  <c r="Q841" i="1"/>
  <c r="P841" i="1"/>
  <c r="T840" i="1"/>
  <c r="S840" i="1"/>
  <c r="R840" i="1"/>
  <c r="Q840" i="1"/>
  <c r="P840" i="1"/>
  <c r="R838" i="1"/>
  <c r="Q838" i="1"/>
  <c r="T839" i="1"/>
  <c r="S839" i="1"/>
  <c r="R839" i="1"/>
  <c r="Q839" i="1"/>
  <c r="P839" i="1"/>
  <c r="T838" i="1"/>
  <c r="S838" i="1"/>
  <c r="L838" i="1"/>
  <c r="R835" i="1"/>
  <c r="Q835" i="1"/>
  <c r="P835" i="1"/>
  <c r="T837" i="1"/>
  <c r="Q834" i="1"/>
  <c r="S835" i="1"/>
  <c r="S837" i="1"/>
  <c r="R837" i="1"/>
  <c r="Q837" i="1"/>
  <c r="P837" i="1"/>
  <c r="T836" i="1"/>
  <c r="S836" i="1"/>
  <c r="R836" i="1"/>
  <c r="Q836" i="1"/>
  <c r="P836" i="1"/>
  <c r="T835" i="1"/>
  <c r="T834" i="1"/>
  <c r="S834" i="1"/>
  <c r="R834" i="1"/>
  <c r="P834" i="1"/>
  <c r="T833" i="1"/>
  <c r="S833" i="1"/>
  <c r="R833" i="1"/>
  <c r="Q833" i="1"/>
  <c r="P833" i="1"/>
  <c r="T832" i="1"/>
  <c r="S832" i="1"/>
  <c r="R832" i="1"/>
  <c r="Q832" i="1"/>
  <c r="P832" i="1"/>
  <c r="R831" i="1"/>
  <c r="Q831" i="1"/>
  <c r="P831" i="1"/>
  <c r="T831" i="1"/>
  <c r="S831" i="1"/>
  <c r="P827" i="1"/>
  <c r="T823" i="1"/>
  <c r="R830" i="1"/>
  <c r="T830" i="1"/>
  <c r="S830" i="1"/>
  <c r="P830" i="1"/>
  <c r="L830" i="1"/>
  <c r="Q829" i="1"/>
  <c r="Q826" i="1"/>
  <c r="T829" i="1"/>
  <c r="S829" i="1"/>
  <c r="R829" i="1"/>
  <c r="P829" i="1"/>
  <c r="T828" i="1"/>
  <c r="L828" i="1"/>
  <c r="S828" i="1"/>
  <c r="R828" i="1"/>
  <c r="Q828" i="1"/>
  <c r="P826" i="1"/>
  <c r="T827" i="1"/>
  <c r="S827" i="1"/>
  <c r="R827" i="1"/>
  <c r="Q827" i="1"/>
  <c r="T826" i="1"/>
  <c r="S826" i="1"/>
  <c r="R826" i="1"/>
  <c r="T824" i="1"/>
  <c r="S825" i="1"/>
  <c r="T825" i="1"/>
  <c r="R825" i="1"/>
  <c r="Q825" i="1"/>
  <c r="P825" i="1"/>
  <c r="R824" i="1"/>
  <c r="O824" i="1"/>
  <c r="S824" i="1"/>
  <c r="S823" i="1"/>
  <c r="Q824" i="1"/>
  <c r="R823" i="1"/>
  <c r="P824" i="1"/>
  <c r="Q823" i="1"/>
  <c r="P823" i="1"/>
  <c r="R821" i="1"/>
  <c r="T822" i="1"/>
  <c r="S822" i="1"/>
  <c r="R822" i="1"/>
  <c r="Q822" i="1"/>
  <c r="P822" i="1"/>
  <c r="T821" i="1"/>
  <c r="S821" i="1"/>
  <c r="Q821" i="1"/>
  <c r="P821" i="1"/>
  <c r="T820" i="1"/>
  <c r="S820" i="1"/>
  <c r="R820" i="1"/>
  <c r="Q820" i="1"/>
  <c r="P820" i="1"/>
  <c r="Q816" i="1"/>
  <c r="R815" i="1"/>
  <c r="T819" i="1"/>
  <c r="S819" i="1"/>
  <c r="R819" i="1"/>
  <c r="Q819" i="1"/>
  <c r="P819" i="1"/>
  <c r="S816" i="1"/>
  <c r="R816" i="1"/>
  <c r="T818" i="1"/>
  <c r="S818" i="1"/>
  <c r="R818" i="1"/>
  <c r="Q818" i="1"/>
  <c r="P818" i="1"/>
  <c r="P816" i="1"/>
  <c r="T816" i="1"/>
  <c r="T817" i="1"/>
  <c r="S817" i="1"/>
  <c r="R817" i="1"/>
  <c r="Q817" i="1"/>
  <c r="P817" i="1"/>
  <c r="Q815" i="1"/>
  <c r="T813" i="1"/>
  <c r="T815" i="1"/>
  <c r="S815" i="1"/>
  <c r="P815" i="1"/>
  <c r="Q812" i="1"/>
  <c r="S813" i="1"/>
  <c r="T814" i="1"/>
  <c r="S814" i="1"/>
  <c r="R814" i="1"/>
  <c r="Q814" i="1"/>
  <c r="P814" i="1"/>
  <c r="R813" i="1"/>
  <c r="Q810" i="1"/>
  <c r="Q813" i="1"/>
  <c r="P813" i="1"/>
  <c r="P812" i="1"/>
  <c r="T812" i="1"/>
  <c r="S812" i="1"/>
  <c r="R812" i="1"/>
  <c r="P811" i="1"/>
  <c r="T811" i="1"/>
  <c r="S811" i="1"/>
  <c r="R811" i="1"/>
  <c r="Q811" i="1"/>
  <c r="P810" i="1"/>
  <c r="T810" i="1"/>
  <c r="S810" i="1"/>
  <c r="R810" i="1"/>
  <c r="S807" i="1"/>
  <c r="R807" i="1"/>
  <c r="Q807" i="1"/>
  <c r="T809" i="1"/>
  <c r="S809" i="1"/>
  <c r="R809" i="1"/>
  <c r="Q806" i="1"/>
  <c r="Q809" i="1"/>
  <c r="P806" i="1"/>
  <c r="T808" i="1"/>
  <c r="P809" i="1"/>
  <c r="S808" i="1"/>
  <c r="T807" i="1"/>
  <c r="R808" i="1"/>
  <c r="Q808" i="1"/>
  <c r="P808" i="1"/>
  <c r="P807" i="1"/>
  <c r="T806" i="1"/>
  <c r="S802" i="1"/>
  <c r="S806" i="1"/>
  <c r="R806" i="1"/>
  <c r="P805" i="1"/>
  <c r="T805" i="1"/>
  <c r="S805" i="1"/>
  <c r="R805" i="1"/>
  <c r="Q805" i="1"/>
  <c r="T804" i="1"/>
  <c r="S804" i="1"/>
  <c r="R804" i="1"/>
  <c r="Q804" i="1"/>
  <c r="P804" i="1"/>
  <c r="P803" i="1"/>
  <c r="T803" i="1"/>
  <c r="S803" i="1"/>
  <c r="R803" i="1"/>
  <c r="Q803" i="1"/>
  <c r="T802" i="1"/>
  <c r="R802" i="1"/>
  <c r="Q802" i="1"/>
  <c r="P802" i="1"/>
  <c r="R801" i="1"/>
  <c r="Q801" i="1"/>
  <c r="T801" i="1"/>
  <c r="S801" i="1"/>
  <c r="P801" i="1"/>
  <c r="P799" i="1"/>
  <c r="G9" i="4"/>
  <c r="E9" i="4"/>
  <c r="T800" i="1"/>
  <c r="S800" i="1"/>
  <c r="S787" i="1"/>
  <c r="R800" i="1"/>
  <c r="T799" i="1"/>
  <c r="Q800" i="1"/>
  <c r="S799" i="1"/>
  <c r="P800" i="1"/>
  <c r="R799" i="1"/>
  <c r="Q799" i="1"/>
  <c r="I9" i="4"/>
  <c r="T798" i="1"/>
  <c r="R798" i="1"/>
  <c r="S798" i="1"/>
  <c r="T797" i="1"/>
  <c r="Q798" i="1"/>
  <c r="P798" i="1"/>
  <c r="R796" i="1"/>
  <c r="Q796" i="1"/>
  <c r="S797" i="1"/>
  <c r="R797" i="1"/>
  <c r="Q795" i="1"/>
  <c r="Q797" i="1"/>
  <c r="P795" i="1"/>
  <c r="P797" i="1"/>
  <c r="T796" i="1"/>
  <c r="S796" i="1"/>
  <c r="P796" i="1"/>
  <c r="T795" i="1"/>
  <c r="S795" i="1"/>
  <c r="R795" i="1"/>
  <c r="R794" i="1"/>
  <c r="Q794" i="1"/>
  <c r="T794" i="1"/>
  <c r="S794" i="1"/>
  <c r="P794" i="1"/>
  <c r="S793" i="1"/>
  <c r="P793" i="1"/>
  <c r="T793" i="1"/>
  <c r="R793" i="1"/>
  <c r="Q793" i="1"/>
  <c r="S792" i="1"/>
  <c r="T792" i="1"/>
  <c r="R792" i="1"/>
  <c r="Q792" i="1"/>
  <c r="P792" i="1"/>
  <c r="T791" i="1"/>
  <c r="S791" i="1"/>
  <c r="R791" i="1"/>
  <c r="Q791" i="1"/>
  <c r="P791" i="1"/>
  <c r="R790" i="1"/>
  <c r="Q790" i="1"/>
  <c r="T790" i="1"/>
  <c r="S790" i="1"/>
  <c r="P790" i="1"/>
  <c r="R787" i="1"/>
  <c r="R788" i="1"/>
  <c r="T789" i="1"/>
  <c r="S789" i="1"/>
  <c r="R789" i="1"/>
  <c r="Q789" i="1"/>
  <c r="P789" i="1"/>
  <c r="Q788" i="1"/>
  <c r="R784" i="1"/>
  <c r="T788" i="1"/>
  <c r="S788" i="1"/>
  <c r="P788" i="1"/>
  <c r="T787" i="1"/>
  <c r="Q787" i="1"/>
  <c r="P787" i="1"/>
  <c r="Q783" i="1"/>
  <c r="T786" i="1"/>
  <c r="S786" i="1"/>
  <c r="R786" i="1"/>
  <c r="Q786" i="1"/>
  <c r="P786" i="1"/>
  <c r="R785" i="1"/>
  <c r="Q785" i="1"/>
  <c r="T785" i="1"/>
  <c r="S785" i="1"/>
  <c r="P785" i="1"/>
  <c r="Q784" i="1"/>
  <c r="T784" i="1"/>
  <c r="S784" i="1"/>
  <c r="P784" i="1"/>
  <c r="P783" i="1"/>
  <c r="T783" i="1"/>
  <c r="S783" i="1"/>
  <c r="R783" i="1"/>
  <c r="T782" i="1"/>
  <c r="S782" i="1"/>
  <c r="R782" i="1"/>
  <c r="Q782" i="1"/>
  <c r="P782" i="1"/>
  <c r="R781" i="1"/>
  <c r="Q781" i="1"/>
  <c r="S780" i="1"/>
  <c r="T781" i="1"/>
  <c r="S781" i="1"/>
  <c r="P781" i="1"/>
  <c r="R780" i="1"/>
  <c r="T780" i="1"/>
  <c r="Q780" i="1"/>
  <c r="P780" i="1"/>
  <c r="R778" i="1"/>
  <c r="Q777" i="1"/>
  <c r="Q778" i="1"/>
  <c r="P778" i="1"/>
  <c r="T779" i="1"/>
  <c r="S779" i="1"/>
  <c r="R779" i="1"/>
  <c r="Q779" i="1"/>
  <c r="S777" i="1"/>
  <c r="P779" i="1"/>
  <c r="R777" i="1"/>
  <c r="P777" i="1"/>
  <c r="S778" i="1"/>
  <c r="T778" i="1"/>
  <c r="T777" i="1"/>
  <c r="T776" i="1"/>
  <c r="S776" i="1"/>
  <c r="R776" i="1"/>
  <c r="Q776" i="1"/>
  <c r="P776" i="1"/>
  <c r="R775" i="1"/>
  <c r="Q775" i="1"/>
  <c r="P775" i="1"/>
  <c r="T775" i="1"/>
  <c r="S775" i="1"/>
  <c r="Q774" i="1"/>
  <c r="S772" i="1"/>
  <c r="Q772" i="1"/>
  <c r="R772" i="1"/>
  <c r="P772" i="1"/>
  <c r="T774" i="1"/>
  <c r="S774" i="1"/>
  <c r="R774" i="1"/>
  <c r="P774" i="1"/>
  <c r="P773" i="1"/>
  <c r="T773" i="1"/>
  <c r="S773" i="1"/>
  <c r="R773" i="1"/>
  <c r="Q773" i="1"/>
  <c r="S771" i="1"/>
  <c r="T772" i="1"/>
  <c r="T771" i="1"/>
  <c r="Q771" i="1"/>
  <c r="R771" i="1"/>
  <c r="P771" i="1"/>
  <c r="T769" i="1"/>
  <c r="S769" i="1"/>
  <c r="R769" i="1"/>
  <c r="Q769" i="1"/>
  <c r="T770" i="1"/>
  <c r="Q770" i="1"/>
  <c r="S770" i="1"/>
  <c r="R770" i="1"/>
  <c r="P770" i="1"/>
  <c r="P769" i="1"/>
  <c r="T768" i="1"/>
  <c r="Q767" i="1"/>
  <c r="S768" i="1"/>
  <c r="R768" i="1"/>
  <c r="P768" i="1"/>
  <c r="Q768" i="1"/>
  <c r="L767" i="1"/>
  <c r="R767" i="1"/>
  <c r="P767" i="1"/>
  <c r="T767" i="1"/>
  <c r="S766" i="1"/>
  <c r="T766" i="1"/>
  <c r="R766" i="1"/>
  <c r="P765" i="1"/>
  <c r="Q766" i="1"/>
  <c r="P766" i="1"/>
  <c r="T765" i="1"/>
  <c r="S765" i="1"/>
  <c r="R765" i="1"/>
  <c r="S760" i="1"/>
  <c r="Q765" i="1"/>
  <c r="T764" i="1"/>
  <c r="S764" i="1"/>
  <c r="P764" i="1"/>
  <c r="R764" i="1"/>
  <c r="Q764" i="1"/>
  <c r="T763" i="1"/>
  <c r="S763" i="1"/>
  <c r="R763" i="1"/>
  <c r="Q763" i="1"/>
  <c r="P763" i="1"/>
  <c r="T761" i="1"/>
  <c r="T762" i="1"/>
  <c r="S762" i="1"/>
  <c r="R762" i="1"/>
  <c r="Q762" i="1"/>
  <c r="P762" i="1"/>
  <c r="S761" i="1"/>
  <c r="R761" i="1"/>
  <c r="Q761" i="1"/>
  <c r="P761" i="1"/>
  <c r="T760" i="1"/>
  <c r="P755" i="1"/>
  <c r="Q759" i="1"/>
  <c r="Q760" i="1"/>
  <c r="R760" i="1"/>
  <c r="P760" i="1"/>
  <c r="T759" i="1"/>
  <c r="S759" i="1"/>
  <c r="R759" i="1"/>
  <c r="P759" i="1"/>
  <c r="T757" i="1"/>
  <c r="S757" i="1"/>
  <c r="R757" i="1"/>
  <c r="T758" i="1"/>
  <c r="R758" i="1"/>
  <c r="S758" i="1"/>
  <c r="Q758" i="1"/>
  <c r="P758" i="1"/>
  <c r="T756" i="1"/>
  <c r="T753" i="1"/>
  <c r="R752" i="1"/>
  <c r="Q757" i="1"/>
  <c r="P757" i="1"/>
  <c r="R753" i="1"/>
  <c r="T755" i="1"/>
  <c r="S755" i="1"/>
  <c r="R755" i="1"/>
  <c r="P752" i="1"/>
  <c r="S756" i="1"/>
  <c r="R756" i="1"/>
  <c r="Q756" i="1"/>
  <c r="P756" i="1"/>
  <c r="Q752" i="1"/>
  <c r="Q755" i="1"/>
  <c r="T754" i="1"/>
  <c r="S754" i="1"/>
  <c r="R754" i="1"/>
  <c r="Q754" i="1"/>
  <c r="P754" i="1"/>
  <c r="S753" i="1"/>
  <c r="L753" i="1"/>
  <c r="P753" i="1"/>
  <c r="S751" i="1"/>
  <c r="T752" i="1"/>
  <c r="S752" i="1"/>
  <c r="T751" i="1"/>
  <c r="T750" i="1"/>
  <c r="Q751" i="1"/>
  <c r="R751" i="1"/>
  <c r="P751" i="1"/>
  <c r="S750" i="1"/>
  <c r="P750" i="1"/>
  <c r="Q750" i="1"/>
  <c r="L750" i="1"/>
  <c r="S747" i="1"/>
  <c r="Q747" i="1"/>
  <c r="T747" i="1"/>
  <c r="T749" i="1"/>
  <c r="S749" i="1"/>
  <c r="R749" i="1"/>
  <c r="S748" i="1"/>
  <c r="R748" i="1"/>
  <c r="Q748" i="1"/>
  <c r="P748" i="1"/>
  <c r="R747" i="1"/>
  <c r="Q749" i="1"/>
  <c r="P749" i="1"/>
  <c r="T748" i="1"/>
  <c r="P744" i="1"/>
  <c r="P747" i="1"/>
  <c r="S744" i="1"/>
  <c r="R744" i="1"/>
  <c r="Q744" i="1"/>
  <c r="T746" i="1"/>
  <c r="S746" i="1"/>
  <c r="R746" i="1"/>
  <c r="Q746" i="1"/>
  <c r="P746" i="1"/>
  <c r="P737" i="1"/>
  <c r="P745" i="1"/>
  <c r="T745" i="1"/>
  <c r="S745" i="1"/>
  <c r="R745" i="1"/>
  <c r="Q745" i="1"/>
  <c r="T744" i="1"/>
  <c r="S742" i="1"/>
  <c r="R742" i="1"/>
  <c r="Q742" i="1"/>
  <c r="P742" i="1"/>
  <c r="T743" i="1"/>
  <c r="S743" i="1"/>
  <c r="R743" i="1"/>
  <c r="Q743" i="1"/>
  <c r="P743" i="1"/>
  <c r="T742" i="1"/>
  <c r="S739" i="1"/>
  <c r="R739" i="1"/>
  <c r="T741" i="1"/>
  <c r="S741" i="1"/>
  <c r="R741" i="1"/>
  <c r="Q741" i="1"/>
  <c r="P741" i="1"/>
  <c r="T740" i="1"/>
  <c r="S740" i="1"/>
  <c r="R740" i="1"/>
  <c r="Q740" i="1"/>
  <c r="P740" i="1"/>
  <c r="R733" i="1"/>
  <c r="P739" i="1"/>
  <c r="T733" i="1"/>
  <c r="T739" i="1"/>
  <c r="Q739" i="1"/>
  <c r="T737" i="1"/>
  <c r="R737" i="1"/>
  <c r="Q737" i="1"/>
  <c r="R734" i="1"/>
  <c r="Q734" i="1"/>
  <c r="P734" i="1"/>
  <c r="L738" i="1"/>
  <c r="Q733" i="1"/>
  <c r="S737" i="1"/>
  <c r="L734" i="1"/>
  <c r="T738" i="1"/>
  <c r="S738" i="1"/>
  <c r="R738" i="1"/>
  <c r="Q738" i="1"/>
  <c r="S733" i="1"/>
  <c r="Q736" i="1"/>
  <c r="T736" i="1"/>
  <c r="S736" i="1"/>
  <c r="R736" i="1"/>
  <c r="P736" i="1"/>
  <c r="Q735" i="1"/>
  <c r="T735" i="1"/>
  <c r="S735" i="1"/>
  <c r="R735" i="1"/>
  <c r="P735" i="1"/>
  <c r="T734" i="1"/>
  <c r="P733" i="1"/>
  <c r="T732" i="1"/>
  <c r="S732" i="1"/>
  <c r="R732" i="1"/>
  <c r="Q732" i="1"/>
  <c r="P732" i="1"/>
  <c r="Q730" i="1"/>
  <c r="T731" i="1"/>
  <c r="S731" i="1"/>
  <c r="R731" i="1"/>
  <c r="Q731" i="1"/>
  <c r="P731" i="1"/>
  <c r="R730" i="1"/>
  <c r="T729" i="1"/>
  <c r="R729" i="1"/>
  <c r="P724" i="1"/>
  <c r="T730" i="1"/>
  <c r="S730" i="1"/>
  <c r="P730" i="1"/>
  <c r="S729" i="1"/>
  <c r="Q729" i="1"/>
  <c r="P729" i="1"/>
  <c r="T728" i="1"/>
  <c r="S728" i="1"/>
  <c r="R728" i="1"/>
  <c r="Q728" i="1"/>
  <c r="P728" i="1"/>
  <c r="R727" i="1"/>
  <c r="S723" i="1"/>
  <c r="T727" i="1"/>
  <c r="S727" i="1"/>
  <c r="Q727" i="1"/>
  <c r="P727" i="1"/>
  <c r="T725" i="1"/>
  <c r="S725" i="1"/>
  <c r="R725" i="1"/>
  <c r="T726" i="1"/>
  <c r="S726" i="1"/>
  <c r="R726" i="1"/>
  <c r="Q726" i="1"/>
  <c r="P726" i="1"/>
  <c r="R722" i="1"/>
  <c r="R723" i="1"/>
  <c r="Q723" i="1"/>
  <c r="P723" i="1"/>
  <c r="Q725" i="1"/>
  <c r="P725" i="1"/>
  <c r="T724" i="1"/>
  <c r="S724" i="1"/>
  <c r="R724" i="1"/>
  <c r="Q724" i="1"/>
  <c r="T723" i="1"/>
  <c r="T722" i="1"/>
  <c r="S722" i="1"/>
  <c r="P722" i="1"/>
  <c r="Q722" i="1"/>
  <c r="T721" i="1"/>
  <c r="S721" i="1"/>
  <c r="R721" i="1"/>
  <c r="Q721" i="1"/>
  <c r="Q714" i="1"/>
  <c r="P721" i="1"/>
  <c r="S720" i="1"/>
  <c r="R720" i="1"/>
  <c r="Q720" i="1"/>
  <c r="P720" i="1"/>
  <c r="T720" i="1"/>
  <c r="R715" i="1"/>
  <c r="Q715" i="1"/>
  <c r="T719" i="1"/>
  <c r="S719" i="1"/>
  <c r="R719" i="1"/>
  <c r="Q719" i="1"/>
  <c r="P719" i="1"/>
  <c r="T715" i="1"/>
  <c r="P717" i="1"/>
  <c r="S715" i="1"/>
  <c r="T718" i="1"/>
  <c r="T717" i="1"/>
  <c r="S717" i="1"/>
  <c r="R717" i="1"/>
  <c r="Q717" i="1"/>
  <c r="R718" i="1"/>
  <c r="S718" i="1"/>
  <c r="Q718" i="1"/>
  <c r="T712" i="1"/>
  <c r="P718" i="1"/>
  <c r="S713" i="1"/>
  <c r="T714" i="1"/>
  <c r="S714" i="1"/>
  <c r="R714" i="1"/>
  <c r="T716" i="1"/>
  <c r="S716" i="1"/>
  <c r="R716" i="1"/>
  <c r="Q716" i="1"/>
  <c r="P716" i="1"/>
  <c r="P715" i="1"/>
  <c r="P713" i="1"/>
  <c r="P714" i="1"/>
  <c r="S712" i="1"/>
  <c r="T713" i="1"/>
  <c r="R713" i="1"/>
  <c r="Q713" i="1"/>
  <c r="R711" i="1"/>
  <c r="Q711" i="1"/>
  <c r="P711" i="1"/>
  <c r="R712" i="1"/>
  <c r="Q712" i="1"/>
  <c r="P712" i="1"/>
  <c r="P705" i="1"/>
  <c r="L711" i="1"/>
  <c r="T711" i="1"/>
  <c r="S706" i="1"/>
  <c r="T709" i="1"/>
  <c r="R705" i="1"/>
  <c r="R707" i="1"/>
  <c r="T708" i="1"/>
  <c r="T710" i="1"/>
  <c r="S710" i="1"/>
  <c r="R710" i="1"/>
  <c r="Q710" i="1"/>
  <c r="P710" i="1"/>
  <c r="P706" i="1"/>
  <c r="S705" i="1"/>
  <c r="S709" i="1"/>
  <c r="R709" i="1"/>
  <c r="Q709" i="1"/>
  <c r="S708" i="1"/>
  <c r="P709" i="1"/>
  <c r="R708" i="1"/>
  <c r="Q708" i="1"/>
  <c r="P708" i="1"/>
  <c r="Q705" i="1"/>
  <c r="P702" i="1"/>
  <c r="T707" i="1"/>
  <c r="S707" i="1"/>
  <c r="P704" i="1"/>
  <c r="Q707" i="1"/>
  <c r="P707" i="1"/>
  <c r="R703" i="1"/>
  <c r="R706" i="1"/>
  <c r="Q703" i="1"/>
  <c r="Q706" i="1"/>
  <c r="T706" i="1"/>
  <c r="T705" i="1"/>
  <c r="T704" i="1"/>
  <c r="S704" i="1"/>
  <c r="R704" i="1"/>
  <c r="Q704" i="1"/>
  <c r="S703" i="1"/>
  <c r="T703" i="1"/>
  <c r="P703" i="1"/>
  <c r="R702" i="1"/>
  <c r="R700" i="1"/>
  <c r="T701" i="1"/>
  <c r="S701" i="1"/>
  <c r="R701" i="1"/>
  <c r="T702" i="1"/>
  <c r="Q701" i="1"/>
  <c r="S702" i="1"/>
  <c r="Q702" i="1"/>
  <c r="T700" i="1"/>
  <c r="S700" i="1"/>
  <c r="P701" i="1"/>
  <c r="R698" i="1"/>
  <c r="Q700" i="1"/>
  <c r="P700" i="1"/>
  <c r="S698" i="1"/>
  <c r="T699" i="1"/>
  <c r="S699" i="1"/>
  <c r="R699" i="1"/>
  <c r="Q699" i="1"/>
  <c r="P699" i="1"/>
  <c r="Q698" i="1"/>
  <c r="P698" i="1"/>
  <c r="T698" i="1"/>
  <c r="T697" i="1"/>
  <c r="S697" i="1"/>
  <c r="R697" i="1"/>
  <c r="Q697" i="1"/>
  <c r="P697" i="1"/>
  <c r="T694" i="1"/>
  <c r="R694" i="1"/>
  <c r="T696" i="1"/>
  <c r="S696" i="1"/>
  <c r="R696" i="1"/>
  <c r="Q696" i="1"/>
  <c r="P696" i="1"/>
  <c r="T695" i="1"/>
  <c r="S695" i="1"/>
  <c r="R695" i="1"/>
  <c r="Q695" i="1"/>
  <c r="P695" i="1"/>
  <c r="S694" i="1"/>
  <c r="L694" i="1"/>
  <c r="Q692" i="1"/>
  <c r="T693" i="1"/>
  <c r="Q694" i="1"/>
  <c r="S693" i="1"/>
  <c r="R693" i="1"/>
  <c r="S692" i="1"/>
  <c r="R692" i="1"/>
  <c r="P692" i="1"/>
  <c r="R689" i="1"/>
  <c r="Q693" i="1"/>
  <c r="P693" i="1"/>
  <c r="T692" i="1"/>
  <c r="T691" i="1"/>
  <c r="S691" i="1"/>
  <c r="R691" i="1"/>
  <c r="T690" i="1"/>
  <c r="S690" i="1"/>
  <c r="Q691" i="1"/>
  <c r="P691" i="1"/>
  <c r="T689" i="1"/>
  <c r="S689" i="1"/>
  <c r="R690" i="1"/>
  <c r="Q690" i="1"/>
  <c r="P690" i="1"/>
  <c r="Q689" i="1"/>
  <c r="P689" i="1"/>
  <c r="Q687" i="1"/>
  <c r="T688" i="1"/>
  <c r="S688" i="1"/>
  <c r="R688" i="1"/>
  <c r="Q688" i="1"/>
  <c r="P688" i="1"/>
  <c r="R687" i="1"/>
  <c r="T687" i="1"/>
  <c r="S687" i="1"/>
  <c r="P687" i="1"/>
  <c r="T686" i="1"/>
  <c r="S686" i="1"/>
  <c r="R686" i="1"/>
  <c r="Q683" i="1"/>
  <c r="Q686" i="1"/>
  <c r="P686" i="1"/>
  <c r="Q682" i="1"/>
  <c r="P681" i="1"/>
  <c r="R681" i="1"/>
  <c r="Q681" i="1"/>
  <c r="T685" i="1"/>
  <c r="S685" i="1"/>
  <c r="Q685" i="1"/>
  <c r="R685" i="1"/>
  <c r="L685" i="1"/>
  <c r="T684" i="1"/>
  <c r="S684" i="1"/>
  <c r="R684" i="1"/>
  <c r="Q684" i="1"/>
  <c r="S681" i="1"/>
  <c r="P684" i="1"/>
  <c r="R680" i="1"/>
  <c r="Q680" i="1"/>
  <c r="P680" i="1"/>
  <c r="R683" i="1"/>
  <c r="P683" i="1"/>
  <c r="T683" i="1"/>
  <c r="S683" i="1"/>
  <c r="T682" i="1"/>
  <c r="S682" i="1"/>
  <c r="R682" i="1"/>
  <c r="P682" i="1"/>
  <c r="T681" i="1"/>
  <c r="T680" i="1"/>
  <c r="S680" i="1"/>
  <c r="P676" i="1"/>
  <c r="R678" i="1"/>
  <c r="T678" i="1"/>
  <c r="S678" i="1"/>
  <c r="Q678" i="1"/>
  <c r="P678" i="1"/>
  <c r="R675" i="1"/>
  <c r="Q675" i="1"/>
  <c r="S679" i="1"/>
  <c r="R679" i="1"/>
  <c r="T679" i="1"/>
  <c r="Q679" i="1"/>
  <c r="P679" i="1"/>
  <c r="P675" i="1"/>
  <c r="S676" i="1"/>
  <c r="T677" i="1"/>
  <c r="S677" i="1"/>
  <c r="Q677" i="1"/>
  <c r="R676" i="1"/>
  <c r="Q676" i="1"/>
  <c r="R677" i="1"/>
  <c r="S675" i="1"/>
  <c r="P677" i="1"/>
  <c r="T667" i="1"/>
  <c r="T676" i="1"/>
  <c r="T675" i="1"/>
  <c r="Q674" i="1"/>
  <c r="T674" i="1"/>
  <c r="S674" i="1"/>
  <c r="R674" i="1"/>
  <c r="P674" i="1"/>
  <c r="R672" i="1"/>
  <c r="Q672" i="1"/>
  <c r="P672" i="1"/>
  <c r="T673" i="1"/>
  <c r="S673" i="1"/>
  <c r="R673" i="1"/>
  <c r="Q673" i="1"/>
  <c r="P673" i="1"/>
  <c r="T672" i="1"/>
  <c r="S672" i="1"/>
  <c r="Q671" i="1"/>
  <c r="L671" i="1"/>
  <c r="T671" i="1"/>
  <c r="S671" i="1"/>
  <c r="R671" i="1"/>
  <c r="T670" i="1"/>
  <c r="S670" i="1"/>
  <c r="R670" i="1"/>
  <c r="Q670" i="1"/>
  <c r="P670" i="1"/>
  <c r="P668" i="1"/>
  <c r="S668" i="1"/>
  <c r="R668" i="1"/>
  <c r="Q668" i="1"/>
  <c r="S667" i="1"/>
  <c r="T669" i="1"/>
  <c r="R667" i="1"/>
  <c r="S669" i="1"/>
  <c r="Q667" i="1"/>
  <c r="R669" i="1"/>
  <c r="T664" i="1"/>
  <c r="Q669" i="1"/>
  <c r="S664" i="1"/>
  <c r="P669" i="1"/>
  <c r="Q664" i="1"/>
  <c r="T668" i="1"/>
  <c r="R665" i="1"/>
  <c r="P667" i="1"/>
  <c r="R662" i="1"/>
  <c r="S666" i="1"/>
  <c r="T666" i="1"/>
  <c r="R666" i="1"/>
  <c r="Q666" i="1"/>
  <c r="P666" i="1"/>
  <c r="T665" i="1"/>
  <c r="S665" i="1"/>
  <c r="Q665" i="1"/>
  <c r="P665" i="1"/>
  <c r="Q663" i="1"/>
  <c r="R664" i="1"/>
  <c r="P664" i="1"/>
  <c r="T663" i="1"/>
  <c r="S663" i="1"/>
  <c r="R663" i="1"/>
  <c r="S660" i="1"/>
  <c r="T662" i="1"/>
  <c r="P663" i="1"/>
  <c r="T660" i="1"/>
  <c r="S662" i="1"/>
  <c r="T661" i="1"/>
  <c r="S661" i="1"/>
  <c r="R661" i="1"/>
  <c r="Q661" i="1"/>
  <c r="P661" i="1"/>
  <c r="Q662" i="1"/>
  <c r="P662" i="1"/>
  <c r="P657" i="1"/>
  <c r="P660" i="1"/>
  <c r="L660" i="1"/>
  <c r="R660" i="1"/>
  <c r="Q657" i="1"/>
  <c r="T655" i="1"/>
  <c r="T657" i="1"/>
  <c r="S657" i="1"/>
  <c r="T659" i="1"/>
  <c r="R657" i="1"/>
  <c r="S655" i="1"/>
  <c r="S659" i="1"/>
  <c r="R659" i="1"/>
  <c r="Q659" i="1"/>
  <c r="P659" i="1"/>
  <c r="T658" i="1"/>
  <c r="S658" i="1"/>
  <c r="R658" i="1"/>
  <c r="Q658" i="1"/>
  <c r="P658" i="1"/>
  <c r="T653" i="1"/>
  <c r="S653" i="1"/>
  <c r="P653" i="1"/>
  <c r="T656" i="1"/>
  <c r="S656" i="1"/>
  <c r="R656" i="1"/>
  <c r="Q656" i="1"/>
  <c r="P656" i="1"/>
  <c r="R655" i="1"/>
  <c r="T652" i="1"/>
  <c r="Q655" i="1"/>
  <c r="P655" i="1"/>
  <c r="L654" i="1"/>
  <c r="R654" i="1"/>
  <c r="Q654" i="1"/>
  <c r="P654" i="1"/>
  <c r="T654" i="1"/>
  <c r="S650" i="1"/>
  <c r="R653" i="1"/>
  <c r="Q653" i="1"/>
  <c r="R650" i="1"/>
  <c r="Q650" i="1"/>
  <c r="P650" i="1"/>
  <c r="R643" i="1"/>
  <c r="T650" i="1"/>
  <c r="S652" i="1"/>
  <c r="R652" i="1"/>
  <c r="Q652" i="1"/>
  <c r="P652" i="1"/>
  <c r="L651" i="1"/>
  <c r="T651" i="1"/>
  <c r="S651" i="1"/>
  <c r="R651" i="1"/>
  <c r="Q651" i="1"/>
  <c r="R649" i="1"/>
  <c r="P649" i="1"/>
  <c r="Q649" i="1"/>
  <c r="T649" i="1"/>
  <c r="S643" i="1"/>
  <c r="S649" i="1"/>
  <c r="R644" i="1"/>
  <c r="Q644" i="1"/>
  <c r="P644" i="1"/>
  <c r="S645" i="1"/>
  <c r="P645" i="1"/>
  <c r="S646" i="1"/>
  <c r="Q646" i="1"/>
  <c r="Q643" i="1"/>
  <c r="Q647" i="1"/>
  <c r="P648" i="1"/>
  <c r="S647" i="1"/>
  <c r="R647" i="1"/>
  <c r="P647" i="1"/>
  <c r="R645" i="1"/>
  <c r="T648" i="1"/>
  <c r="Q645" i="1"/>
  <c r="S648" i="1"/>
  <c r="R648" i="1"/>
  <c r="Q648" i="1"/>
  <c r="S644" i="1"/>
  <c r="T647" i="1"/>
  <c r="T646" i="1"/>
  <c r="R646" i="1"/>
  <c r="T643" i="1"/>
  <c r="P646" i="1"/>
  <c r="T645" i="1"/>
  <c r="T644" i="1"/>
  <c r="P643" i="1"/>
  <c r="R642" i="1"/>
  <c r="T642" i="1"/>
  <c r="S642" i="1"/>
  <c r="Q642" i="1"/>
  <c r="P642" i="1"/>
  <c r="S641" i="1"/>
  <c r="T641" i="1"/>
  <c r="R641" i="1"/>
  <c r="Q641" i="1"/>
  <c r="P641" i="1"/>
  <c r="S640" i="1"/>
  <c r="R640" i="1"/>
  <c r="T640" i="1"/>
  <c r="Q640" i="1"/>
  <c r="P640" i="1"/>
  <c r="Q638" i="1"/>
  <c r="T639" i="1"/>
  <c r="S639" i="1"/>
  <c r="R639" i="1"/>
  <c r="Q639" i="1"/>
  <c r="P639" i="1"/>
  <c r="T638" i="1"/>
  <c r="R635" i="1"/>
  <c r="S638" i="1"/>
  <c r="R638" i="1"/>
  <c r="L638" i="1"/>
  <c r="S635" i="1"/>
  <c r="T637" i="1"/>
  <c r="R637" i="1"/>
  <c r="S637" i="1"/>
  <c r="Q637" i="1"/>
  <c r="P637" i="1"/>
  <c r="T635" i="1"/>
  <c r="S636" i="1"/>
  <c r="T636" i="1"/>
  <c r="R636" i="1"/>
  <c r="Q636" i="1"/>
  <c r="P636" i="1"/>
  <c r="T634" i="1"/>
  <c r="Q635" i="1"/>
  <c r="P635" i="1"/>
  <c r="S634" i="1"/>
  <c r="R634" i="1"/>
  <c r="Q634" i="1"/>
  <c r="P634" i="1"/>
  <c r="S633" i="1"/>
  <c r="T633" i="1"/>
  <c r="R633" i="1"/>
  <c r="Q633" i="1"/>
  <c r="P633" i="1"/>
  <c r="R627" i="1"/>
  <c r="R629" i="1"/>
  <c r="P629" i="1"/>
  <c r="Q629" i="1"/>
  <c r="L629" i="1"/>
  <c r="P630" i="1"/>
  <c r="T632" i="1"/>
  <c r="S632" i="1"/>
  <c r="R632" i="1"/>
  <c r="Q632" i="1"/>
  <c r="P632" i="1"/>
  <c r="T631" i="1"/>
  <c r="S631" i="1"/>
  <c r="R631" i="1"/>
  <c r="Q631" i="1"/>
  <c r="P631" i="1"/>
  <c r="S630" i="1"/>
  <c r="R630" i="1"/>
  <c r="Q630" i="1"/>
  <c r="T630" i="1"/>
  <c r="Q627" i="1"/>
  <c r="P628" i="1"/>
  <c r="T627" i="1"/>
  <c r="S627" i="1"/>
  <c r="P627" i="1"/>
  <c r="T629" i="1"/>
  <c r="T628" i="1"/>
  <c r="S628" i="1"/>
  <c r="R628" i="1"/>
  <c r="Q628" i="1"/>
  <c r="T626" i="1"/>
  <c r="S626" i="1"/>
  <c r="R626" i="1"/>
  <c r="Q626" i="1"/>
  <c r="P626" i="1"/>
  <c r="T624" i="1"/>
  <c r="T625" i="1"/>
  <c r="S625" i="1"/>
  <c r="R625" i="1"/>
  <c r="Q625" i="1"/>
  <c r="P625" i="1"/>
  <c r="S624" i="1"/>
  <c r="R624" i="1"/>
  <c r="Q624" i="1"/>
  <c r="P624" i="1"/>
  <c r="T619" i="1"/>
  <c r="R621" i="1"/>
  <c r="T623" i="1"/>
  <c r="S623" i="1"/>
  <c r="R623" i="1"/>
  <c r="Q623" i="1"/>
  <c r="T622" i="1"/>
  <c r="P623" i="1"/>
  <c r="S622" i="1"/>
  <c r="R622" i="1"/>
  <c r="Q622" i="1"/>
  <c r="P622" i="1"/>
  <c r="Q621" i="1"/>
  <c r="S619" i="1"/>
  <c r="T621" i="1"/>
  <c r="S621" i="1"/>
  <c r="P621" i="1"/>
  <c r="S618" i="1"/>
  <c r="P618" i="1"/>
  <c r="S620" i="1"/>
  <c r="Q620" i="1"/>
  <c r="Q618" i="1"/>
  <c r="T620" i="1"/>
  <c r="R620" i="1"/>
  <c r="P620" i="1"/>
  <c r="R619" i="1"/>
  <c r="Q619" i="1"/>
  <c r="P619" i="1"/>
  <c r="S616" i="1"/>
  <c r="T618" i="1"/>
  <c r="R618" i="1"/>
  <c r="T617" i="1"/>
  <c r="S617" i="1"/>
  <c r="R617" i="1"/>
  <c r="Q617" i="1"/>
  <c r="P617" i="1"/>
  <c r="T616" i="1"/>
  <c r="R616" i="1"/>
  <c r="Q616" i="1"/>
  <c r="P616" i="1"/>
  <c r="P615" i="1"/>
  <c r="T615" i="1"/>
  <c r="S615" i="1"/>
  <c r="R615" i="1"/>
  <c r="Q615" i="1"/>
  <c r="R612" i="1"/>
  <c r="T614" i="1"/>
  <c r="S614" i="1"/>
  <c r="R614" i="1"/>
  <c r="Q614" i="1"/>
  <c r="P614" i="1"/>
  <c r="S612" i="1"/>
  <c r="T612" i="1"/>
  <c r="T613" i="1"/>
  <c r="S613" i="1"/>
  <c r="R613" i="1"/>
  <c r="Q613" i="1"/>
  <c r="P613" i="1"/>
  <c r="Q612" i="1"/>
  <c r="P612" i="1"/>
  <c r="T611" i="1"/>
  <c r="S611" i="1"/>
  <c r="R611" i="1"/>
  <c r="T610" i="1"/>
  <c r="Q611" i="1"/>
  <c r="S610" i="1"/>
  <c r="P611" i="1"/>
  <c r="R610" i="1"/>
  <c r="Q610" i="1"/>
  <c r="T608" i="1"/>
  <c r="T609" i="1"/>
  <c r="P610" i="1"/>
  <c r="S609" i="1"/>
  <c r="R609" i="1"/>
  <c r="Q609" i="1"/>
  <c r="P609" i="1"/>
  <c r="Q608" i="1"/>
  <c r="S606" i="1"/>
  <c r="S608" i="1"/>
  <c r="R608" i="1"/>
  <c r="P608" i="1"/>
  <c r="P605" i="1"/>
  <c r="T607" i="1"/>
  <c r="S607" i="1"/>
  <c r="R607" i="1"/>
  <c r="Q607" i="1"/>
  <c r="P607" i="1"/>
  <c r="T604" i="1"/>
  <c r="T606" i="1"/>
  <c r="R606" i="1"/>
  <c r="Q606" i="1"/>
  <c r="P606" i="1"/>
  <c r="S605" i="1"/>
  <c r="R605" i="1"/>
  <c r="Q605" i="1"/>
  <c r="T605" i="1"/>
  <c r="S604" i="1"/>
  <c r="R604" i="1"/>
  <c r="Q604" i="1"/>
  <c r="P604" i="1"/>
  <c r="T603" i="1"/>
  <c r="S603" i="1"/>
  <c r="R603" i="1"/>
  <c r="Q603" i="1"/>
  <c r="P603" i="1"/>
  <c r="T602" i="1"/>
  <c r="S602" i="1"/>
  <c r="R602" i="1"/>
  <c r="Q602" i="1"/>
  <c r="P602" i="1"/>
  <c r="T601" i="1"/>
  <c r="S598" i="1"/>
  <c r="S601" i="1"/>
  <c r="R601" i="1"/>
  <c r="T600" i="1"/>
  <c r="Q600" i="1"/>
  <c r="Q601" i="1"/>
  <c r="P601" i="1"/>
  <c r="S600" i="1"/>
  <c r="R600" i="1"/>
  <c r="R598" i="1"/>
  <c r="Q598" i="1"/>
  <c r="P598" i="1"/>
  <c r="T598" i="1"/>
  <c r="P600" i="1"/>
  <c r="T599" i="1"/>
  <c r="S599" i="1"/>
  <c r="R599" i="1"/>
  <c r="P599" i="1"/>
  <c r="T597" i="1"/>
  <c r="S597" i="1"/>
  <c r="R597" i="1"/>
  <c r="Q599" i="1"/>
  <c r="Q597" i="1"/>
  <c r="P597" i="1"/>
  <c r="T592" i="1"/>
  <c r="S596" i="1"/>
  <c r="S595" i="1"/>
  <c r="T596" i="1"/>
  <c r="R596" i="1"/>
  <c r="Q596" i="1"/>
  <c r="P596" i="1"/>
  <c r="R594" i="1"/>
  <c r="T595" i="1"/>
  <c r="R595" i="1"/>
  <c r="Q595" i="1"/>
  <c r="P595" i="1"/>
  <c r="T594" i="1"/>
  <c r="S594" i="1"/>
  <c r="Q594" i="1"/>
  <c r="P594" i="1"/>
  <c r="R593" i="1"/>
  <c r="Q593" i="1"/>
  <c r="L593" i="1"/>
  <c r="P593" i="1"/>
  <c r="T593" i="1"/>
  <c r="S592" i="1"/>
  <c r="R592" i="1"/>
  <c r="Q592" i="1"/>
  <c r="P592" i="1"/>
  <c r="S379" i="1"/>
  <c r="S579" i="1"/>
  <c r="S550" i="1"/>
  <c r="S535" i="1"/>
  <c r="S403" i="1"/>
  <c r="S347" i="1"/>
  <c r="S196" i="1"/>
  <c r="S503" i="1"/>
  <c r="S387" i="1"/>
  <c r="S588" i="1"/>
  <c r="S582" i="1"/>
  <c r="S420" i="1"/>
  <c r="S566" i="1"/>
  <c r="S331" i="1"/>
  <c r="S551" i="1"/>
  <c r="S259" i="1"/>
  <c r="S179" i="1"/>
  <c r="S531" i="1"/>
  <c r="S131" i="1"/>
  <c r="S500" i="1"/>
  <c r="S482" i="1"/>
  <c r="S468" i="1"/>
  <c r="S459" i="1"/>
  <c r="S427" i="1"/>
  <c r="S514" i="1"/>
  <c r="S564" i="1"/>
  <c r="S507" i="1"/>
  <c r="S323" i="1"/>
  <c r="S195" i="1"/>
  <c r="S563" i="1"/>
  <c r="S419" i="1"/>
  <c r="S308" i="1"/>
  <c r="S180" i="1"/>
  <c r="S411" i="1"/>
  <c r="S307" i="1"/>
  <c r="S499" i="1"/>
  <c r="S404" i="1"/>
  <c r="S292" i="1"/>
  <c r="S164" i="1"/>
  <c r="S548" i="1"/>
  <c r="S491" i="1"/>
  <c r="S291" i="1"/>
  <c r="S163" i="1"/>
  <c r="S547" i="1"/>
  <c r="S484" i="1"/>
  <c r="S395" i="1"/>
  <c r="S276" i="1"/>
  <c r="S148" i="1"/>
  <c r="S546" i="1"/>
  <c r="S483" i="1"/>
  <c r="S388" i="1"/>
  <c r="S275" i="1"/>
  <c r="S147" i="1"/>
  <c r="S132" i="1"/>
  <c r="S532" i="1"/>
  <c r="S467" i="1"/>
  <c r="S372" i="1"/>
  <c r="S244" i="1"/>
  <c r="S260" i="1"/>
  <c r="S530" i="1"/>
  <c r="S356" i="1"/>
  <c r="S243" i="1"/>
  <c r="S587" i="1"/>
  <c r="S523" i="1"/>
  <c r="S452" i="1"/>
  <c r="S355" i="1"/>
  <c r="S228" i="1"/>
  <c r="S227" i="1"/>
  <c r="S519" i="1"/>
  <c r="S451" i="1"/>
  <c r="S516" i="1"/>
  <c r="S436" i="1"/>
  <c r="S340" i="1"/>
  <c r="S212" i="1"/>
  <c r="S571" i="1"/>
  <c r="S515" i="1"/>
  <c r="S435" i="1"/>
  <c r="S339" i="1"/>
  <c r="S211" i="1"/>
  <c r="S583" i="1"/>
  <c r="S567" i="1"/>
  <c r="S487" i="1"/>
  <c r="S471" i="1"/>
  <c r="S455" i="1"/>
  <c r="S439" i="1"/>
  <c r="S423" i="1"/>
  <c r="S407" i="1"/>
  <c r="S391" i="1"/>
  <c r="S375" i="1"/>
  <c r="S359" i="1"/>
  <c r="S343" i="1"/>
  <c r="S327" i="1"/>
  <c r="S311" i="1"/>
  <c r="S295" i="1"/>
  <c r="S279" i="1"/>
  <c r="S263" i="1"/>
  <c r="S247" i="1"/>
  <c r="S231" i="1"/>
  <c r="S215" i="1"/>
  <c r="S199" i="1"/>
  <c r="S183" i="1"/>
  <c r="S167" i="1"/>
  <c r="S151" i="1"/>
  <c r="S135" i="1"/>
  <c r="S119" i="1"/>
  <c r="T590" i="1"/>
  <c r="S534" i="1"/>
  <c r="S518" i="1"/>
  <c r="S502" i="1"/>
  <c r="S486" i="1"/>
  <c r="S470" i="1"/>
  <c r="S454" i="1"/>
  <c r="S438" i="1"/>
  <c r="S422" i="1"/>
  <c r="S406" i="1"/>
  <c r="S390" i="1"/>
  <c r="S374" i="1"/>
  <c r="S358" i="1"/>
  <c r="S342" i="1"/>
  <c r="S326" i="1"/>
  <c r="S310" i="1"/>
  <c r="S294" i="1"/>
  <c r="S278" i="1"/>
  <c r="S262" i="1"/>
  <c r="S246" i="1"/>
  <c r="S230" i="1"/>
  <c r="S214" i="1"/>
  <c r="S198" i="1"/>
  <c r="S182" i="1"/>
  <c r="S166" i="1"/>
  <c r="S150" i="1"/>
  <c r="S134" i="1"/>
  <c r="S70" i="1"/>
  <c r="R590" i="1"/>
  <c r="S581" i="1"/>
  <c r="S565" i="1"/>
  <c r="S549" i="1"/>
  <c r="S533" i="1"/>
  <c r="S517" i="1"/>
  <c r="S501" i="1"/>
  <c r="S485" i="1"/>
  <c r="S469" i="1"/>
  <c r="S453" i="1"/>
  <c r="S437" i="1"/>
  <c r="S421" i="1"/>
  <c r="S405" i="1"/>
  <c r="S389" i="1"/>
  <c r="S373" i="1"/>
  <c r="S357" i="1"/>
  <c r="S341" i="1"/>
  <c r="S325" i="1"/>
  <c r="S309" i="1"/>
  <c r="S293" i="1"/>
  <c r="S277" i="1"/>
  <c r="S261" i="1"/>
  <c r="S245" i="1"/>
  <c r="S229" i="1"/>
  <c r="S213" i="1"/>
  <c r="S197" i="1"/>
  <c r="S181" i="1"/>
  <c r="S165" i="1"/>
  <c r="S149" i="1"/>
  <c r="S133" i="1"/>
  <c r="S371" i="1"/>
  <c r="S578" i="1"/>
  <c r="S562" i="1"/>
  <c r="S498" i="1"/>
  <c r="S466" i="1"/>
  <c r="S450" i="1"/>
  <c r="S434" i="1"/>
  <c r="S418" i="1"/>
  <c r="S402" i="1"/>
  <c r="S386" i="1"/>
  <c r="S370" i="1"/>
  <c r="S354" i="1"/>
  <c r="S338" i="1"/>
  <c r="S322" i="1"/>
  <c r="S306" i="1"/>
  <c r="S290" i="1"/>
  <c r="S274" i="1"/>
  <c r="S258" i="1"/>
  <c r="S242" i="1"/>
  <c r="S226" i="1"/>
  <c r="S210" i="1"/>
  <c r="S194" i="1"/>
  <c r="S178" i="1"/>
  <c r="S162" i="1"/>
  <c r="S146" i="1"/>
  <c r="S130" i="1"/>
  <c r="S577" i="1"/>
  <c r="S561" i="1"/>
  <c r="S545" i="1"/>
  <c r="S529" i="1"/>
  <c r="S513" i="1"/>
  <c r="S497" i="1"/>
  <c r="S481" i="1"/>
  <c r="S465" i="1"/>
  <c r="S449" i="1"/>
  <c r="S433" i="1"/>
  <c r="S417" i="1"/>
  <c r="S401" i="1"/>
  <c r="S385" i="1"/>
  <c r="S369" i="1"/>
  <c r="S353" i="1"/>
  <c r="S337" i="1"/>
  <c r="S321" i="1"/>
  <c r="S305" i="1"/>
  <c r="S289" i="1"/>
  <c r="S273" i="1"/>
  <c r="S257" i="1"/>
  <c r="S241" i="1"/>
  <c r="S225" i="1"/>
  <c r="S209" i="1"/>
  <c r="S193" i="1"/>
  <c r="S177" i="1"/>
  <c r="S161" i="1"/>
  <c r="S145" i="1"/>
  <c r="S129" i="1"/>
  <c r="S324" i="1"/>
  <c r="S576" i="1"/>
  <c r="S560" i="1"/>
  <c r="S544" i="1"/>
  <c r="S528" i="1"/>
  <c r="S512" i="1"/>
  <c r="S496" i="1"/>
  <c r="S480" i="1"/>
  <c r="S464" i="1"/>
  <c r="S448" i="1"/>
  <c r="S432" i="1"/>
  <c r="S416" i="1"/>
  <c r="S400" i="1"/>
  <c r="S384" i="1"/>
  <c r="S368" i="1"/>
  <c r="S352" i="1"/>
  <c r="S336" i="1"/>
  <c r="S320" i="1"/>
  <c r="S304" i="1"/>
  <c r="S288" i="1"/>
  <c r="S272" i="1"/>
  <c r="S256" i="1"/>
  <c r="S240" i="1"/>
  <c r="S224" i="1"/>
  <c r="S208" i="1"/>
  <c r="S192" i="1"/>
  <c r="S176" i="1"/>
  <c r="S160" i="1"/>
  <c r="S144" i="1"/>
  <c r="S128" i="1"/>
  <c r="S580" i="1"/>
  <c r="S591" i="1"/>
  <c r="S575" i="1"/>
  <c r="S559" i="1"/>
  <c r="S543" i="1"/>
  <c r="S527" i="1"/>
  <c r="S511" i="1"/>
  <c r="S495" i="1"/>
  <c r="S479" i="1"/>
  <c r="S463" i="1"/>
  <c r="S447" i="1"/>
  <c r="S431" i="1"/>
  <c r="S415" i="1"/>
  <c r="S399" i="1"/>
  <c r="S383" i="1"/>
  <c r="S367" i="1"/>
  <c r="S351" i="1"/>
  <c r="S335" i="1"/>
  <c r="S319" i="1"/>
  <c r="S303" i="1"/>
  <c r="S287" i="1"/>
  <c r="S271" i="1"/>
  <c r="S255" i="1"/>
  <c r="S239" i="1"/>
  <c r="S223" i="1"/>
  <c r="S207" i="1"/>
  <c r="S191" i="1"/>
  <c r="S175" i="1"/>
  <c r="S159" i="1"/>
  <c r="S143" i="1"/>
  <c r="S127" i="1"/>
  <c r="S590" i="1"/>
  <c r="S574" i="1"/>
  <c r="S558" i="1"/>
  <c r="S542" i="1"/>
  <c r="S526" i="1"/>
  <c r="S510" i="1"/>
  <c r="S494" i="1"/>
  <c r="S478" i="1"/>
  <c r="S462" i="1"/>
  <c r="S446" i="1"/>
  <c r="S430" i="1"/>
  <c r="S414" i="1"/>
  <c r="S398" i="1"/>
  <c r="S382" i="1"/>
  <c r="S366" i="1"/>
  <c r="S350" i="1"/>
  <c r="S334" i="1"/>
  <c r="S318" i="1"/>
  <c r="S302" i="1"/>
  <c r="S286" i="1"/>
  <c r="S270" i="1"/>
  <c r="S254" i="1"/>
  <c r="S238" i="1"/>
  <c r="S222" i="1"/>
  <c r="S206" i="1"/>
  <c r="S190" i="1"/>
  <c r="S174" i="1"/>
  <c r="S158" i="1"/>
  <c r="S142" i="1"/>
  <c r="S126" i="1"/>
  <c r="T589" i="1"/>
  <c r="S589" i="1"/>
  <c r="S573" i="1"/>
  <c r="S557" i="1"/>
  <c r="S541" i="1"/>
  <c r="S525" i="1"/>
  <c r="S509" i="1"/>
  <c r="S493" i="1"/>
  <c r="S477" i="1"/>
  <c r="S461" i="1"/>
  <c r="S445" i="1"/>
  <c r="S429" i="1"/>
  <c r="S413" i="1"/>
  <c r="S397" i="1"/>
  <c r="S381" i="1"/>
  <c r="S365" i="1"/>
  <c r="S349" i="1"/>
  <c r="S333" i="1"/>
  <c r="S317" i="1"/>
  <c r="S301" i="1"/>
  <c r="S285" i="1"/>
  <c r="S269" i="1"/>
  <c r="S253" i="1"/>
  <c r="S237" i="1"/>
  <c r="S221" i="1"/>
  <c r="S205" i="1"/>
  <c r="S189" i="1"/>
  <c r="S173" i="1"/>
  <c r="S157" i="1"/>
  <c r="S141" i="1"/>
  <c r="S125" i="1"/>
  <c r="R589" i="1"/>
  <c r="S572" i="1"/>
  <c r="S556" i="1"/>
  <c r="S540" i="1"/>
  <c r="S524" i="1"/>
  <c r="S508" i="1"/>
  <c r="S492" i="1"/>
  <c r="S476" i="1"/>
  <c r="S460" i="1"/>
  <c r="S444" i="1"/>
  <c r="S428" i="1"/>
  <c r="S412" i="1"/>
  <c r="S396" i="1"/>
  <c r="S380" i="1"/>
  <c r="S364" i="1"/>
  <c r="S348" i="1"/>
  <c r="S332" i="1"/>
  <c r="S316" i="1"/>
  <c r="S300" i="1"/>
  <c r="S284" i="1"/>
  <c r="S268" i="1"/>
  <c r="S252" i="1"/>
  <c r="S236" i="1"/>
  <c r="S220" i="1"/>
  <c r="S204" i="1"/>
  <c r="S188" i="1"/>
  <c r="S172" i="1"/>
  <c r="S156" i="1"/>
  <c r="S140" i="1"/>
  <c r="S124" i="1"/>
  <c r="S555" i="1"/>
  <c r="S539" i="1"/>
  <c r="S475" i="1"/>
  <c r="S443" i="1"/>
  <c r="S363" i="1"/>
  <c r="S315" i="1"/>
  <c r="S299" i="1"/>
  <c r="S283" i="1"/>
  <c r="S267" i="1"/>
  <c r="S251" i="1"/>
  <c r="S235" i="1"/>
  <c r="S219" i="1"/>
  <c r="S203" i="1"/>
  <c r="S187" i="1"/>
  <c r="S171" i="1"/>
  <c r="S155" i="1"/>
  <c r="S139" i="1"/>
  <c r="S123" i="1"/>
  <c r="S586" i="1"/>
  <c r="S570" i="1"/>
  <c r="S554" i="1"/>
  <c r="S538" i="1"/>
  <c r="S522" i="1"/>
  <c r="S506" i="1"/>
  <c r="S490" i="1"/>
  <c r="S474" i="1"/>
  <c r="S458" i="1"/>
  <c r="S442" i="1"/>
  <c r="S426" i="1"/>
  <c r="S410" i="1"/>
  <c r="S394" i="1"/>
  <c r="S378" i="1"/>
  <c r="S362" i="1"/>
  <c r="S346" i="1"/>
  <c r="S330" i="1"/>
  <c r="S314" i="1"/>
  <c r="S298" i="1"/>
  <c r="S282" i="1"/>
  <c r="S266" i="1"/>
  <c r="S250" i="1"/>
  <c r="S234" i="1"/>
  <c r="S218" i="1"/>
  <c r="S202" i="1"/>
  <c r="S186" i="1"/>
  <c r="S170" i="1"/>
  <c r="S154" i="1"/>
  <c r="S138" i="1"/>
  <c r="S122" i="1"/>
  <c r="S585" i="1"/>
  <c r="S569" i="1"/>
  <c r="S553" i="1"/>
  <c r="S537" i="1"/>
  <c r="S521" i="1"/>
  <c r="S505" i="1"/>
  <c r="S489" i="1"/>
  <c r="S473" i="1"/>
  <c r="S457" i="1"/>
  <c r="S441" i="1"/>
  <c r="S425" i="1"/>
  <c r="S409" i="1"/>
  <c r="S393" i="1"/>
  <c r="S377" i="1"/>
  <c r="S361" i="1"/>
  <c r="S345" i="1"/>
  <c r="S329" i="1"/>
  <c r="S313" i="1"/>
  <c r="S297" i="1"/>
  <c r="S281" i="1"/>
  <c r="S265" i="1"/>
  <c r="S249" i="1"/>
  <c r="S233" i="1"/>
  <c r="S217" i="1"/>
  <c r="S201" i="1"/>
  <c r="S185" i="1"/>
  <c r="S169" i="1"/>
  <c r="S153" i="1"/>
  <c r="S137" i="1"/>
  <c r="S121" i="1"/>
  <c r="S584" i="1"/>
  <c r="S568" i="1"/>
  <c r="S552" i="1"/>
  <c r="S536" i="1"/>
  <c r="S520" i="1"/>
  <c r="S504" i="1"/>
  <c r="S488" i="1"/>
  <c r="S472" i="1"/>
  <c r="S456" i="1"/>
  <c r="S440" i="1"/>
  <c r="S424" i="1"/>
  <c r="S408" i="1"/>
  <c r="S392" i="1"/>
  <c r="S376" i="1"/>
  <c r="S360" i="1"/>
  <c r="S344" i="1"/>
  <c r="S328" i="1"/>
  <c r="S312" i="1"/>
  <c r="S296" i="1"/>
  <c r="S280" i="1"/>
  <c r="S264" i="1"/>
  <c r="S248" i="1"/>
  <c r="S232" i="1"/>
  <c r="S216" i="1"/>
  <c r="S200" i="1"/>
  <c r="S184" i="1"/>
  <c r="S168" i="1"/>
  <c r="S152" i="1"/>
  <c r="S136" i="1"/>
  <c r="S120" i="1"/>
  <c r="T591" i="1"/>
  <c r="R591" i="1"/>
  <c r="Q591" i="1"/>
  <c r="P591" i="1"/>
  <c r="Q590" i="1"/>
  <c r="R587" i="1"/>
  <c r="P590" i="1"/>
  <c r="T586" i="1"/>
  <c r="R586" i="1"/>
  <c r="Q587" i="1"/>
  <c r="Q589" i="1"/>
  <c r="P589" i="1"/>
  <c r="T585" i="1"/>
  <c r="T588" i="1"/>
  <c r="R588" i="1"/>
  <c r="Q588" i="1"/>
  <c r="P588" i="1"/>
  <c r="T587" i="1"/>
  <c r="P587" i="1"/>
  <c r="Q586" i="1"/>
  <c r="P586" i="1"/>
  <c r="R585" i="1"/>
  <c r="Q585" i="1"/>
  <c r="P585" i="1"/>
  <c r="T584" i="1"/>
  <c r="R584" i="1"/>
  <c r="Q584" i="1"/>
  <c r="P584" i="1"/>
  <c r="T582" i="1"/>
  <c r="P580" i="1"/>
  <c r="T583" i="1"/>
  <c r="R583" i="1"/>
  <c r="Q583" i="1"/>
  <c r="P583" i="1"/>
  <c r="R582" i="1"/>
  <c r="Q582" i="1"/>
  <c r="P582" i="1"/>
  <c r="Q580" i="1"/>
  <c r="T580" i="1"/>
  <c r="R580" i="1"/>
  <c r="T581" i="1"/>
  <c r="R581" i="1"/>
  <c r="Q581" i="1"/>
  <c r="P581" i="1"/>
  <c r="T579" i="1"/>
  <c r="R579" i="1"/>
  <c r="Q579" i="1"/>
  <c r="P579" i="1"/>
  <c r="Q577" i="1"/>
  <c r="Q578" i="1"/>
  <c r="R577" i="1"/>
  <c r="T578" i="1"/>
  <c r="R578" i="1"/>
  <c r="P578" i="1"/>
  <c r="T577" i="1"/>
  <c r="P577" i="1"/>
  <c r="T576" i="1"/>
  <c r="R576" i="1"/>
  <c r="Q576" i="1"/>
  <c r="P576" i="1"/>
  <c r="T575" i="1"/>
  <c r="R575" i="1"/>
  <c r="Q575" i="1"/>
  <c r="P575" i="1"/>
  <c r="P568" i="1"/>
  <c r="P573" i="1"/>
  <c r="T573" i="1"/>
  <c r="T569" i="1"/>
  <c r="R573" i="1"/>
  <c r="Q573" i="1"/>
  <c r="T574" i="1"/>
  <c r="T570" i="1"/>
  <c r="R574" i="1"/>
  <c r="Q574" i="1"/>
  <c r="P574" i="1"/>
  <c r="T568" i="1"/>
  <c r="R569" i="1"/>
  <c r="Q569" i="1"/>
  <c r="T572" i="1"/>
  <c r="P569" i="1"/>
  <c r="R572" i="1"/>
  <c r="Q572" i="1"/>
  <c r="R570" i="1"/>
  <c r="Q570" i="1"/>
  <c r="P572" i="1"/>
  <c r="R568" i="1"/>
  <c r="T571" i="1"/>
  <c r="Q571" i="1"/>
  <c r="R571" i="1"/>
  <c r="P571" i="1"/>
  <c r="Q568" i="1"/>
  <c r="P570" i="1"/>
  <c r="T566" i="1"/>
  <c r="Q566" i="1"/>
  <c r="P566" i="1"/>
  <c r="T567" i="1"/>
  <c r="R567" i="1"/>
  <c r="T565" i="1"/>
  <c r="Q567" i="1"/>
  <c r="P567" i="1"/>
  <c r="R566" i="1"/>
  <c r="R565" i="1"/>
  <c r="Q565" i="1"/>
  <c r="P565" i="1"/>
  <c r="Q561" i="1"/>
  <c r="P561" i="1"/>
  <c r="R559" i="1"/>
  <c r="Q559" i="1"/>
  <c r="T561" i="1"/>
  <c r="R562" i="1"/>
  <c r="Q562" i="1"/>
  <c r="T564" i="1"/>
  <c r="R564" i="1"/>
  <c r="Q564" i="1"/>
  <c r="P564" i="1"/>
  <c r="T562" i="1"/>
  <c r="R563" i="1"/>
  <c r="R561" i="1"/>
  <c r="T563" i="1"/>
  <c r="Q563" i="1"/>
  <c r="P563" i="1"/>
  <c r="P562" i="1"/>
  <c r="T560" i="1"/>
  <c r="T559" i="1"/>
  <c r="R560" i="1"/>
  <c r="Q560" i="1"/>
  <c r="P560" i="1"/>
  <c r="P559" i="1"/>
  <c r="R551" i="1"/>
  <c r="T558" i="1"/>
  <c r="R558" i="1"/>
  <c r="P558" i="1"/>
  <c r="L558" i="1"/>
  <c r="T557" i="1"/>
  <c r="R557" i="1"/>
  <c r="Q557" i="1"/>
  <c r="P557" i="1"/>
  <c r="T556" i="1"/>
  <c r="T551" i="1"/>
  <c r="R556" i="1"/>
  <c r="Q556" i="1"/>
  <c r="P556" i="1"/>
  <c r="T554" i="1"/>
  <c r="T555" i="1"/>
  <c r="R555" i="1"/>
  <c r="Q555" i="1"/>
  <c r="P555" i="1"/>
  <c r="R554" i="1"/>
  <c r="Q554" i="1"/>
  <c r="P554" i="1"/>
  <c r="T553" i="1"/>
  <c r="R553" i="1"/>
  <c r="T552" i="1"/>
  <c r="R552" i="1"/>
  <c r="Q553" i="1"/>
  <c r="P553" i="1"/>
  <c r="Q552" i="1"/>
  <c r="P552" i="1"/>
  <c r="P549" i="1"/>
  <c r="Q545" i="1"/>
  <c r="Q539" i="1"/>
  <c r="Q475" i="1"/>
  <c r="Q525" i="1"/>
  <c r="Q464" i="1"/>
  <c r="Q551" i="1"/>
  <c r="Q528" i="1"/>
  <c r="P551" i="1"/>
  <c r="Q544" i="1"/>
  <c r="Q541" i="1"/>
  <c r="Q529" i="1"/>
  <c r="Q523" i="1"/>
  <c r="Q513" i="1"/>
  <c r="Q512" i="1"/>
  <c r="Q509" i="1"/>
  <c r="Q506" i="1"/>
  <c r="Q493" i="1"/>
  <c r="Q481" i="1"/>
  <c r="Q480" i="1"/>
  <c r="Q477" i="1"/>
  <c r="Q543" i="1"/>
  <c r="Q527" i="1"/>
  <c r="Q511" i="1"/>
  <c r="Q495" i="1"/>
  <c r="Q479" i="1"/>
  <c r="Q463" i="1"/>
  <c r="Q447" i="1"/>
  <c r="Q431" i="1"/>
  <c r="Q415" i="1"/>
  <c r="Q399" i="1"/>
  <c r="Q383" i="1"/>
  <c r="Q367" i="1"/>
  <c r="Q335" i="1"/>
  <c r="Q319" i="1"/>
  <c r="Q303" i="1"/>
  <c r="Q287" i="1"/>
  <c r="Q255" i="1"/>
  <c r="Q207" i="1"/>
  <c r="Q191" i="1"/>
  <c r="Q175" i="1"/>
  <c r="Q143" i="1"/>
  <c r="Q127" i="1"/>
  <c r="Q542" i="1"/>
  <c r="Q526" i="1"/>
  <c r="Q510" i="1"/>
  <c r="Q494" i="1"/>
  <c r="Q478" i="1"/>
  <c r="Q462" i="1"/>
  <c r="Q446" i="1"/>
  <c r="Q430" i="1"/>
  <c r="Q414" i="1"/>
  <c r="Q398" i="1"/>
  <c r="Q382" i="1"/>
  <c r="Q366" i="1"/>
  <c r="Q350" i="1"/>
  <c r="Q334" i="1"/>
  <c r="Q318" i="1"/>
  <c r="Q302" i="1"/>
  <c r="Q286" i="1"/>
  <c r="Q270" i="1"/>
  <c r="Q254" i="1"/>
  <c r="Q238" i="1"/>
  <c r="Q222" i="1"/>
  <c r="Q206" i="1"/>
  <c r="Q174" i="1"/>
  <c r="Q158" i="1"/>
  <c r="Q142" i="1"/>
  <c r="Q461" i="1"/>
  <c r="Q445" i="1"/>
  <c r="Q429" i="1"/>
  <c r="Q413" i="1"/>
  <c r="Q397" i="1"/>
  <c r="Q381" i="1"/>
  <c r="Q365" i="1"/>
  <c r="Q349" i="1"/>
  <c r="Q333" i="1"/>
  <c r="Q317" i="1"/>
  <c r="Q301" i="1"/>
  <c r="Q285" i="1"/>
  <c r="Q269" i="1"/>
  <c r="Q253" i="1"/>
  <c r="Q237" i="1"/>
  <c r="Q221" i="1"/>
  <c r="Q205" i="1"/>
  <c r="Q189" i="1"/>
  <c r="Q173" i="1"/>
  <c r="Q157" i="1"/>
  <c r="Q141" i="1"/>
  <c r="Q125" i="1"/>
  <c r="T549" i="1"/>
  <c r="Q540" i="1"/>
  <c r="Q524" i="1"/>
  <c r="Q508" i="1"/>
  <c r="Q492" i="1"/>
  <c r="Q476" i="1"/>
  <c r="Q460" i="1"/>
  <c r="Q444" i="1"/>
  <c r="Q428" i="1"/>
  <c r="Q412" i="1"/>
  <c r="Q396" i="1"/>
  <c r="Q380" i="1"/>
  <c r="Q364" i="1"/>
  <c r="Q348" i="1"/>
  <c r="Q332" i="1"/>
  <c r="Q316" i="1"/>
  <c r="Q300" i="1"/>
  <c r="Q284" i="1"/>
  <c r="Q268" i="1"/>
  <c r="Q252" i="1"/>
  <c r="Q236" i="1"/>
  <c r="Q220" i="1"/>
  <c r="Q204" i="1"/>
  <c r="Q188" i="1"/>
  <c r="Q172" i="1"/>
  <c r="Q156" i="1"/>
  <c r="Q140" i="1"/>
  <c r="Q124" i="1"/>
  <c r="Q507" i="1"/>
  <c r="Q491" i="1"/>
  <c r="Q459" i="1"/>
  <c r="Q443" i="1"/>
  <c r="Q427" i="1"/>
  <c r="Q411" i="1"/>
  <c r="Q395" i="1"/>
  <c r="Q379" i="1"/>
  <c r="Q331" i="1"/>
  <c r="Q283" i="1"/>
  <c r="Q267" i="1"/>
  <c r="Q251" i="1"/>
  <c r="Q203" i="1"/>
  <c r="Q171" i="1"/>
  <c r="Q155" i="1"/>
  <c r="Q139" i="1"/>
  <c r="Q123" i="1"/>
  <c r="Q538" i="1"/>
  <c r="Q522" i="1"/>
  <c r="Q490" i="1"/>
  <c r="Q474" i="1"/>
  <c r="Q458" i="1"/>
  <c r="Q442" i="1"/>
  <c r="Q426" i="1"/>
  <c r="Q410" i="1"/>
  <c r="Q394" i="1"/>
  <c r="Q378" i="1"/>
  <c r="Q362" i="1"/>
  <c r="Q346" i="1"/>
  <c r="Q314" i="1"/>
  <c r="Q298" i="1"/>
  <c r="Q282" i="1"/>
  <c r="Q266" i="1"/>
  <c r="Q250" i="1"/>
  <c r="Q202" i="1"/>
  <c r="Q186" i="1"/>
  <c r="Q154" i="1"/>
  <c r="Q122" i="1"/>
  <c r="Q537" i="1"/>
  <c r="Q521" i="1"/>
  <c r="Q505" i="1"/>
  <c r="Q489" i="1"/>
  <c r="Q473" i="1"/>
  <c r="Q457" i="1"/>
  <c r="Q441" i="1"/>
  <c r="Q425" i="1"/>
  <c r="Q409" i="1"/>
  <c r="Q393" i="1"/>
  <c r="Q377" i="1"/>
  <c r="Q345" i="1"/>
  <c r="Q329" i="1"/>
  <c r="Q313" i="1"/>
  <c r="Q297" i="1"/>
  <c r="Q265" i="1"/>
  <c r="Q249" i="1"/>
  <c r="Q233" i="1"/>
  <c r="Q201" i="1"/>
  <c r="Q185" i="1"/>
  <c r="Q169" i="1"/>
  <c r="Q137" i="1"/>
  <c r="Q121" i="1"/>
  <c r="Q536" i="1"/>
  <c r="Q520" i="1"/>
  <c r="Q504" i="1"/>
  <c r="Q488" i="1"/>
  <c r="Q472" i="1"/>
  <c r="Q456" i="1"/>
  <c r="Q440" i="1"/>
  <c r="Q424" i="1"/>
  <c r="Q408" i="1"/>
  <c r="Q376" i="1"/>
  <c r="Q360" i="1"/>
  <c r="Q328" i="1"/>
  <c r="Q312" i="1"/>
  <c r="Q296" i="1"/>
  <c r="Q264" i="1"/>
  <c r="Q248" i="1"/>
  <c r="Q232" i="1"/>
  <c r="Q200" i="1"/>
  <c r="Q184" i="1"/>
  <c r="Q168" i="1"/>
  <c r="Q152" i="1"/>
  <c r="Q136" i="1"/>
  <c r="Q120" i="1"/>
  <c r="T550" i="1"/>
  <c r="Q535" i="1"/>
  <c r="Q519" i="1"/>
  <c r="Q503" i="1"/>
  <c r="Q487" i="1"/>
  <c r="Q471" i="1"/>
  <c r="Q455" i="1"/>
  <c r="Q439" i="1"/>
  <c r="Q423" i="1"/>
  <c r="Q407" i="1"/>
  <c r="Q391" i="1"/>
  <c r="Q375" i="1"/>
  <c r="Q359" i="1"/>
  <c r="Q343" i="1"/>
  <c r="Q311" i="1"/>
  <c r="Q295" i="1"/>
  <c r="Q263" i="1"/>
  <c r="Q215" i="1"/>
  <c r="Q183" i="1"/>
  <c r="Q151" i="1"/>
  <c r="Q135" i="1"/>
  <c r="R550" i="1"/>
  <c r="Q534" i="1"/>
  <c r="Q518" i="1"/>
  <c r="Q502" i="1"/>
  <c r="Q486" i="1"/>
  <c r="Q470" i="1"/>
  <c r="Q454" i="1"/>
  <c r="Q438" i="1"/>
  <c r="Q422" i="1"/>
  <c r="Q406" i="1"/>
  <c r="Q390" i="1"/>
  <c r="Q374" i="1"/>
  <c r="Q358" i="1"/>
  <c r="Q342" i="1"/>
  <c r="Q326" i="1"/>
  <c r="Q310" i="1"/>
  <c r="Q294" i="1"/>
  <c r="Q278" i="1"/>
  <c r="Q246" i="1"/>
  <c r="Q230" i="1"/>
  <c r="Q214" i="1"/>
  <c r="Q198" i="1"/>
  <c r="Q182" i="1"/>
  <c r="Q134" i="1"/>
  <c r="Q70" i="1"/>
  <c r="Q550" i="1"/>
  <c r="Q549" i="1"/>
  <c r="Q533" i="1"/>
  <c r="Q517" i="1"/>
  <c r="Q501" i="1"/>
  <c r="Q485" i="1"/>
  <c r="Q469" i="1"/>
  <c r="Q453" i="1"/>
  <c r="Q437" i="1"/>
  <c r="Q421" i="1"/>
  <c r="Q405" i="1"/>
  <c r="Q389" i="1"/>
  <c r="Q373" i="1"/>
  <c r="Q357" i="1"/>
  <c r="Q341" i="1"/>
  <c r="Q325" i="1"/>
  <c r="Q309" i="1"/>
  <c r="Q293" i="1"/>
  <c r="Q277" i="1"/>
  <c r="Q261" i="1"/>
  <c r="Q245" i="1"/>
  <c r="Q229" i="1"/>
  <c r="Q213" i="1"/>
  <c r="Q197" i="1"/>
  <c r="Q181" i="1"/>
  <c r="Q165" i="1"/>
  <c r="Q149" i="1"/>
  <c r="Q133" i="1"/>
  <c r="P550" i="1"/>
  <c r="Q548" i="1"/>
  <c r="Q532" i="1"/>
  <c r="Q516" i="1"/>
  <c r="Q500" i="1"/>
  <c r="Q484" i="1"/>
  <c r="Q468" i="1"/>
  <c r="Q452" i="1"/>
  <c r="Q436" i="1"/>
  <c r="Q420" i="1"/>
  <c r="Q404" i="1"/>
  <c r="Q388" i="1"/>
  <c r="Q372" i="1"/>
  <c r="Q356" i="1"/>
  <c r="Q340" i="1"/>
  <c r="Q324" i="1"/>
  <c r="Q308" i="1"/>
  <c r="Q292" i="1"/>
  <c r="Q276" i="1"/>
  <c r="Q260" i="1"/>
  <c r="Q244" i="1"/>
  <c r="Q228" i="1"/>
  <c r="Q212" i="1"/>
  <c r="Q180" i="1"/>
  <c r="Q164" i="1"/>
  <c r="Q132" i="1"/>
  <c r="Q547" i="1"/>
  <c r="Q531" i="1"/>
  <c r="Q515" i="1"/>
  <c r="Q499" i="1"/>
  <c r="Q483" i="1"/>
  <c r="Q467" i="1"/>
  <c r="Q451" i="1"/>
  <c r="Q435" i="1"/>
  <c r="Q419" i="1"/>
  <c r="Q403" i="1"/>
  <c r="Q387" i="1"/>
  <c r="Q371" i="1"/>
  <c r="Q355" i="1"/>
  <c r="Q339" i="1"/>
  <c r="Q307" i="1"/>
  <c r="Q291" i="1"/>
  <c r="Q275" i="1"/>
  <c r="Q243" i="1"/>
  <c r="Q227" i="1"/>
  <c r="Q211" i="1"/>
  <c r="Q179" i="1"/>
  <c r="Q546" i="1"/>
  <c r="Q530" i="1"/>
  <c r="Q514" i="1"/>
  <c r="Q498" i="1"/>
  <c r="Q482" i="1"/>
  <c r="Q466" i="1"/>
  <c r="Q450" i="1"/>
  <c r="Q434" i="1"/>
  <c r="Q418" i="1"/>
  <c r="Q402" i="1"/>
  <c r="Q386" i="1"/>
  <c r="Q354" i="1"/>
  <c r="Q338" i="1"/>
  <c r="Q306" i="1"/>
  <c r="Q274" i="1"/>
  <c r="Q258" i="1"/>
  <c r="Q242" i="1"/>
  <c r="Q226" i="1"/>
  <c r="Q194" i="1"/>
  <c r="Q178" i="1"/>
  <c r="Q162" i="1"/>
  <c r="Q130" i="1"/>
  <c r="Q497" i="1"/>
  <c r="Q465" i="1"/>
  <c r="Q449" i="1"/>
  <c r="Q433" i="1"/>
  <c r="Q417" i="1"/>
  <c r="Q401" i="1"/>
  <c r="Q385" i="1"/>
  <c r="Q353" i="1"/>
  <c r="Q337" i="1"/>
  <c r="Q321" i="1"/>
  <c r="Q305" i="1"/>
  <c r="Q289" i="1"/>
  <c r="Q273" i="1"/>
  <c r="Q225" i="1"/>
  <c r="Q193" i="1"/>
  <c r="Q161" i="1"/>
  <c r="Q496" i="1"/>
  <c r="Q448" i="1"/>
  <c r="Q432" i="1"/>
  <c r="Q416" i="1"/>
  <c r="Q400" i="1"/>
  <c r="Q384" i="1"/>
  <c r="Q352" i="1"/>
  <c r="Q336" i="1"/>
  <c r="Q320" i="1"/>
  <c r="Q256" i="1"/>
  <c r="Q224" i="1"/>
  <c r="Q208" i="1"/>
  <c r="Q192" i="1"/>
  <c r="Q176" i="1"/>
  <c r="Q160" i="1"/>
  <c r="Q144" i="1"/>
  <c r="Q128" i="1"/>
  <c r="R547" i="1"/>
  <c r="P547" i="1"/>
  <c r="R549" i="1"/>
  <c r="T548" i="1"/>
  <c r="R548" i="1"/>
  <c r="T547" i="1"/>
  <c r="P548" i="1"/>
  <c r="R546" i="1"/>
  <c r="T546" i="1"/>
  <c r="T544" i="1"/>
  <c r="P546" i="1"/>
  <c r="L545" i="1"/>
  <c r="T545" i="1"/>
  <c r="R545" i="1"/>
  <c r="R544" i="1"/>
  <c r="T543" i="1"/>
  <c r="R543" i="1"/>
  <c r="P543" i="1"/>
  <c r="P544" i="1"/>
  <c r="T542" i="1"/>
  <c r="R542" i="1"/>
  <c r="P542" i="1"/>
  <c r="T541" i="1"/>
  <c r="R541" i="1"/>
  <c r="P541" i="1"/>
  <c r="R537" i="1"/>
  <c r="P537" i="1"/>
  <c r="R538" i="1"/>
  <c r="T540" i="1"/>
  <c r="R540" i="1"/>
  <c r="P540" i="1"/>
  <c r="P536" i="1"/>
  <c r="T538" i="1"/>
  <c r="T539" i="1"/>
  <c r="R539" i="1"/>
  <c r="P539" i="1"/>
  <c r="T537" i="1"/>
  <c r="P538" i="1"/>
  <c r="T536" i="1"/>
  <c r="R536" i="1"/>
  <c r="T535" i="1"/>
  <c r="R535" i="1"/>
  <c r="P535" i="1"/>
  <c r="R533" i="1"/>
  <c r="T533" i="1"/>
  <c r="T534" i="1"/>
  <c r="R534" i="1"/>
  <c r="P534" i="1"/>
  <c r="P533" i="1"/>
  <c r="T532" i="1"/>
  <c r="R532" i="1"/>
  <c r="P532" i="1"/>
  <c r="R531" i="1"/>
  <c r="T531" i="1"/>
  <c r="P531" i="1"/>
  <c r="R530" i="1"/>
  <c r="T530" i="1"/>
  <c r="P530" i="1"/>
  <c r="T529" i="1"/>
  <c r="R529" i="1"/>
  <c r="P529" i="1"/>
  <c r="T528" i="1"/>
  <c r="R528" i="1"/>
  <c r="P528" i="1"/>
  <c r="T527" i="1"/>
  <c r="R527" i="1"/>
  <c r="P527" i="1"/>
  <c r="T526" i="1"/>
  <c r="R526" i="1"/>
  <c r="L526" i="1"/>
  <c r="T525" i="1"/>
  <c r="R525" i="1"/>
  <c r="P525" i="1"/>
  <c r="R523" i="1"/>
  <c r="T523" i="1"/>
  <c r="T524" i="1"/>
  <c r="P524" i="1"/>
  <c r="R524" i="1"/>
  <c r="P523" i="1"/>
  <c r="T522" i="1"/>
  <c r="R522" i="1"/>
  <c r="P522" i="1"/>
  <c r="R520" i="1"/>
  <c r="T521" i="1"/>
  <c r="R521" i="1"/>
  <c r="P521" i="1"/>
  <c r="T520" i="1"/>
  <c r="P520" i="1"/>
  <c r="P517" i="1"/>
  <c r="T519" i="1"/>
  <c r="R519" i="1"/>
  <c r="P519" i="1"/>
  <c r="T517" i="1"/>
  <c r="R517" i="1"/>
  <c r="T518" i="1"/>
  <c r="R518" i="1"/>
  <c r="P518" i="1"/>
  <c r="T516" i="1"/>
  <c r="R516" i="1"/>
  <c r="P516" i="1"/>
  <c r="T515" i="1"/>
  <c r="R515" i="1"/>
  <c r="P515" i="1"/>
  <c r="T513" i="1"/>
  <c r="T514" i="1"/>
  <c r="R514" i="1"/>
  <c r="P514" i="1"/>
  <c r="R513" i="1"/>
  <c r="R512" i="1"/>
  <c r="T512" i="1"/>
  <c r="P513" i="1"/>
  <c r="P512" i="1"/>
  <c r="T511" i="1"/>
  <c r="R511" i="1"/>
  <c r="P511" i="1"/>
  <c r="T510" i="1"/>
  <c r="R510" i="1"/>
  <c r="T508" i="1"/>
  <c r="P510" i="1"/>
  <c r="P508" i="1"/>
  <c r="R508" i="1"/>
  <c r="T509" i="1"/>
  <c r="R509" i="1"/>
  <c r="P509" i="1"/>
  <c r="T507" i="1"/>
  <c r="R507" i="1"/>
  <c r="P507" i="1"/>
  <c r="T506" i="1"/>
  <c r="R506" i="1"/>
  <c r="L506" i="1"/>
  <c r="T505" i="1"/>
  <c r="R505" i="1"/>
  <c r="P505" i="1"/>
  <c r="T504" i="1"/>
  <c r="R504" i="1"/>
  <c r="T503" i="1"/>
  <c r="P504" i="1"/>
  <c r="R503" i="1"/>
  <c r="P503" i="1"/>
  <c r="T500" i="1"/>
  <c r="R500" i="1"/>
  <c r="P502" i="1"/>
  <c r="T502" i="1"/>
  <c r="R502" i="1"/>
  <c r="T501" i="1"/>
  <c r="R501" i="1"/>
  <c r="P501" i="1"/>
  <c r="P500" i="1"/>
  <c r="T499" i="1"/>
  <c r="R499" i="1"/>
  <c r="P499" i="1"/>
  <c r="R497" i="1"/>
  <c r="T498" i="1"/>
  <c r="R498" i="1"/>
  <c r="P498" i="1"/>
  <c r="R495" i="1"/>
  <c r="T497" i="1"/>
  <c r="P497" i="1"/>
  <c r="P494" i="1"/>
  <c r="P493" i="1"/>
  <c r="T491" i="1"/>
  <c r="T495" i="1"/>
  <c r="R491" i="1"/>
  <c r="T496" i="1"/>
  <c r="R496" i="1"/>
  <c r="P496" i="1"/>
  <c r="T494" i="1"/>
  <c r="P495" i="1"/>
  <c r="R492" i="1"/>
  <c r="T493" i="1"/>
  <c r="R493" i="1"/>
  <c r="R494" i="1"/>
  <c r="P491" i="1"/>
  <c r="T492" i="1"/>
  <c r="P492" i="1"/>
  <c r="T490" i="1"/>
  <c r="R490" i="1"/>
  <c r="P490" i="1"/>
  <c r="T489" i="1"/>
  <c r="R489" i="1"/>
  <c r="P489" i="1"/>
  <c r="T488" i="1"/>
  <c r="R488" i="1"/>
  <c r="P488" i="1"/>
  <c r="T484" i="1"/>
  <c r="L487" i="1"/>
  <c r="T487" i="1"/>
  <c r="R487" i="1"/>
  <c r="L486" i="1"/>
  <c r="T486" i="1"/>
  <c r="R486" i="1"/>
  <c r="T485" i="1"/>
  <c r="R485" i="1"/>
  <c r="P485" i="1"/>
  <c r="R484" i="1"/>
  <c r="P484" i="1"/>
  <c r="T482" i="1"/>
  <c r="T483" i="1"/>
  <c r="R483" i="1"/>
  <c r="P483" i="1"/>
  <c r="T481" i="1"/>
  <c r="R481" i="1"/>
  <c r="R482" i="1"/>
  <c r="P480" i="1"/>
  <c r="P482" i="1"/>
  <c r="T480" i="1"/>
  <c r="R480" i="1"/>
  <c r="P481" i="1"/>
  <c r="T479" i="1"/>
  <c r="R479" i="1"/>
  <c r="P479" i="1"/>
  <c r="T478" i="1"/>
  <c r="P478" i="1"/>
  <c r="R478" i="1"/>
  <c r="T477" i="1"/>
  <c r="R477" i="1"/>
  <c r="P477" i="1"/>
  <c r="P475" i="1"/>
  <c r="T476" i="1"/>
  <c r="R476" i="1"/>
  <c r="P476" i="1"/>
  <c r="T475" i="1"/>
  <c r="R475" i="1"/>
  <c r="T474" i="1"/>
  <c r="R474" i="1"/>
  <c r="P474" i="1"/>
  <c r="T473" i="1"/>
  <c r="T472" i="1"/>
  <c r="R472" i="1"/>
  <c r="P472" i="1"/>
  <c r="R473" i="1"/>
  <c r="P473" i="1"/>
  <c r="T471" i="1"/>
  <c r="R471" i="1"/>
  <c r="P471" i="1"/>
  <c r="T469" i="1"/>
  <c r="R469" i="1"/>
  <c r="T466" i="1"/>
  <c r="T470" i="1"/>
  <c r="R470" i="1"/>
  <c r="P470" i="1"/>
  <c r="T468" i="1"/>
  <c r="T467" i="1"/>
  <c r="P469" i="1"/>
  <c r="R467" i="1"/>
  <c r="R468" i="1"/>
  <c r="P468" i="1"/>
  <c r="P467" i="1"/>
  <c r="R466" i="1"/>
  <c r="P466" i="1"/>
  <c r="T465" i="1"/>
  <c r="R465" i="1"/>
  <c r="P465" i="1"/>
  <c r="T462" i="1"/>
  <c r="T464" i="1"/>
  <c r="R464" i="1"/>
  <c r="P464" i="1"/>
  <c r="P460" i="1"/>
  <c r="T463" i="1"/>
  <c r="P463" i="1"/>
  <c r="R463" i="1"/>
  <c r="L462" i="1"/>
  <c r="R462" i="1"/>
  <c r="T461" i="1"/>
  <c r="R461" i="1"/>
  <c r="P461" i="1"/>
  <c r="T460" i="1"/>
  <c r="R460" i="1"/>
  <c r="T458" i="1"/>
  <c r="T457" i="1"/>
  <c r="R457" i="1"/>
  <c r="T459" i="1"/>
  <c r="R458" i="1"/>
  <c r="R459" i="1"/>
  <c r="P459" i="1"/>
  <c r="P458" i="1"/>
  <c r="T454" i="1"/>
  <c r="P457" i="1"/>
  <c r="T456" i="1"/>
  <c r="R456" i="1"/>
  <c r="T455" i="1"/>
  <c r="P456" i="1"/>
  <c r="R455" i="1"/>
  <c r="P455" i="1"/>
  <c r="T443" i="1"/>
  <c r="P454" i="1"/>
  <c r="R454" i="1"/>
  <c r="R453" i="1"/>
  <c r="T448" i="1"/>
  <c r="T453" i="1"/>
  <c r="P453" i="1"/>
  <c r="R451" i="1"/>
  <c r="P451" i="1"/>
  <c r="T451" i="1"/>
  <c r="T452" i="1"/>
  <c r="R452" i="1"/>
  <c r="P452" i="1"/>
  <c r="R448" i="1"/>
  <c r="L450" i="1"/>
  <c r="T446" i="1"/>
  <c r="T450" i="1"/>
  <c r="R450" i="1"/>
  <c r="P448" i="1"/>
  <c r="T449" i="1"/>
  <c r="R449" i="1"/>
  <c r="P449" i="1"/>
  <c r="R446" i="1"/>
  <c r="T447" i="1"/>
  <c r="R447" i="1"/>
  <c r="P447" i="1"/>
  <c r="T445" i="1"/>
  <c r="R445" i="1"/>
  <c r="P445" i="1"/>
  <c r="P446" i="1"/>
  <c r="L444" i="1"/>
  <c r="T444" i="1"/>
  <c r="R444" i="1"/>
  <c r="R443" i="1"/>
  <c r="P443" i="1"/>
  <c r="T442" i="1"/>
  <c r="R442" i="1"/>
  <c r="P442" i="1"/>
  <c r="T440" i="1"/>
  <c r="L441" i="1"/>
  <c r="R440" i="1"/>
  <c r="P441" i="1"/>
  <c r="R441" i="1"/>
  <c r="T438" i="1"/>
  <c r="P438" i="1"/>
  <c r="R439" i="1"/>
  <c r="P439" i="1"/>
  <c r="P440" i="1"/>
  <c r="R438" i="1"/>
  <c r="T439" i="1"/>
  <c r="T437" i="1"/>
  <c r="R437" i="1"/>
  <c r="P437" i="1"/>
  <c r="T436" i="1"/>
  <c r="R436" i="1"/>
  <c r="P436" i="1"/>
  <c r="T434" i="1"/>
  <c r="R434" i="1"/>
  <c r="T435" i="1"/>
  <c r="R435" i="1"/>
  <c r="P435" i="1"/>
  <c r="P434" i="1"/>
  <c r="P433" i="1"/>
  <c r="T432" i="1"/>
  <c r="R432" i="1"/>
  <c r="T433" i="1"/>
  <c r="R433" i="1"/>
  <c r="P432" i="1"/>
  <c r="T431" i="1"/>
  <c r="R431" i="1"/>
  <c r="P431" i="1"/>
  <c r="T430" i="1"/>
  <c r="R430" i="1"/>
  <c r="P430" i="1"/>
  <c r="T429" i="1"/>
  <c r="T428" i="1"/>
  <c r="R428" i="1"/>
  <c r="P428" i="1"/>
  <c r="R429" i="1"/>
  <c r="P429" i="1"/>
  <c r="T427" i="1"/>
  <c r="R427" i="1"/>
  <c r="P427" i="1"/>
  <c r="T426" i="1"/>
  <c r="R426" i="1"/>
  <c r="P426" i="1"/>
  <c r="T423" i="1"/>
  <c r="T425" i="1"/>
  <c r="R425" i="1"/>
  <c r="P425" i="1"/>
  <c r="T424" i="1"/>
  <c r="R424" i="1"/>
  <c r="P424" i="1"/>
  <c r="T422" i="1"/>
  <c r="R422" i="1"/>
  <c r="R423" i="1"/>
  <c r="P423" i="1"/>
  <c r="P422" i="1"/>
  <c r="T420" i="1"/>
  <c r="T421" i="1"/>
  <c r="R421" i="1"/>
  <c r="P421" i="1"/>
  <c r="R420" i="1"/>
  <c r="P420" i="1"/>
  <c r="R419" i="1"/>
  <c r="P419" i="1"/>
  <c r="T417" i="1"/>
  <c r="T419" i="1"/>
  <c r="T418" i="1"/>
  <c r="R418" i="1"/>
  <c r="P418" i="1"/>
  <c r="T415" i="1"/>
  <c r="R417" i="1"/>
  <c r="P417" i="1"/>
  <c r="T416" i="1"/>
  <c r="R416" i="1"/>
  <c r="P416" i="1"/>
  <c r="R415" i="1"/>
  <c r="P415" i="1"/>
  <c r="T414" i="1"/>
  <c r="R414" i="1"/>
  <c r="P414" i="1"/>
  <c r="T413" i="1"/>
  <c r="R413" i="1"/>
  <c r="P413" i="1"/>
  <c r="T412" i="1"/>
  <c r="R412" i="1"/>
  <c r="P412" i="1"/>
  <c r="T411" i="1"/>
  <c r="L411" i="1"/>
  <c r="R411" i="1"/>
  <c r="R410" i="1"/>
  <c r="P410" i="1"/>
  <c r="T408" i="1"/>
  <c r="R408" i="1"/>
  <c r="T410" i="1"/>
  <c r="T409" i="1"/>
  <c r="R409" i="1"/>
  <c r="P409" i="1"/>
  <c r="T401" i="1"/>
  <c r="P408" i="1"/>
  <c r="T405" i="1"/>
  <c r="T406" i="1"/>
  <c r="R406" i="1"/>
  <c r="T407" i="1"/>
  <c r="R407" i="1"/>
  <c r="P407" i="1"/>
  <c r="P406" i="1"/>
  <c r="R405" i="1"/>
  <c r="P405" i="1"/>
  <c r="R404" i="1"/>
  <c r="T404" i="1"/>
  <c r="P404" i="1"/>
  <c r="T403" i="1"/>
  <c r="R403" i="1"/>
  <c r="P403" i="1"/>
  <c r="T402" i="1"/>
  <c r="R402" i="1"/>
  <c r="P402" i="1"/>
  <c r="R401" i="1"/>
  <c r="P401" i="1"/>
  <c r="P399" i="1"/>
  <c r="T399" i="1"/>
  <c r="T400" i="1"/>
  <c r="R400" i="1"/>
  <c r="P400" i="1"/>
  <c r="R399" i="1"/>
  <c r="T398" i="1"/>
  <c r="R398" i="1"/>
  <c r="P398" i="1"/>
  <c r="R396" i="1"/>
  <c r="T396" i="1"/>
  <c r="T397" i="1"/>
  <c r="R397" i="1"/>
  <c r="P397" i="1"/>
  <c r="T395" i="1"/>
  <c r="R395" i="1"/>
  <c r="P395" i="1"/>
  <c r="P396" i="1"/>
  <c r="T346" i="1"/>
  <c r="R337" i="1"/>
  <c r="R320" i="1"/>
  <c r="T356" i="1"/>
  <c r="T387" i="1"/>
  <c r="R305" i="1"/>
  <c r="T350" i="1"/>
  <c r="T320" i="1"/>
  <c r="T205" i="1"/>
  <c r="T174" i="1"/>
  <c r="T123" i="1"/>
  <c r="R380" i="1"/>
  <c r="R377" i="1"/>
  <c r="R331" i="1"/>
  <c r="R325" i="1"/>
  <c r="R194" i="1"/>
  <c r="T380" i="1"/>
  <c r="T393" i="1"/>
  <c r="T300" i="1"/>
  <c r="R289" i="1"/>
  <c r="T318" i="1"/>
  <c r="T269" i="1"/>
  <c r="R283" i="1"/>
  <c r="T268" i="1"/>
  <c r="R242" i="1"/>
  <c r="R221" i="1"/>
  <c r="T394" i="1"/>
  <c r="R394" i="1"/>
  <c r="T213" i="1"/>
  <c r="R388" i="1"/>
  <c r="R301" i="1"/>
  <c r="R238" i="1"/>
  <c r="T358" i="1"/>
  <c r="T317" i="1"/>
  <c r="T264" i="1"/>
  <c r="T212" i="1"/>
  <c r="R387" i="1"/>
  <c r="R300" i="1"/>
  <c r="R229" i="1"/>
  <c r="R393" i="1"/>
  <c r="T357" i="1"/>
  <c r="T316" i="1"/>
  <c r="T263" i="1"/>
  <c r="T211" i="1"/>
  <c r="R334" i="1"/>
  <c r="R294" i="1"/>
  <c r="R228" i="1"/>
  <c r="T254" i="1"/>
  <c r="T388" i="1"/>
  <c r="T253" i="1"/>
  <c r="T200" i="1"/>
  <c r="R382" i="1"/>
  <c r="R326" i="1"/>
  <c r="R286" i="1"/>
  <c r="R212" i="1"/>
  <c r="T310" i="1"/>
  <c r="R285" i="1"/>
  <c r="T382" i="1"/>
  <c r="T301" i="1"/>
  <c r="T183" i="1"/>
  <c r="R321" i="1"/>
  <c r="R205" i="1"/>
  <c r="T342" i="1"/>
  <c r="T238" i="1"/>
  <c r="T169" i="1"/>
  <c r="R367" i="1"/>
  <c r="R318" i="1"/>
  <c r="R274" i="1"/>
  <c r="T343" i="1"/>
  <c r="T248" i="1"/>
  <c r="R372" i="1"/>
  <c r="T377" i="1"/>
  <c r="T340" i="1"/>
  <c r="T233" i="1"/>
  <c r="T165" i="1"/>
  <c r="R366" i="1"/>
  <c r="R317" i="1"/>
  <c r="R273" i="1"/>
  <c r="R174" i="1"/>
  <c r="P394" i="1"/>
  <c r="T294" i="1"/>
  <c r="T232" i="1"/>
  <c r="R365" i="1"/>
  <c r="R316" i="1"/>
  <c r="R269" i="1"/>
  <c r="R172" i="1"/>
  <c r="P386" i="1"/>
  <c r="T333" i="1"/>
  <c r="T283" i="1"/>
  <c r="T156" i="1"/>
  <c r="R358" i="1"/>
  <c r="R310" i="1"/>
  <c r="R268" i="1"/>
  <c r="R144" i="1"/>
  <c r="R278" i="1"/>
  <c r="P382" i="1"/>
  <c r="T372" i="1"/>
  <c r="T331" i="1"/>
  <c r="T278" i="1"/>
  <c r="T229" i="1"/>
  <c r="T139" i="1"/>
  <c r="R357" i="1"/>
  <c r="R309" i="1"/>
  <c r="R258" i="1"/>
  <c r="R141" i="1"/>
  <c r="T326" i="1"/>
  <c r="T277" i="1"/>
  <c r="T227" i="1"/>
  <c r="R352" i="1"/>
  <c r="R308" i="1"/>
  <c r="R254" i="1"/>
  <c r="R139" i="1"/>
  <c r="T362" i="1"/>
  <c r="T325" i="1"/>
  <c r="T270" i="1"/>
  <c r="T221" i="1"/>
  <c r="R342" i="1"/>
  <c r="R306" i="1"/>
  <c r="R253" i="1"/>
  <c r="R123" i="1"/>
  <c r="P393" i="1"/>
  <c r="L148" i="1"/>
  <c r="R148" i="1"/>
  <c r="L153" i="1"/>
  <c r="R153" i="1"/>
  <c r="L216" i="1"/>
  <c r="R216" i="1"/>
  <c r="L231" i="1"/>
  <c r="R231" i="1"/>
  <c r="L247" i="1"/>
  <c r="R247" i="1"/>
  <c r="P247" i="1"/>
  <c r="L257" i="1"/>
  <c r="T257" i="1"/>
  <c r="L262" i="1"/>
  <c r="R262" i="1"/>
  <c r="L272" i="1"/>
  <c r="T272" i="1"/>
  <c r="L288" i="1"/>
  <c r="T288" i="1"/>
  <c r="L304" i="1"/>
  <c r="T304" i="1"/>
  <c r="L315" i="1"/>
  <c r="R315" i="1"/>
  <c r="L330" i="1"/>
  <c r="R330" i="1"/>
  <c r="L351" i="1"/>
  <c r="T351" i="1"/>
  <c r="T276" i="1"/>
  <c r="T252" i="1"/>
  <c r="R288" i="1"/>
  <c r="R261" i="1"/>
  <c r="R237" i="1"/>
  <c r="T334" i="1"/>
  <c r="T315" i="1"/>
  <c r="T231" i="1"/>
  <c r="T157" i="1"/>
  <c r="R386" i="1"/>
  <c r="R364" i="1"/>
  <c r="R260" i="1"/>
  <c r="R236" i="1"/>
  <c r="L159" i="1"/>
  <c r="T159" i="1"/>
  <c r="L170" i="1"/>
  <c r="R170" i="1"/>
  <c r="L175" i="1"/>
  <c r="T175" i="1"/>
  <c r="L179" i="1"/>
  <c r="T179" i="1"/>
  <c r="R179" i="1"/>
  <c r="L195" i="1"/>
  <c r="T195" i="1"/>
  <c r="R195" i="1"/>
  <c r="T332" i="1"/>
  <c r="T293" i="1"/>
  <c r="T204" i="1"/>
  <c r="T133" i="1"/>
  <c r="R257" i="1"/>
  <c r="R204" i="1"/>
  <c r="R140" i="1"/>
  <c r="L129" i="1"/>
  <c r="T129" i="1"/>
  <c r="L134" i="1"/>
  <c r="R134" i="1"/>
  <c r="L166" i="1"/>
  <c r="R166" i="1"/>
  <c r="T292" i="1"/>
  <c r="T228" i="1"/>
  <c r="T181" i="1"/>
  <c r="R356" i="1"/>
  <c r="R333" i="1"/>
  <c r="R284" i="1"/>
  <c r="R197" i="1"/>
  <c r="R165" i="1"/>
  <c r="L178" i="1"/>
  <c r="T178" i="1"/>
  <c r="L299" i="1"/>
  <c r="R299" i="1"/>
  <c r="L190" i="1"/>
  <c r="T190" i="1"/>
  <c r="L196" i="1"/>
  <c r="R196" i="1"/>
  <c r="L217" i="1"/>
  <c r="R217" i="1"/>
  <c r="L239" i="1"/>
  <c r="T239" i="1"/>
  <c r="L259" i="1"/>
  <c r="R259" i="1"/>
  <c r="L279" i="1"/>
  <c r="R279" i="1"/>
  <c r="L290" i="1"/>
  <c r="T290" i="1"/>
  <c r="L295" i="1"/>
  <c r="R295" i="1"/>
  <c r="L338" i="1"/>
  <c r="T338" i="1"/>
  <c r="L347" i="1"/>
  <c r="R347" i="1"/>
  <c r="L368" i="1"/>
  <c r="T368" i="1"/>
  <c r="L378" i="1"/>
  <c r="R378" i="1"/>
  <c r="T330" i="1"/>
  <c r="T247" i="1"/>
  <c r="T153" i="1"/>
  <c r="T125" i="1"/>
  <c r="R332" i="1"/>
  <c r="R133" i="1"/>
  <c r="L336" i="1"/>
  <c r="T336" i="1"/>
  <c r="L154" i="1"/>
  <c r="R154" i="1"/>
  <c r="L206" i="1"/>
  <c r="T206" i="1"/>
  <c r="L344" i="1"/>
  <c r="R344" i="1"/>
  <c r="L383" i="1"/>
  <c r="T383" i="1"/>
  <c r="L392" i="1"/>
  <c r="R392" i="1"/>
  <c r="T392" i="1"/>
  <c r="T373" i="1"/>
  <c r="T349" i="1"/>
  <c r="T286" i="1"/>
  <c r="T222" i="1"/>
  <c r="T124" i="1"/>
  <c r="R381" i="1"/>
  <c r="R304" i="1"/>
  <c r="L143" i="1"/>
  <c r="T143" i="1"/>
  <c r="L193" i="1"/>
  <c r="T193" i="1"/>
  <c r="L223" i="1"/>
  <c r="T223" i="1"/>
  <c r="L312" i="1"/>
  <c r="R312" i="1"/>
  <c r="L353" i="1"/>
  <c r="T353" i="1"/>
  <c r="L363" i="1"/>
  <c r="R363" i="1"/>
  <c r="L374" i="1"/>
  <c r="R374" i="1"/>
  <c r="T348" i="1"/>
  <c r="T309" i="1"/>
  <c r="T285" i="1"/>
  <c r="T245" i="1"/>
  <c r="T173" i="1"/>
  <c r="T70" i="1"/>
  <c r="R277" i="1"/>
  <c r="R223" i="1"/>
  <c r="R129" i="1"/>
  <c r="L182" i="1"/>
  <c r="R182" i="1"/>
  <c r="L199" i="1"/>
  <c r="R199" i="1"/>
  <c r="L210" i="1"/>
  <c r="T210" i="1"/>
  <c r="L150" i="1"/>
  <c r="R150" i="1"/>
  <c r="L135" i="1"/>
  <c r="R135" i="1"/>
  <c r="L155" i="1"/>
  <c r="R155" i="1"/>
  <c r="L201" i="1"/>
  <c r="R201" i="1"/>
  <c r="L243" i="1"/>
  <c r="R243" i="1"/>
  <c r="L327" i="1"/>
  <c r="R327" i="1"/>
  <c r="L151" i="1"/>
  <c r="R151" i="1"/>
  <c r="L180" i="1"/>
  <c r="R180" i="1"/>
  <c r="L202" i="1"/>
  <c r="R202" i="1"/>
  <c r="L207" i="1"/>
  <c r="T207" i="1"/>
  <c r="L235" i="1"/>
  <c r="R235" i="1"/>
  <c r="L249" i="1"/>
  <c r="R249" i="1"/>
  <c r="L265" i="1"/>
  <c r="R265" i="1"/>
  <c r="L281" i="1"/>
  <c r="R281" i="1"/>
  <c r="L296" i="1"/>
  <c r="R296" i="1"/>
  <c r="L322" i="1"/>
  <c r="P322" i="1"/>
  <c r="T322" i="1"/>
  <c r="L359" i="1"/>
  <c r="R359" i="1"/>
  <c r="L369" i="1"/>
  <c r="T369" i="1"/>
  <c r="T347" i="1"/>
  <c r="T327" i="1"/>
  <c r="T308" i="1"/>
  <c r="T284" i="1"/>
  <c r="T244" i="1"/>
  <c r="T220" i="1"/>
  <c r="T199" i="1"/>
  <c r="T172" i="1"/>
  <c r="T150" i="1"/>
  <c r="R351" i="1"/>
  <c r="R302" i="1"/>
  <c r="R276" i="1"/>
  <c r="R252" i="1"/>
  <c r="R222" i="1"/>
  <c r="R159" i="1"/>
  <c r="L255" i="1"/>
  <c r="T255" i="1"/>
  <c r="L185" i="1"/>
  <c r="R185" i="1"/>
  <c r="L191" i="1"/>
  <c r="T191" i="1"/>
  <c r="L219" i="1"/>
  <c r="R219" i="1"/>
  <c r="L224" i="1"/>
  <c r="T224" i="1"/>
  <c r="L240" i="1"/>
  <c r="T240" i="1"/>
  <c r="L291" i="1"/>
  <c r="R291" i="1"/>
  <c r="L328" i="1"/>
  <c r="R328" i="1"/>
  <c r="L375" i="1"/>
  <c r="R375" i="1"/>
  <c r="P375" i="1"/>
  <c r="L379" i="1"/>
  <c r="R379" i="1"/>
  <c r="L384" i="1"/>
  <c r="T384" i="1"/>
  <c r="T366" i="1"/>
  <c r="T243" i="1"/>
  <c r="T219" i="1"/>
  <c r="T149" i="1"/>
  <c r="R373" i="1"/>
  <c r="R350" i="1"/>
  <c r="R324" i="1"/>
  <c r="R245" i="1"/>
  <c r="R190" i="1"/>
  <c r="L119" i="1"/>
  <c r="R119" i="1"/>
  <c r="L275" i="1"/>
  <c r="R275" i="1"/>
  <c r="L311" i="1"/>
  <c r="R311" i="1"/>
  <c r="L218" i="1"/>
  <c r="R218" i="1"/>
  <c r="L121" i="1"/>
  <c r="R121" i="1"/>
  <c r="L136" i="1"/>
  <c r="R136" i="1"/>
  <c r="L126" i="1"/>
  <c r="T126" i="1"/>
  <c r="L130" i="1"/>
  <c r="T130" i="1"/>
  <c r="L163" i="1"/>
  <c r="T163" i="1"/>
  <c r="R163" i="1"/>
  <c r="L177" i="1"/>
  <c r="T177" i="1"/>
  <c r="L250" i="1"/>
  <c r="R250" i="1"/>
  <c r="L280" i="1"/>
  <c r="R280" i="1"/>
  <c r="L313" i="1"/>
  <c r="R313" i="1"/>
  <c r="L354" i="1"/>
  <c r="T354" i="1"/>
  <c r="L370" i="1"/>
  <c r="P370" i="1"/>
  <c r="T370" i="1"/>
  <c r="L390" i="1"/>
  <c r="R390" i="1"/>
  <c r="T389" i="1"/>
  <c r="T365" i="1"/>
  <c r="T302" i="1"/>
  <c r="T262" i="1"/>
  <c r="T218" i="1"/>
  <c r="T197" i="1"/>
  <c r="T170" i="1"/>
  <c r="T148" i="1"/>
  <c r="R349" i="1"/>
  <c r="R322" i="1"/>
  <c r="R244" i="1"/>
  <c r="R220" i="1"/>
  <c r="R189" i="1"/>
  <c r="R157" i="1"/>
  <c r="R126" i="1"/>
  <c r="L186" i="1"/>
  <c r="R186" i="1"/>
  <c r="L225" i="1"/>
  <c r="T225" i="1"/>
  <c r="L297" i="1"/>
  <c r="R297" i="1"/>
  <c r="L323" i="1"/>
  <c r="R323" i="1"/>
  <c r="L360" i="1"/>
  <c r="R360" i="1"/>
  <c r="T364" i="1"/>
  <c r="T344" i="1"/>
  <c r="T324" i="1"/>
  <c r="T281" i="1"/>
  <c r="T261" i="1"/>
  <c r="T237" i="1"/>
  <c r="T217" i="1"/>
  <c r="T196" i="1"/>
  <c r="T141" i="1"/>
  <c r="T119" i="1"/>
  <c r="R370" i="1"/>
  <c r="R348" i="1"/>
  <c r="R272" i="1"/>
  <c r="R213" i="1"/>
  <c r="R188" i="1"/>
  <c r="R156" i="1"/>
  <c r="R125" i="1"/>
  <c r="L145" i="1"/>
  <c r="T145" i="1"/>
  <c r="L160" i="1"/>
  <c r="T160" i="1"/>
  <c r="L184" i="1"/>
  <c r="R184" i="1"/>
  <c r="L234" i="1"/>
  <c r="R234" i="1"/>
  <c r="L171" i="1"/>
  <c r="R171" i="1"/>
  <c r="L146" i="1"/>
  <c r="T146" i="1"/>
  <c r="L137" i="1"/>
  <c r="R137" i="1"/>
  <c r="L147" i="1"/>
  <c r="T147" i="1"/>
  <c r="R147" i="1"/>
  <c r="L208" i="1"/>
  <c r="T208" i="1"/>
  <c r="L241" i="1"/>
  <c r="T241" i="1"/>
  <c r="L127" i="1"/>
  <c r="T127" i="1"/>
  <c r="L131" i="1"/>
  <c r="T131" i="1"/>
  <c r="R131" i="1"/>
  <c r="L164" i="1"/>
  <c r="R164" i="1"/>
  <c r="L203" i="1"/>
  <c r="R203" i="1"/>
  <c r="L214" i="1"/>
  <c r="R214" i="1"/>
  <c r="L271" i="1"/>
  <c r="T271" i="1"/>
  <c r="L282" i="1"/>
  <c r="R282" i="1"/>
  <c r="L314" i="1"/>
  <c r="R314" i="1"/>
  <c r="L335" i="1"/>
  <c r="T335" i="1"/>
  <c r="L339" i="1"/>
  <c r="R339" i="1"/>
  <c r="L345" i="1"/>
  <c r="R345" i="1"/>
  <c r="L355" i="1"/>
  <c r="R355" i="1"/>
  <c r="L385" i="1"/>
  <c r="T385" i="1"/>
  <c r="T363" i="1"/>
  <c r="T323" i="1"/>
  <c r="T280" i="1"/>
  <c r="T260" i="1"/>
  <c r="T236" i="1"/>
  <c r="T216" i="1"/>
  <c r="T189" i="1"/>
  <c r="T140" i="1"/>
  <c r="R369" i="1"/>
  <c r="R293" i="1"/>
  <c r="R271" i="1"/>
  <c r="R241" i="1"/>
  <c r="R181" i="1"/>
  <c r="R149" i="1"/>
  <c r="R124" i="1"/>
  <c r="R173" i="1"/>
  <c r="L120" i="1"/>
  <c r="R120" i="1"/>
  <c r="L307" i="1"/>
  <c r="R307" i="1"/>
  <c r="L161" i="1"/>
  <c r="T161" i="1"/>
  <c r="L176" i="1"/>
  <c r="T176" i="1"/>
  <c r="L167" i="1"/>
  <c r="R167" i="1"/>
  <c r="L192" i="1"/>
  <c r="T192" i="1"/>
  <c r="L266" i="1"/>
  <c r="R266" i="1"/>
  <c r="L122" i="1"/>
  <c r="R122" i="1"/>
  <c r="L142" i="1"/>
  <c r="T142" i="1"/>
  <c r="L152" i="1"/>
  <c r="R152" i="1"/>
  <c r="L168" i="1"/>
  <c r="R168" i="1"/>
  <c r="L198" i="1"/>
  <c r="R198" i="1"/>
  <c r="L209" i="1"/>
  <c r="T209" i="1"/>
  <c r="L226" i="1"/>
  <c r="T226" i="1"/>
  <c r="L287" i="1"/>
  <c r="T287" i="1"/>
  <c r="L298" i="1"/>
  <c r="R298" i="1"/>
  <c r="L371" i="1"/>
  <c r="R371" i="1"/>
  <c r="L376" i="1"/>
  <c r="R376" i="1"/>
  <c r="L391" i="1"/>
  <c r="R391" i="1"/>
  <c r="T299" i="1"/>
  <c r="T279" i="1"/>
  <c r="T259" i="1"/>
  <c r="T235" i="1"/>
  <c r="T188" i="1"/>
  <c r="T167" i="1"/>
  <c r="R368" i="1"/>
  <c r="R341" i="1"/>
  <c r="R292" i="1"/>
  <c r="R270" i="1"/>
  <c r="R240" i="1"/>
  <c r="R210" i="1"/>
  <c r="R178" i="1"/>
  <c r="R146" i="1"/>
  <c r="L128" i="1"/>
  <c r="T128" i="1"/>
  <c r="L132" i="1"/>
  <c r="R132" i="1"/>
  <c r="L138" i="1"/>
  <c r="R138" i="1"/>
  <c r="L158" i="1"/>
  <c r="T158" i="1"/>
  <c r="L162" i="1"/>
  <c r="T162" i="1"/>
  <c r="L187" i="1"/>
  <c r="R187" i="1"/>
  <c r="L215" i="1"/>
  <c r="R215" i="1"/>
  <c r="L230" i="1"/>
  <c r="R230" i="1"/>
  <c r="L246" i="1"/>
  <c r="R246" i="1"/>
  <c r="L251" i="1"/>
  <c r="R251" i="1"/>
  <c r="L256" i="1"/>
  <c r="T256" i="1"/>
  <c r="L267" i="1"/>
  <c r="R267" i="1"/>
  <c r="L303" i="1"/>
  <c r="T303" i="1"/>
  <c r="L319" i="1"/>
  <c r="T319" i="1"/>
  <c r="L329" i="1"/>
  <c r="R329" i="1"/>
  <c r="L361" i="1"/>
  <c r="R361" i="1"/>
  <c r="T381" i="1"/>
  <c r="T361" i="1"/>
  <c r="T341" i="1"/>
  <c r="T234" i="1"/>
  <c r="T187" i="1"/>
  <c r="T166" i="1"/>
  <c r="T138" i="1"/>
  <c r="R389" i="1"/>
  <c r="R340" i="1"/>
  <c r="R290" i="1"/>
  <c r="R239" i="1"/>
  <c r="R209" i="1"/>
  <c r="R177" i="1"/>
  <c r="R145" i="1"/>
  <c r="R227" i="1"/>
  <c r="R211" i="1"/>
  <c r="T306" i="1"/>
  <c r="T274" i="1"/>
  <c r="T258" i="1"/>
  <c r="T242" i="1"/>
  <c r="T194" i="1"/>
  <c r="R362" i="1"/>
  <c r="R346" i="1"/>
  <c r="T337" i="1"/>
  <c r="T321" i="1"/>
  <c r="T305" i="1"/>
  <c r="T289" i="1"/>
  <c r="T273" i="1"/>
  <c r="R233" i="1"/>
  <c r="R169" i="1"/>
  <c r="T352" i="1"/>
  <c r="T144" i="1"/>
  <c r="R264" i="1"/>
  <c r="R248" i="1"/>
  <c r="R232" i="1"/>
  <c r="R200" i="1"/>
  <c r="T367" i="1"/>
  <c r="R343" i="1"/>
  <c r="R263" i="1"/>
  <c r="R183" i="1"/>
  <c r="P385" i="1"/>
  <c r="P323" i="1"/>
  <c r="P257" i="1"/>
  <c r="P193" i="1"/>
  <c r="P372" i="1"/>
  <c r="P319" i="1"/>
  <c r="P242" i="1"/>
  <c r="P177" i="1"/>
  <c r="P371" i="1"/>
  <c r="P307" i="1"/>
  <c r="P241" i="1"/>
  <c r="P163" i="1"/>
  <c r="P321" i="1"/>
  <c r="P306" i="1"/>
  <c r="P231" i="1"/>
  <c r="P162" i="1"/>
  <c r="P369" i="1"/>
  <c r="P305" i="1"/>
  <c r="P227" i="1"/>
  <c r="P147" i="1"/>
  <c r="P367" i="1"/>
  <c r="P303" i="1"/>
  <c r="P226" i="1"/>
  <c r="P146" i="1"/>
  <c r="P359" i="1"/>
  <c r="P291" i="1"/>
  <c r="P225" i="1"/>
  <c r="P145" i="1"/>
  <c r="P356" i="1"/>
  <c r="P289" i="1"/>
  <c r="P215" i="1"/>
  <c r="P131" i="1"/>
  <c r="P355" i="1"/>
  <c r="P287" i="1"/>
  <c r="P211" i="1"/>
  <c r="P130" i="1"/>
  <c r="P354" i="1"/>
  <c r="P275" i="1"/>
  <c r="P210" i="1"/>
  <c r="P129" i="1"/>
  <c r="P351" i="1"/>
  <c r="P274" i="1"/>
  <c r="P209" i="1"/>
  <c r="P391" i="1"/>
  <c r="P343" i="1"/>
  <c r="P273" i="1"/>
  <c r="P199" i="1"/>
  <c r="P387" i="1"/>
  <c r="P339" i="1"/>
  <c r="P263" i="1"/>
  <c r="P195" i="1"/>
  <c r="P337" i="1"/>
  <c r="P258" i="1"/>
  <c r="P194" i="1"/>
  <c r="P388" i="1"/>
  <c r="P340" i="1"/>
  <c r="P324" i="1"/>
  <c r="P308" i="1"/>
  <c r="P292" i="1"/>
  <c r="P276" i="1"/>
  <c r="P260" i="1"/>
  <c r="P244" i="1"/>
  <c r="P228" i="1"/>
  <c r="P212" i="1"/>
  <c r="P196" i="1"/>
  <c r="P180" i="1"/>
  <c r="P164" i="1"/>
  <c r="P148" i="1"/>
  <c r="P132" i="1"/>
  <c r="P259" i="1"/>
  <c r="P338" i="1"/>
  <c r="P161" i="1"/>
  <c r="P384" i="1"/>
  <c r="P368" i="1"/>
  <c r="P352" i="1"/>
  <c r="P336" i="1"/>
  <c r="P320" i="1"/>
  <c r="P304" i="1"/>
  <c r="P288" i="1"/>
  <c r="P272" i="1"/>
  <c r="P256" i="1"/>
  <c r="P240" i="1"/>
  <c r="P224" i="1"/>
  <c r="P208" i="1"/>
  <c r="P192" i="1"/>
  <c r="P176" i="1"/>
  <c r="P160" i="1"/>
  <c r="P144" i="1"/>
  <c r="P128" i="1"/>
  <c r="P383" i="1"/>
  <c r="P335" i="1"/>
  <c r="P271" i="1"/>
  <c r="P255" i="1"/>
  <c r="P239" i="1"/>
  <c r="P223" i="1"/>
  <c r="P207" i="1"/>
  <c r="P191" i="1"/>
  <c r="P175" i="1"/>
  <c r="P159" i="1"/>
  <c r="P143" i="1"/>
  <c r="P127" i="1"/>
  <c r="P366" i="1"/>
  <c r="P350" i="1"/>
  <c r="P334" i="1"/>
  <c r="P318" i="1"/>
  <c r="P302" i="1"/>
  <c r="P286" i="1"/>
  <c r="P270" i="1"/>
  <c r="P254" i="1"/>
  <c r="P238" i="1"/>
  <c r="P222" i="1"/>
  <c r="P206" i="1"/>
  <c r="P190" i="1"/>
  <c r="P174" i="1"/>
  <c r="P158" i="1"/>
  <c r="P142" i="1"/>
  <c r="P126" i="1"/>
  <c r="P381" i="1"/>
  <c r="P365" i="1"/>
  <c r="P349" i="1"/>
  <c r="P333" i="1"/>
  <c r="P317" i="1"/>
  <c r="P301" i="1"/>
  <c r="P285" i="1"/>
  <c r="P269" i="1"/>
  <c r="P253" i="1"/>
  <c r="P237" i="1"/>
  <c r="P221" i="1"/>
  <c r="P205" i="1"/>
  <c r="P189" i="1"/>
  <c r="P173" i="1"/>
  <c r="P157" i="1"/>
  <c r="P141" i="1"/>
  <c r="P125" i="1"/>
  <c r="P380" i="1"/>
  <c r="P364" i="1"/>
  <c r="P348" i="1"/>
  <c r="P332" i="1"/>
  <c r="P316" i="1"/>
  <c r="P300" i="1"/>
  <c r="P284" i="1"/>
  <c r="P268" i="1"/>
  <c r="P252" i="1"/>
  <c r="P236" i="1"/>
  <c r="P220" i="1"/>
  <c r="P204" i="1"/>
  <c r="P188" i="1"/>
  <c r="P172" i="1"/>
  <c r="P156" i="1"/>
  <c r="P140" i="1"/>
  <c r="P124" i="1"/>
  <c r="P290" i="1"/>
  <c r="P379" i="1"/>
  <c r="P363" i="1"/>
  <c r="P347" i="1"/>
  <c r="P331" i="1"/>
  <c r="P315" i="1"/>
  <c r="P299" i="1"/>
  <c r="P283" i="1"/>
  <c r="P267" i="1"/>
  <c r="P251" i="1"/>
  <c r="P235" i="1"/>
  <c r="P219" i="1"/>
  <c r="P203" i="1"/>
  <c r="P187" i="1"/>
  <c r="P171" i="1"/>
  <c r="P155" i="1"/>
  <c r="P139" i="1"/>
  <c r="P123" i="1"/>
  <c r="P353" i="1"/>
  <c r="P378" i="1"/>
  <c r="P362" i="1"/>
  <c r="P346" i="1"/>
  <c r="P330" i="1"/>
  <c r="P314" i="1"/>
  <c r="P298" i="1"/>
  <c r="P282" i="1"/>
  <c r="P266" i="1"/>
  <c r="P250" i="1"/>
  <c r="P234" i="1"/>
  <c r="P218" i="1"/>
  <c r="P202" i="1"/>
  <c r="P186" i="1"/>
  <c r="P170" i="1"/>
  <c r="P154" i="1"/>
  <c r="P138" i="1"/>
  <c r="P122" i="1"/>
  <c r="P392" i="1"/>
  <c r="P377" i="1"/>
  <c r="P361" i="1"/>
  <c r="P345" i="1"/>
  <c r="P329" i="1"/>
  <c r="P313" i="1"/>
  <c r="P297" i="1"/>
  <c r="P281" i="1"/>
  <c r="P265" i="1"/>
  <c r="P249" i="1"/>
  <c r="P233" i="1"/>
  <c r="P217" i="1"/>
  <c r="P201" i="1"/>
  <c r="P185" i="1"/>
  <c r="P169" i="1"/>
  <c r="P153" i="1"/>
  <c r="P137" i="1"/>
  <c r="P121" i="1"/>
  <c r="P376" i="1"/>
  <c r="P360" i="1"/>
  <c r="P344" i="1"/>
  <c r="P328" i="1"/>
  <c r="P312" i="1"/>
  <c r="P296" i="1"/>
  <c r="P280" i="1"/>
  <c r="P264" i="1"/>
  <c r="P248" i="1"/>
  <c r="P232" i="1"/>
  <c r="P216" i="1"/>
  <c r="P200" i="1"/>
  <c r="P184" i="1"/>
  <c r="P168" i="1"/>
  <c r="P152" i="1"/>
  <c r="P136" i="1"/>
  <c r="P120" i="1"/>
  <c r="P311" i="1"/>
  <c r="P295" i="1"/>
  <c r="P279" i="1"/>
  <c r="P183" i="1"/>
  <c r="P167" i="1"/>
  <c r="P151" i="1"/>
  <c r="P135" i="1"/>
  <c r="P119" i="1"/>
  <c r="P327" i="1"/>
  <c r="P390" i="1"/>
  <c r="P374" i="1"/>
  <c r="P358" i="1"/>
  <c r="P342" i="1"/>
  <c r="P326" i="1"/>
  <c r="P310" i="1"/>
  <c r="P294" i="1"/>
  <c r="P278" i="1"/>
  <c r="P262" i="1"/>
  <c r="P246" i="1"/>
  <c r="P230" i="1"/>
  <c r="P214" i="1"/>
  <c r="P198" i="1"/>
  <c r="P182" i="1"/>
  <c r="P166" i="1"/>
  <c r="P150" i="1"/>
  <c r="P134" i="1"/>
  <c r="P70" i="1"/>
  <c r="P389" i="1"/>
  <c r="P373" i="1"/>
  <c r="P357" i="1"/>
  <c r="P341" i="1"/>
  <c r="P325" i="1"/>
  <c r="P309" i="1"/>
  <c r="P293" i="1"/>
  <c r="P277" i="1"/>
  <c r="P261" i="1"/>
  <c r="P245" i="1"/>
  <c r="P229" i="1"/>
  <c r="P213" i="1"/>
  <c r="P197" i="1"/>
  <c r="P181" i="1"/>
  <c r="P165" i="1"/>
  <c r="P149" i="1"/>
  <c r="P133" i="1"/>
  <c r="L386" i="1"/>
  <c r="A111" i="2"/>
  <c r="A118" i="1"/>
  <c r="J118" i="1"/>
  <c r="Q118" i="1" l="1"/>
  <c r="S118" i="1"/>
  <c r="R118" i="1"/>
  <c r="T118" i="1"/>
  <c r="P118" i="1"/>
  <c r="L118" i="1"/>
  <c r="A110" i="2"/>
  <c r="A117" i="1"/>
  <c r="J117" i="1"/>
  <c r="A109" i="2"/>
  <c r="A108" i="2"/>
  <c r="A116" i="1"/>
  <c r="J116" i="1"/>
  <c r="A107" i="2"/>
  <c r="A106" i="2"/>
  <c r="A115" i="1"/>
  <c r="J115" i="1"/>
  <c r="A114" i="1"/>
  <c r="J114" i="1"/>
  <c r="A113" i="1"/>
  <c r="J113" i="1"/>
  <c r="A105" i="2"/>
  <c r="A112" i="1"/>
  <c r="J112" i="1"/>
  <c r="A111" i="1"/>
  <c r="J111" i="1"/>
  <c r="A104" i="2"/>
  <c r="A103" i="2"/>
  <c r="A102" i="2"/>
  <c r="A110" i="1"/>
  <c r="J110" i="1"/>
  <c r="A101" i="2"/>
  <c r="A100" i="2"/>
  <c r="A109" i="1"/>
  <c r="J109" i="1"/>
  <c r="A108" i="1"/>
  <c r="J108" i="1"/>
  <c r="A107" i="1"/>
  <c r="J107" i="1"/>
  <c r="A106" i="1"/>
  <c r="J106" i="1"/>
  <c r="A105" i="1"/>
  <c r="J105" i="1"/>
  <c r="A104" i="1"/>
  <c r="J104" i="1"/>
  <c r="A99" i="2"/>
  <c r="A103" i="1"/>
  <c r="J103" i="1"/>
  <c r="A98" i="2"/>
  <c r="A102" i="1"/>
  <c r="J102" i="1"/>
  <c r="A101" i="1"/>
  <c r="J101" i="1"/>
  <c r="A97" i="2"/>
  <c r="A96" i="2"/>
  <c r="A95" i="2"/>
  <c r="A100" i="1"/>
  <c r="J100" i="1"/>
  <c r="A94" i="2"/>
  <c r="A99" i="1"/>
  <c r="J99" i="1"/>
  <c r="A93" i="2"/>
  <c r="A98" i="1"/>
  <c r="J98" i="1"/>
  <c r="A92" i="2"/>
  <c r="A97" i="1"/>
  <c r="J97" i="1"/>
  <c r="A91" i="2"/>
  <c r="A96" i="1"/>
  <c r="J96" i="1"/>
  <c r="A95" i="1"/>
  <c r="J95" i="1"/>
  <c r="A90" i="2"/>
  <c r="A94" i="1"/>
  <c r="J94" i="1"/>
  <c r="A89" i="2"/>
  <c r="A88" i="2"/>
  <c r="A93" i="1"/>
  <c r="J93" i="1"/>
  <c r="A87" i="2"/>
  <c r="A86" i="2"/>
  <c r="A92" i="1"/>
  <c r="J92" i="1"/>
  <c r="A91" i="1"/>
  <c r="J91" i="1"/>
  <c r="A90" i="1"/>
  <c r="J90" i="1"/>
  <c r="A89" i="1"/>
  <c r="J89" i="1"/>
  <c r="A85" i="2"/>
  <c r="A84" i="2"/>
  <c r="A83" i="2"/>
  <c r="A82" i="2"/>
  <c r="A88" i="1"/>
  <c r="J88" i="1"/>
  <c r="A81" i="2"/>
  <c r="A80" i="2"/>
  <c r="A87" i="1"/>
  <c r="J87" i="1"/>
  <c r="A79" i="2"/>
  <c r="A86" i="1"/>
  <c r="J86" i="1"/>
  <c r="A85" i="1"/>
  <c r="J85" i="1"/>
  <c r="A84" i="1"/>
  <c r="J84" i="1"/>
  <c r="A83" i="1"/>
  <c r="J83" i="1"/>
  <c r="A82" i="1"/>
  <c r="J82" i="1"/>
  <c r="A78" i="2"/>
  <c r="J81" i="1"/>
  <c r="A81" i="1"/>
  <c r="J80" i="1"/>
  <c r="A80" i="1"/>
  <c r="A72" i="1"/>
  <c r="A77" i="2"/>
  <c r="A76" i="2"/>
  <c r="A75" i="2"/>
  <c r="J79" i="1"/>
  <c r="A79" i="1"/>
  <c r="A74" i="2"/>
  <c r="A72" i="2"/>
  <c r="A73" i="2"/>
  <c r="J78" i="1"/>
  <c r="A78" i="1"/>
  <c r="A71" i="2"/>
  <c r="A70" i="2"/>
  <c r="A69" i="2"/>
  <c r="A68" i="2"/>
  <c r="J77" i="1"/>
  <c r="A77" i="1"/>
  <c r="A67" i="2"/>
  <c r="J76" i="1"/>
  <c r="A76" i="1"/>
  <c r="J75" i="1"/>
  <c r="A75" i="1"/>
  <c r="A73" i="1"/>
  <c r="A66" i="2"/>
  <c r="A65" i="2"/>
  <c r="J74" i="1"/>
  <c r="A74" i="1"/>
  <c r="J73" i="1"/>
  <c r="J72" i="1"/>
  <c r="A64" i="2"/>
  <c r="A63" i="2"/>
  <c r="A62" i="2"/>
  <c r="J71" i="1"/>
  <c r="A71" i="1"/>
  <c r="L70" i="1"/>
  <c r="A70" i="1"/>
  <c r="A69" i="1"/>
  <c r="J69" i="1"/>
  <c r="J68" i="1"/>
  <c r="A68" i="1"/>
  <c r="A61" i="2"/>
  <c r="J67" i="1"/>
  <c r="A67" i="1"/>
  <c r="J66" i="1"/>
  <c r="A66" i="1"/>
  <c r="J65" i="1"/>
  <c r="A65" i="1"/>
  <c r="A60" i="2"/>
  <c r="J64" i="1"/>
  <c r="A64" i="1"/>
  <c r="A59" i="2"/>
  <c r="A58" i="2"/>
  <c r="A57" i="2"/>
  <c r="J63" i="1"/>
  <c r="A63" i="1"/>
  <c r="A54" i="2"/>
  <c r="A55" i="2"/>
  <c r="A56" i="2"/>
  <c r="A53" i="2"/>
  <c r="A52" i="2"/>
  <c r="J62" i="1"/>
  <c r="A62" i="1"/>
  <c r="A51" i="2"/>
  <c r="J61" i="1"/>
  <c r="A61" i="1"/>
  <c r="A50" i="2"/>
  <c r="A49" i="2"/>
  <c r="A48" i="2"/>
  <c r="J60" i="1"/>
  <c r="A60" i="1"/>
  <c r="A47" i="2"/>
  <c r="J59" i="1"/>
  <c r="A59" i="1"/>
  <c r="J58" i="1"/>
  <c r="A58" i="1"/>
  <c r="A46" i="2"/>
  <c r="J57" i="1"/>
  <c r="A57" i="1"/>
  <c r="J56" i="1"/>
  <c r="A56" i="1"/>
  <c r="A54" i="1"/>
  <c r="Q66" i="1" l="1"/>
  <c r="S66" i="1"/>
  <c r="Q73" i="1"/>
  <c r="S73" i="1"/>
  <c r="Q81" i="1"/>
  <c r="S81" i="1"/>
  <c r="Q98" i="1"/>
  <c r="S98" i="1"/>
  <c r="Q103" i="1"/>
  <c r="S103" i="1"/>
  <c r="Q74" i="1"/>
  <c r="S74" i="1"/>
  <c r="Q83" i="1"/>
  <c r="S83" i="1"/>
  <c r="Q69" i="1"/>
  <c r="S69" i="1"/>
  <c r="Q111" i="1"/>
  <c r="S111" i="1"/>
  <c r="Q88" i="1"/>
  <c r="S88" i="1"/>
  <c r="Q58" i="1"/>
  <c r="S58" i="1"/>
  <c r="Q78" i="1"/>
  <c r="S78" i="1"/>
  <c r="Q104" i="1"/>
  <c r="S104" i="1"/>
  <c r="Q89" i="1"/>
  <c r="S89" i="1"/>
  <c r="Q106" i="1"/>
  <c r="S106" i="1"/>
  <c r="Q117" i="1"/>
  <c r="S117" i="1"/>
  <c r="Q60" i="1"/>
  <c r="S60" i="1"/>
  <c r="Q79" i="1"/>
  <c r="S79" i="1"/>
  <c r="Q85" i="1"/>
  <c r="S85" i="1"/>
  <c r="Q95" i="1"/>
  <c r="S95" i="1"/>
  <c r="Q112" i="1"/>
  <c r="S112" i="1"/>
  <c r="Q68" i="1"/>
  <c r="S68" i="1"/>
  <c r="Q76" i="1"/>
  <c r="S76" i="1"/>
  <c r="Q90" i="1"/>
  <c r="S90" i="1"/>
  <c r="Q107" i="1"/>
  <c r="S107" i="1"/>
  <c r="Q100" i="1"/>
  <c r="S100" i="1"/>
  <c r="Q75" i="1"/>
  <c r="S75" i="1"/>
  <c r="Q86" i="1"/>
  <c r="S86" i="1"/>
  <c r="Q96" i="1"/>
  <c r="S96" i="1"/>
  <c r="Q59" i="1"/>
  <c r="S59" i="1"/>
  <c r="Q71" i="1"/>
  <c r="S71" i="1"/>
  <c r="Q91" i="1"/>
  <c r="S91" i="1"/>
  <c r="Q101" i="1"/>
  <c r="S101" i="1"/>
  <c r="Q108" i="1"/>
  <c r="S108" i="1"/>
  <c r="Q113" i="1"/>
  <c r="S113" i="1"/>
  <c r="Q110" i="1"/>
  <c r="S110" i="1"/>
  <c r="Q61" i="1"/>
  <c r="S61" i="1"/>
  <c r="Q77" i="1"/>
  <c r="S77" i="1"/>
  <c r="Q67" i="1"/>
  <c r="S67" i="1"/>
  <c r="Q99" i="1"/>
  <c r="S99" i="1"/>
  <c r="Q84" i="1"/>
  <c r="S84" i="1"/>
  <c r="Q87" i="1"/>
  <c r="S87" i="1"/>
  <c r="Q92" i="1"/>
  <c r="S92" i="1"/>
  <c r="Q97" i="1"/>
  <c r="S97" i="1"/>
  <c r="Q102" i="1"/>
  <c r="S102" i="1"/>
  <c r="Q109" i="1"/>
  <c r="S109" i="1"/>
  <c r="Q114" i="1"/>
  <c r="S114" i="1"/>
  <c r="Q93" i="1"/>
  <c r="S93" i="1"/>
  <c r="Q82" i="1"/>
  <c r="S82" i="1"/>
  <c r="Q94" i="1"/>
  <c r="S94" i="1"/>
  <c r="Q65" i="1"/>
  <c r="S65" i="1"/>
  <c r="Q80" i="1"/>
  <c r="S80" i="1"/>
  <c r="Q116" i="1"/>
  <c r="S116" i="1"/>
  <c r="Q105" i="1"/>
  <c r="S105" i="1"/>
  <c r="Q63" i="1"/>
  <c r="S63" i="1"/>
  <c r="Q64" i="1"/>
  <c r="S64" i="1"/>
  <c r="Q56" i="1"/>
  <c r="S56" i="1"/>
  <c r="Q57" i="1"/>
  <c r="S57" i="1"/>
  <c r="Q62" i="1"/>
  <c r="S62" i="1"/>
  <c r="Q72" i="1"/>
  <c r="S72" i="1"/>
  <c r="Q115" i="1"/>
  <c r="S115" i="1"/>
  <c r="P65" i="1"/>
  <c r="T65" i="1"/>
  <c r="R65" i="1"/>
  <c r="P80" i="1"/>
  <c r="T80" i="1"/>
  <c r="R80" i="1"/>
  <c r="P66" i="1"/>
  <c r="T66" i="1"/>
  <c r="R66" i="1"/>
  <c r="P81" i="1"/>
  <c r="T81" i="1"/>
  <c r="R81" i="1"/>
  <c r="P98" i="1"/>
  <c r="T98" i="1"/>
  <c r="R98" i="1"/>
  <c r="P103" i="1"/>
  <c r="R103" i="1"/>
  <c r="T103" i="1"/>
  <c r="P99" i="1"/>
  <c r="T99" i="1"/>
  <c r="R99" i="1"/>
  <c r="P104" i="1"/>
  <c r="R104" i="1"/>
  <c r="T104" i="1"/>
  <c r="P116" i="1"/>
  <c r="R116" i="1"/>
  <c r="T116" i="1"/>
  <c r="P57" i="1"/>
  <c r="R57" i="1"/>
  <c r="T57" i="1"/>
  <c r="P94" i="1"/>
  <c r="T94" i="1"/>
  <c r="R94" i="1"/>
  <c r="P105" i="1"/>
  <c r="R105" i="1"/>
  <c r="T105" i="1"/>
  <c r="P62" i="1"/>
  <c r="T62" i="1"/>
  <c r="R62" i="1"/>
  <c r="P84" i="1"/>
  <c r="R84" i="1"/>
  <c r="T84" i="1"/>
  <c r="P100" i="1"/>
  <c r="R100" i="1"/>
  <c r="T100" i="1"/>
  <c r="P111" i="1"/>
  <c r="T111" i="1"/>
  <c r="R111" i="1"/>
  <c r="P72" i="1"/>
  <c r="R72" i="1"/>
  <c r="T72" i="1"/>
  <c r="P73" i="1"/>
  <c r="R73" i="1"/>
  <c r="T73" i="1"/>
  <c r="P117" i="1"/>
  <c r="R117" i="1"/>
  <c r="T117" i="1"/>
  <c r="P93" i="1"/>
  <c r="R93" i="1"/>
  <c r="T93" i="1"/>
  <c r="P67" i="1"/>
  <c r="T67" i="1"/>
  <c r="R67" i="1"/>
  <c r="P69" i="1"/>
  <c r="T69" i="1"/>
  <c r="R69" i="1"/>
  <c r="P79" i="1"/>
  <c r="T79" i="1"/>
  <c r="R79" i="1"/>
  <c r="P85" i="1"/>
  <c r="R85" i="1"/>
  <c r="T85" i="1"/>
  <c r="P95" i="1"/>
  <c r="T95" i="1"/>
  <c r="R95" i="1"/>
  <c r="P112" i="1"/>
  <c r="T112" i="1"/>
  <c r="R112" i="1"/>
  <c r="P107" i="1"/>
  <c r="R107" i="1"/>
  <c r="T107" i="1"/>
  <c r="P78" i="1"/>
  <c r="T78" i="1"/>
  <c r="R78" i="1"/>
  <c r="P86" i="1"/>
  <c r="R86" i="1"/>
  <c r="T86" i="1"/>
  <c r="P96" i="1"/>
  <c r="T96" i="1"/>
  <c r="R96" i="1"/>
  <c r="P64" i="1"/>
  <c r="T64" i="1"/>
  <c r="R64" i="1"/>
  <c r="P71" i="1"/>
  <c r="R71" i="1"/>
  <c r="T71" i="1"/>
  <c r="P91" i="1"/>
  <c r="R91" i="1"/>
  <c r="T91" i="1"/>
  <c r="P101" i="1"/>
  <c r="R101" i="1"/>
  <c r="T101" i="1"/>
  <c r="P108" i="1"/>
  <c r="R108" i="1"/>
  <c r="T108" i="1"/>
  <c r="P113" i="1"/>
  <c r="T113" i="1"/>
  <c r="R113" i="1"/>
  <c r="P115" i="1"/>
  <c r="T115" i="1"/>
  <c r="R115" i="1"/>
  <c r="P88" i="1"/>
  <c r="R88" i="1"/>
  <c r="T88" i="1"/>
  <c r="P110" i="1"/>
  <c r="T110" i="1"/>
  <c r="R110" i="1"/>
  <c r="P82" i="1"/>
  <c r="T82" i="1"/>
  <c r="R82" i="1"/>
  <c r="P59" i="1"/>
  <c r="R59" i="1"/>
  <c r="T59" i="1"/>
  <c r="P83" i="1"/>
  <c r="T83" i="1"/>
  <c r="R83" i="1"/>
  <c r="P68" i="1"/>
  <c r="R68" i="1"/>
  <c r="T68" i="1"/>
  <c r="P63" i="1"/>
  <c r="T63" i="1"/>
  <c r="R63" i="1"/>
  <c r="P60" i="1"/>
  <c r="R60" i="1"/>
  <c r="T60" i="1"/>
  <c r="P75" i="1"/>
  <c r="R75" i="1"/>
  <c r="T75" i="1"/>
  <c r="P89" i="1"/>
  <c r="R89" i="1"/>
  <c r="T89" i="1"/>
  <c r="P61" i="1"/>
  <c r="R61" i="1"/>
  <c r="T61" i="1"/>
  <c r="P77" i="1"/>
  <c r="R77" i="1"/>
  <c r="T77" i="1"/>
  <c r="P58" i="1"/>
  <c r="R58" i="1"/>
  <c r="T58" i="1"/>
  <c r="P74" i="1"/>
  <c r="R74" i="1"/>
  <c r="T74" i="1"/>
  <c r="P106" i="1"/>
  <c r="R106" i="1"/>
  <c r="T106" i="1"/>
  <c r="P76" i="1"/>
  <c r="T76" i="1"/>
  <c r="R76" i="1"/>
  <c r="P90" i="1"/>
  <c r="R90" i="1"/>
  <c r="T90" i="1"/>
  <c r="P56" i="1"/>
  <c r="R56" i="1"/>
  <c r="T56" i="1"/>
  <c r="P87" i="1"/>
  <c r="R87" i="1"/>
  <c r="T87" i="1"/>
  <c r="P92" i="1"/>
  <c r="R92" i="1"/>
  <c r="T92" i="1"/>
  <c r="P97" i="1"/>
  <c r="T97" i="1"/>
  <c r="R97" i="1"/>
  <c r="P102" i="1"/>
  <c r="R102" i="1"/>
  <c r="T102" i="1"/>
  <c r="P109" i="1"/>
  <c r="R109" i="1"/>
  <c r="T109" i="1"/>
  <c r="T114" i="1"/>
  <c r="R114" i="1"/>
  <c r="P114" i="1"/>
  <c r="L71" i="1"/>
  <c r="L64" i="1"/>
  <c r="L77" i="1"/>
  <c r="L65" i="1"/>
  <c r="L108" i="1"/>
  <c r="L102" i="1"/>
  <c r="L62" i="1"/>
  <c r="L81" i="1"/>
  <c r="L74" i="1"/>
  <c r="L101" i="1"/>
  <c r="L56" i="1"/>
  <c r="L109" i="1"/>
  <c r="L72" i="1"/>
  <c r="L98" i="1"/>
  <c r="L110" i="1"/>
  <c r="L82" i="1"/>
  <c r="L116" i="1"/>
  <c r="L94" i="1"/>
  <c r="L57" i="1"/>
  <c r="L73" i="1"/>
  <c r="L88" i="1"/>
  <c r="L58" i="1"/>
  <c r="L104" i="1"/>
  <c r="L63" i="1"/>
  <c r="L69" i="1"/>
  <c r="L84" i="1"/>
  <c r="L100" i="1"/>
  <c r="L111" i="1"/>
  <c r="L91" i="1"/>
  <c r="L87" i="1"/>
  <c r="L115" i="1"/>
  <c r="L106" i="1"/>
  <c r="L117" i="1"/>
  <c r="L61" i="1"/>
  <c r="L97" i="1"/>
  <c r="L66" i="1"/>
  <c r="L67" i="1"/>
  <c r="L99" i="1"/>
  <c r="L68" i="1"/>
  <c r="L105" i="1"/>
  <c r="L75" i="1"/>
  <c r="L79" i="1"/>
  <c r="L85" i="1"/>
  <c r="L95" i="1"/>
  <c r="L112" i="1"/>
  <c r="L89" i="1"/>
  <c r="L76" i="1"/>
  <c r="L90" i="1"/>
  <c r="L107" i="1"/>
  <c r="L113" i="1"/>
  <c r="L92" i="1"/>
  <c r="L80" i="1"/>
  <c r="L103" i="1"/>
  <c r="L93" i="1"/>
  <c r="L78" i="1"/>
  <c r="L59" i="1"/>
  <c r="L83" i="1"/>
  <c r="L60" i="1"/>
  <c r="L86" i="1"/>
  <c r="L96" i="1"/>
  <c r="L114" i="1"/>
  <c r="A45" i="2"/>
  <c r="A44" i="2"/>
  <c r="J55" i="1"/>
  <c r="A55" i="1"/>
  <c r="J54" i="1"/>
  <c r="J53" i="1"/>
  <c r="A53" i="1"/>
  <c r="J52" i="1"/>
  <c r="A52" i="1"/>
  <c r="J51" i="1"/>
  <c r="A51" i="1"/>
  <c r="J50" i="1"/>
  <c r="A50" i="1"/>
  <c r="A43" i="2"/>
  <c r="Q50" i="1" l="1"/>
  <c r="S50" i="1"/>
  <c r="Q51" i="1"/>
  <c r="S51" i="1"/>
  <c r="Q52" i="1"/>
  <c r="S52" i="1"/>
  <c r="Q53" i="1"/>
  <c r="S53" i="1"/>
  <c r="Q54" i="1"/>
  <c r="S54" i="1"/>
  <c r="Q55" i="1"/>
  <c r="S55" i="1"/>
  <c r="R52" i="1"/>
  <c r="T52" i="1"/>
  <c r="T51" i="1"/>
  <c r="R51" i="1"/>
  <c r="R53" i="1"/>
  <c r="T53" i="1"/>
  <c r="R54" i="1"/>
  <c r="T54" i="1"/>
  <c r="T50" i="1"/>
  <c r="R50" i="1"/>
  <c r="R55" i="1"/>
  <c r="T55" i="1"/>
  <c r="P54" i="1"/>
  <c r="P55" i="1"/>
  <c r="P52" i="1"/>
  <c r="P51" i="1"/>
  <c r="P50" i="1"/>
  <c r="P53" i="1"/>
  <c r="L55" i="1"/>
  <c r="L54" i="1"/>
  <c r="L53" i="1"/>
  <c r="L52" i="1"/>
  <c r="L50" i="1"/>
  <c r="L51" i="1"/>
  <c r="A42" i="2"/>
  <c r="J49" i="1"/>
  <c r="A49" i="1"/>
  <c r="A41" i="2"/>
  <c r="J48" i="1"/>
  <c r="A48" i="1"/>
  <c r="A40" i="2"/>
  <c r="J47" i="1"/>
  <c r="A47" i="1"/>
  <c r="J46" i="1"/>
  <c r="A46" i="1"/>
  <c r="A39" i="2"/>
  <c r="J45" i="1"/>
  <c r="A45" i="1"/>
  <c r="A38" i="2"/>
  <c r="J44" i="1"/>
  <c r="A44" i="1"/>
  <c r="A37" i="2"/>
  <c r="Q49" i="1" l="1"/>
  <c r="S49" i="1"/>
  <c r="Q44" i="1"/>
  <c r="S44" i="1"/>
  <c r="Q46" i="1"/>
  <c r="S46" i="1"/>
  <c r="Q47" i="1"/>
  <c r="S47" i="1"/>
  <c r="Q48" i="1"/>
  <c r="S48" i="1"/>
  <c r="Q45" i="1"/>
  <c r="S45" i="1"/>
  <c r="T49" i="1"/>
  <c r="R49" i="1"/>
  <c r="T48" i="1"/>
  <c r="R48" i="1"/>
  <c r="P44" i="1"/>
  <c r="R44" i="1"/>
  <c r="T44" i="1"/>
  <c r="P45" i="1"/>
  <c r="R45" i="1"/>
  <c r="T45" i="1"/>
  <c r="T46" i="1"/>
  <c r="R46" i="1"/>
  <c r="T47" i="1"/>
  <c r="R47" i="1"/>
  <c r="P46" i="1"/>
  <c r="P49" i="1"/>
  <c r="P47" i="1"/>
  <c r="P48" i="1"/>
  <c r="L44" i="1"/>
  <c r="L45" i="1"/>
  <c r="L49" i="1"/>
  <c r="L48" i="1"/>
  <c r="L47" i="1"/>
  <c r="L46" i="1"/>
  <c r="J43" i="1"/>
  <c r="A43" i="1"/>
  <c r="A36" i="2"/>
  <c r="J42" i="1"/>
  <c r="A42" i="1"/>
  <c r="A35" i="2"/>
  <c r="J41" i="1"/>
  <c r="A41" i="1"/>
  <c r="J40" i="1"/>
  <c r="A40" i="1"/>
  <c r="A34" i="2"/>
  <c r="J39" i="1"/>
  <c r="A39" i="1"/>
  <c r="A33" i="2"/>
  <c r="A32" i="2"/>
  <c r="J38" i="1"/>
  <c r="A38" i="1"/>
  <c r="J37" i="1"/>
  <c r="A37" i="1"/>
  <c r="J36" i="1"/>
  <c r="A36" i="1"/>
  <c r="A31" i="2"/>
  <c r="J35" i="1"/>
  <c r="A35" i="1"/>
  <c r="J34" i="1"/>
  <c r="A34" i="1"/>
  <c r="Q34" i="1" l="1"/>
  <c r="S34" i="1"/>
  <c r="Q41" i="1"/>
  <c r="S41" i="1"/>
  <c r="Q39" i="1"/>
  <c r="S39" i="1"/>
  <c r="Q35" i="1"/>
  <c r="S35" i="1"/>
  <c r="Q42" i="1"/>
  <c r="S42" i="1"/>
  <c r="Q37" i="1"/>
  <c r="S37" i="1"/>
  <c r="Q38" i="1"/>
  <c r="S38" i="1"/>
  <c r="Q40" i="1"/>
  <c r="S40" i="1"/>
  <c r="Q36" i="1"/>
  <c r="S36" i="1"/>
  <c r="Q43" i="1"/>
  <c r="S43" i="1"/>
  <c r="R43" i="1"/>
  <c r="T43" i="1"/>
  <c r="T37" i="1"/>
  <c r="R37" i="1"/>
  <c r="P38" i="1"/>
  <c r="R38" i="1"/>
  <c r="T38" i="1"/>
  <c r="P35" i="1"/>
  <c r="T35" i="1"/>
  <c r="R35" i="1"/>
  <c r="P41" i="1"/>
  <c r="R41" i="1"/>
  <c r="T41" i="1"/>
  <c r="P36" i="1"/>
  <c r="R36" i="1"/>
  <c r="T36" i="1"/>
  <c r="P39" i="1"/>
  <c r="R39" i="1"/>
  <c r="T39" i="1"/>
  <c r="P42" i="1"/>
  <c r="R42" i="1"/>
  <c r="T42" i="1"/>
  <c r="P34" i="1"/>
  <c r="T34" i="1"/>
  <c r="R34" i="1"/>
  <c r="P40" i="1"/>
  <c r="R40" i="1"/>
  <c r="T40" i="1"/>
  <c r="P37" i="1"/>
  <c r="P43" i="1"/>
  <c r="L36" i="1"/>
  <c r="L35" i="1"/>
  <c r="L41" i="1"/>
  <c r="L42" i="1"/>
  <c r="L38" i="1"/>
  <c r="L39" i="1"/>
  <c r="L34" i="1"/>
  <c r="L40" i="1"/>
  <c r="L43" i="1"/>
  <c r="L37" i="1"/>
  <c r="A30" i="2"/>
  <c r="A29" i="2"/>
  <c r="J33" i="1"/>
  <c r="A33" i="1"/>
  <c r="A28" i="2"/>
  <c r="J32" i="1"/>
  <c r="A32" i="1"/>
  <c r="A27" i="2"/>
  <c r="J31" i="1"/>
  <c r="A31" i="1"/>
  <c r="A26" i="2"/>
  <c r="J30" i="1"/>
  <c r="A30" i="1"/>
  <c r="A25" i="2"/>
  <c r="A24" i="2"/>
  <c r="J29" i="1"/>
  <c r="A29" i="1"/>
  <c r="J28" i="1"/>
  <c r="A28" i="1"/>
  <c r="A23" i="2"/>
  <c r="J27" i="1"/>
  <c r="A27" i="1"/>
  <c r="J26" i="1"/>
  <c r="A26" i="1"/>
  <c r="A22" i="2"/>
  <c r="J25" i="1"/>
  <c r="A25" i="1"/>
  <c r="Q29" i="1" l="1"/>
  <c r="S29" i="1"/>
  <c r="Q28" i="1"/>
  <c r="S28" i="1"/>
  <c r="Q25" i="1"/>
  <c r="S25" i="1"/>
  <c r="Q26" i="1"/>
  <c r="S26" i="1"/>
  <c r="Q33" i="1"/>
  <c r="S33" i="1"/>
  <c r="Q31" i="1"/>
  <c r="S31" i="1"/>
  <c r="Q30" i="1"/>
  <c r="S30" i="1"/>
  <c r="Q32" i="1"/>
  <c r="S32" i="1"/>
  <c r="Q27" i="1"/>
  <c r="S27" i="1"/>
  <c r="T33" i="1"/>
  <c r="R33" i="1"/>
  <c r="P27" i="1"/>
  <c r="R27" i="1"/>
  <c r="T27" i="1"/>
  <c r="P28" i="1"/>
  <c r="R28" i="1"/>
  <c r="T28" i="1"/>
  <c r="P30" i="1"/>
  <c r="T30" i="1"/>
  <c r="R30" i="1"/>
  <c r="P26" i="1"/>
  <c r="R26" i="1"/>
  <c r="T26" i="1"/>
  <c r="T32" i="1"/>
  <c r="R32" i="1"/>
  <c r="P29" i="1"/>
  <c r="R29" i="1"/>
  <c r="T29" i="1"/>
  <c r="P25" i="1"/>
  <c r="R25" i="1"/>
  <c r="T25" i="1"/>
  <c r="T31" i="1"/>
  <c r="R31" i="1"/>
  <c r="P31" i="1"/>
  <c r="P32" i="1"/>
  <c r="P33" i="1"/>
  <c r="L25" i="1"/>
  <c r="L30" i="1"/>
  <c r="L26" i="1"/>
  <c r="L27" i="1"/>
  <c r="L28" i="1"/>
  <c r="L29" i="1"/>
  <c r="L33" i="1"/>
  <c r="L32" i="1"/>
  <c r="L31" i="1"/>
  <c r="A21" i="2" l="1"/>
  <c r="A20" i="2"/>
  <c r="J24" i="1"/>
  <c r="A24" i="1"/>
  <c r="J23" i="1"/>
  <c r="A23" i="1"/>
  <c r="J22" i="1"/>
  <c r="A22" i="1"/>
  <c r="A19" i="2"/>
  <c r="Q22" i="1" l="1"/>
  <c r="S22" i="1"/>
  <c r="Q23" i="1"/>
  <c r="S23" i="1"/>
  <c r="Q24" i="1"/>
  <c r="S24" i="1"/>
  <c r="R22" i="1"/>
  <c r="T22" i="1"/>
  <c r="R23" i="1"/>
  <c r="T23" i="1"/>
  <c r="R24" i="1"/>
  <c r="T24" i="1"/>
  <c r="P24" i="1"/>
  <c r="P22" i="1"/>
  <c r="P23" i="1"/>
  <c r="L23" i="1"/>
  <c r="L24" i="1"/>
  <c r="L22" i="1"/>
  <c r="A18" i="2"/>
  <c r="A17" i="2"/>
  <c r="J21" i="1"/>
  <c r="A21" i="1"/>
  <c r="A16" i="2"/>
  <c r="Q21" i="1" l="1"/>
  <c r="S21" i="1"/>
  <c r="R21" i="1"/>
  <c r="T21" i="1"/>
  <c r="P21" i="1"/>
  <c r="L21" i="1"/>
  <c r="A15" i="2"/>
  <c r="J20" i="1"/>
  <c r="A20" i="1"/>
  <c r="J19" i="1"/>
  <c r="B14" i="4"/>
  <c r="A19" i="1"/>
  <c r="A13" i="2"/>
  <c r="A14" i="2"/>
  <c r="J18" i="1"/>
  <c r="A18" i="1"/>
  <c r="Q18" i="1" l="1"/>
  <c r="S18" i="1"/>
  <c r="Q19" i="1"/>
  <c r="S19" i="1"/>
  <c r="Q20" i="1"/>
  <c r="S20" i="1"/>
  <c r="T19" i="1"/>
  <c r="R19" i="1"/>
  <c r="R20" i="1"/>
  <c r="T20" i="1"/>
  <c r="T18" i="1"/>
  <c r="R18" i="1"/>
  <c r="P20" i="1"/>
  <c r="P18" i="1"/>
  <c r="P19" i="1"/>
  <c r="L19" i="1"/>
  <c r="L20" i="1"/>
  <c r="L18" i="1"/>
  <c r="J17" i="1"/>
  <c r="B13" i="4"/>
  <c r="A17" i="1"/>
  <c r="J16" i="1"/>
  <c r="A16" i="1"/>
  <c r="A12" i="2"/>
  <c r="A11" i="2"/>
  <c r="A10" i="2"/>
  <c r="A9" i="2"/>
  <c r="J15" i="1"/>
  <c r="A15" i="1"/>
  <c r="A8" i="2"/>
  <c r="Q15" i="1" l="1"/>
  <c r="S15" i="1"/>
  <c r="Q16" i="1"/>
  <c r="S16" i="1"/>
  <c r="Q17" i="1"/>
  <c r="S17" i="1"/>
  <c r="T16" i="1"/>
  <c r="R16" i="1"/>
  <c r="T17" i="1"/>
  <c r="R17" i="1"/>
  <c r="T15" i="1"/>
  <c r="R15" i="1"/>
  <c r="P16" i="1"/>
  <c r="P17" i="1"/>
  <c r="P15" i="1"/>
  <c r="L16" i="1"/>
  <c r="L15" i="1"/>
  <c r="L17" i="1"/>
  <c r="J14" i="1"/>
  <c r="A14" i="1"/>
  <c r="J13" i="1"/>
  <c r="A13" i="1"/>
  <c r="Q13" i="1" l="1"/>
  <c r="S13" i="1"/>
  <c r="Q14" i="1"/>
  <c r="S14" i="1"/>
  <c r="T13" i="1"/>
  <c r="R13" i="1"/>
  <c r="T14" i="1"/>
  <c r="R14" i="1"/>
  <c r="P14" i="1"/>
  <c r="P13" i="1"/>
  <c r="L14" i="1"/>
  <c r="L13" i="1"/>
  <c r="A7" i="2"/>
  <c r="J12" i="1"/>
  <c r="A12" i="1"/>
  <c r="A3" i="2"/>
  <c r="A4" i="2"/>
  <c r="A5" i="2"/>
  <c r="A6" i="2"/>
  <c r="J11" i="1"/>
  <c r="A11" i="1"/>
  <c r="J10" i="1"/>
  <c r="A10" i="1"/>
  <c r="J9" i="1"/>
  <c r="A9" i="1"/>
  <c r="D5" i="5"/>
  <c r="D4" i="5"/>
  <c r="J8" i="1"/>
  <c r="A8" i="1"/>
  <c r="J7" i="1"/>
  <c r="A7" i="1"/>
  <c r="D3" i="5"/>
  <c r="D2" i="5"/>
  <c r="J6" i="1"/>
  <c r="A6" i="1"/>
  <c r="Q12" i="1" l="1"/>
  <c r="S12" i="1"/>
  <c r="Q8" i="1"/>
  <c r="S8" i="1"/>
  <c r="Q10" i="1"/>
  <c r="S10" i="1"/>
  <c r="Q11" i="1"/>
  <c r="S11" i="1"/>
  <c r="Q9" i="1"/>
  <c r="S9" i="1"/>
  <c r="Q7" i="1"/>
  <c r="S7" i="1"/>
  <c r="Q6" i="1"/>
  <c r="S6" i="1"/>
  <c r="R11" i="1"/>
  <c r="T11" i="1"/>
  <c r="R9" i="1"/>
  <c r="T9" i="1"/>
  <c r="R10" i="1"/>
  <c r="T10" i="1"/>
  <c r="P6" i="1"/>
  <c r="R6" i="1"/>
  <c r="T6" i="1"/>
  <c r="P7" i="1"/>
  <c r="R7" i="1"/>
  <c r="T7" i="1"/>
  <c r="T12" i="1"/>
  <c r="R12" i="1"/>
  <c r="R8" i="1"/>
  <c r="T8" i="1"/>
  <c r="P12" i="1"/>
  <c r="P8" i="1"/>
  <c r="P10" i="1"/>
  <c r="P11" i="1"/>
  <c r="P9" i="1"/>
  <c r="L7" i="1"/>
  <c r="L6" i="1"/>
  <c r="L9" i="1"/>
  <c r="L10" i="1"/>
  <c r="L11" i="1"/>
  <c r="L12" i="1"/>
  <c r="L8" i="1"/>
  <c r="J5" i="1"/>
  <c r="A5" i="1"/>
  <c r="J4" i="1"/>
  <c r="A4" i="1"/>
  <c r="J3" i="1"/>
  <c r="A3" i="1"/>
  <c r="A2" i="1"/>
  <c r="B12" i="4"/>
  <c r="J2" i="1"/>
  <c r="B11" i="4"/>
  <c r="B3" i="4"/>
  <c r="B4" i="4"/>
  <c r="B5" i="4"/>
  <c r="B6" i="4"/>
  <c r="B7" i="4"/>
  <c r="B10" i="4"/>
  <c r="B15" i="4"/>
  <c r="D900" i="2" l="1"/>
  <c r="H900" i="2"/>
  <c r="D899" i="2"/>
  <c r="D895" i="2"/>
  <c r="H899" i="2"/>
  <c r="H895" i="2"/>
  <c r="D898" i="2"/>
  <c r="H898" i="2"/>
  <c r="D897" i="2"/>
  <c r="H897" i="2"/>
  <c r="D896" i="2"/>
  <c r="H896" i="2"/>
  <c r="D894" i="2"/>
  <c r="H894" i="2"/>
  <c r="D893" i="2"/>
  <c r="H893" i="2"/>
  <c r="D892" i="2"/>
  <c r="H892" i="2"/>
  <c r="D891" i="2"/>
  <c r="H891" i="2"/>
  <c r="H890" i="2"/>
  <c r="H886" i="2"/>
  <c r="D886" i="2"/>
  <c r="H884" i="2"/>
  <c r="H887" i="2"/>
  <c r="D889" i="2"/>
  <c r="D885" i="2"/>
  <c r="H889" i="2"/>
  <c r="H885" i="2"/>
  <c r="H888" i="2"/>
  <c r="D890" i="2"/>
  <c r="D888" i="2"/>
  <c r="D884" i="2"/>
  <c r="D887" i="2"/>
  <c r="D883" i="2"/>
  <c r="H883" i="2"/>
  <c r="D882" i="2"/>
  <c r="D878" i="2"/>
  <c r="D874" i="2"/>
  <c r="H882" i="2"/>
  <c r="H878" i="2"/>
  <c r="H874" i="2"/>
  <c r="D881" i="2"/>
  <c r="D877" i="2"/>
  <c r="D873" i="2"/>
  <c r="H881" i="2"/>
  <c r="H877" i="2"/>
  <c r="H873" i="2"/>
  <c r="D876" i="2"/>
  <c r="D872" i="2"/>
  <c r="H872" i="2"/>
  <c r="H879" i="2"/>
  <c r="D880" i="2"/>
  <c r="H875" i="2"/>
  <c r="H880" i="2"/>
  <c r="H876" i="2"/>
  <c r="D879" i="2"/>
  <c r="D875" i="2"/>
  <c r="D871" i="2"/>
  <c r="H871" i="2"/>
  <c r="D870" i="2"/>
  <c r="H870" i="2"/>
  <c r="D869" i="2"/>
  <c r="H869" i="2"/>
  <c r="D868" i="2"/>
  <c r="H868" i="2"/>
  <c r="D867" i="2"/>
  <c r="H867" i="2"/>
  <c r="D866" i="2"/>
  <c r="H866" i="2"/>
  <c r="D865" i="2"/>
  <c r="H865" i="2"/>
  <c r="D864" i="2"/>
  <c r="H864" i="2"/>
  <c r="H862" i="2"/>
  <c r="D863" i="2"/>
  <c r="H863" i="2"/>
  <c r="D862" i="2"/>
  <c r="D861" i="2"/>
  <c r="H861" i="2"/>
  <c r="D860" i="2"/>
  <c r="H860" i="2"/>
  <c r="H858" i="2"/>
  <c r="D857" i="2"/>
  <c r="H857" i="2"/>
  <c r="D856" i="2"/>
  <c r="H856" i="2"/>
  <c r="D855" i="2"/>
  <c r="H855" i="2"/>
  <c r="D854" i="2"/>
  <c r="D859" i="2"/>
  <c r="H854" i="2"/>
  <c r="H859" i="2"/>
  <c r="D858" i="2"/>
  <c r="D853" i="2"/>
  <c r="H853" i="2"/>
  <c r="H851" i="2"/>
  <c r="D851" i="2"/>
  <c r="D852" i="2"/>
  <c r="H852" i="2"/>
  <c r="H849" i="2"/>
  <c r="D848" i="2"/>
  <c r="H848" i="2"/>
  <c r="D847" i="2"/>
  <c r="H847" i="2"/>
  <c r="D850" i="2"/>
  <c r="H850" i="2"/>
  <c r="D849" i="2"/>
  <c r="H846" i="2"/>
  <c r="D846" i="2"/>
  <c r="H844" i="2"/>
  <c r="D843" i="2"/>
  <c r="H843" i="2"/>
  <c r="D842" i="2"/>
  <c r="H842" i="2"/>
  <c r="D845" i="2"/>
  <c r="H845" i="2"/>
  <c r="D844" i="2"/>
  <c r="H840" i="2"/>
  <c r="D839" i="2"/>
  <c r="H839" i="2"/>
  <c r="D838" i="2"/>
  <c r="H838" i="2"/>
  <c r="D841" i="2"/>
  <c r="H841" i="2"/>
  <c r="D840" i="2"/>
  <c r="H836" i="2"/>
  <c r="D837" i="2"/>
  <c r="H837" i="2"/>
  <c r="D836" i="2"/>
  <c r="H834" i="2"/>
  <c r="H835" i="2"/>
  <c r="D835" i="2"/>
  <c r="D834" i="2"/>
  <c r="H832" i="2"/>
  <c r="D833" i="2"/>
  <c r="H833" i="2"/>
  <c r="I833" i="2" s="1"/>
  <c r="D832" i="2"/>
  <c r="D831" i="2"/>
  <c r="H831" i="2"/>
  <c r="D830" i="2"/>
  <c r="H830" i="2"/>
  <c r="D829" i="2"/>
  <c r="H829" i="2"/>
  <c r="H824" i="2"/>
  <c r="D827" i="2"/>
  <c r="H827" i="2"/>
  <c r="D826" i="2"/>
  <c r="H826" i="2"/>
  <c r="I826" i="2" s="1"/>
  <c r="D825" i="2"/>
  <c r="D828" i="2"/>
  <c r="H825" i="2"/>
  <c r="D824" i="2"/>
  <c r="H828" i="2"/>
  <c r="D823" i="2"/>
  <c r="H823" i="2"/>
  <c r="H821" i="2"/>
  <c r="D820" i="2"/>
  <c r="H820" i="2"/>
  <c r="D822" i="2"/>
  <c r="H822" i="2"/>
  <c r="D821" i="2"/>
  <c r="H818" i="2"/>
  <c r="D817" i="2"/>
  <c r="H817" i="2"/>
  <c r="D816" i="2"/>
  <c r="H816" i="2"/>
  <c r="D815" i="2"/>
  <c r="H815" i="2"/>
  <c r="D814" i="2"/>
  <c r="D819" i="2"/>
  <c r="H814" i="2"/>
  <c r="H819" i="2"/>
  <c r="D813" i="2"/>
  <c r="D818" i="2"/>
  <c r="H813" i="2"/>
  <c r="H812" i="2"/>
  <c r="D812" i="2"/>
  <c r="D811" i="2"/>
  <c r="H811" i="2"/>
  <c r="H809" i="2"/>
  <c r="D808" i="2"/>
  <c r="H808" i="2"/>
  <c r="D810" i="2"/>
  <c r="H810" i="2"/>
  <c r="D809" i="2"/>
  <c r="D807" i="2"/>
  <c r="H807" i="2"/>
  <c r="I807" i="2" s="1"/>
  <c r="D806" i="2"/>
  <c r="H806" i="2"/>
  <c r="D804" i="2"/>
  <c r="H805" i="2"/>
  <c r="D805" i="2"/>
  <c r="H804" i="2"/>
  <c r="H803" i="2"/>
  <c r="D803" i="2"/>
  <c r="D802" i="2"/>
  <c r="H802" i="2"/>
  <c r="H801" i="2"/>
  <c r="D801" i="2"/>
  <c r="D798" i="2"/>
  <c r="H798" i="2"/>
  <c r="H797" i="2"/>
  <c r="N769" i="1" s="1"/>
  <c r="O769" i="1" s="1"/>
  <c r="D797" i="2"/>
  <c r="D796" i="2"/>
  <c r="H796" i="2"/>
  <c r="D800" i="2"/>
  <c r="H800" i="2"/>
  <c r="D799" i="2"/>
  <c r="H799" i="2"/>
  <c r="H795" i="2"/>
  <c r="D795" i="2"/>
  <c r="D794" i="2"/>
  <c r="H794" i="2"/>
  <c r="D793" i="2"/>
  <c r="H793" i="2"/>
  <c r="D790" i="2"/>
  <c r="H790" i="2"/>
  <c r="D792" i="2"/>
  <c r="H792" i="2"/>
  <c r="D791" i="2"/>
  <c r="H791" i="2"/>
  <c r="D789" i="2"/>
  <c r="H789" i="2"/>
  <c r="H788" i="2"/>
  <c r="D788" i="2"/>
  <c r="D787" i="2"/>
  <c r="H787" i="2"/>
  <c r="D786" i="2"/>
  <c r="H786" i="2"/>
  <c r="D785" i="2"/>
  <c r="H785" i="2"/>
  <c r="D782" i="2"/>
  <c r="H782" i="2"/>
  <c r="D781" i="2"/>
  <c r="H781" i="2"/>
  <c r="D780" i="2"/>
  <c r="H780" i="2"/>
  <c r="H784" i="2"/>
  <c r="D784" i="2"/>
  <c r="D783" i="2"/>
  <c r="H783" i="2"/>
  <c r="D779" i="2"/>
  <c r="H779" i="2"/>
  <c r="D778" i="2"/>
  <c r="H778" i="2"/>
  <c r="D775" i="2"/>
  <c r="D774" i="2"/>
  <c r="H774" i="2"/>
  <c r="D773" i="2"/>
  <c r="H775" i="2"/>
  <c r="H773" i="2"/>
  <c r="D777" i="2"/>
  <c r="H777" i="2"/>
  <c r="D776" i="2"/>
  <c r="H776" i="2"/>
  <c r="D772" i="2"/>
  <c r="H772" i="2"/>
  <c r="D771" i="2"/>
  <c r="H771" i="2"/>
  <c r="D770" i="2"/>
  <c r="H770" i="2"/>
  <c r="D769" i="2"/>
  <c r="H769" i="2"/>
  <c r="H768" i="2"/>
  <c r="D768" i="2"/>
  <c r="D765" i="2"/>
  <c r="H765" i="2"/>
  <c r="D764" i="2"/>
  <c r="H764" i="2"/>
  <c r="D763" i="2"/>
  <c r="H763" i="2"/>
  <c r="D762" i="2"/>
  <c r="D767" i="2"/>
  <c r="H762" i="2"/>
  <c r="H767" i="2"/>
  <c r="D766" i="2"/>
  <c r="H766" i="2"/>
  <c r="D761" i="2"/>
  <c r="H761" i="2"/>
  <c r="D760" i="2"/>
  <c r="H760" i="2"/>
  <c r="D757" i="2"/>
  <c r="H757" i="2"/>
  <c r="D756" i="2"/>
  <c r="H756" i="2"/>
  <c r="D755" i="2"/>
  <c r="H755" i="2"/>
  <c r="D754" i="2"/>
  <c r="D759" i="2"/>
  <c r="H754" i="2"/>
  <c r="H759" i="2"/>
  <c r="D758" i="2"/>
  <c r="H758" i="2"/>
  <c r="H753" i="2"/>
  <c r="D753" i="2"/>
  <c r="D752" i="2"/>
  <c r="H752" i="2"/>
  <c r="D751" i="2"/>
  <c r="H751" i="2"/>
  <c r="D748" i="2"/>
  <c r="H748" i="2"/>
  <c r="D747" i="2"/>
  <c r="H747" i="2"/>
  <c r="D746" i="2"/>
  <c r="H746" i="2"/>
  <c r="D745" i="2"/>
  <c r="D750" i="2"/>
  <c r="H745" i="2"/>
  <c r="H750" i="2"/>
  <c r="D744" i="2"/>
  <c r="D749" i="2"/>
  <c r="H744" i="2"/>
  <c r="H749" i="2"/>
  <c r="D742" i="2"/>
  <c r="H742" i="2"/>
  <c r="D743" i="2"/>
  <c r="H743" i="2"/>
  <c r="H740" i="2"/>
  <c r="D740" i="2"/>
  <c r="D741" i="2"/>
  <c r="H741" i="2"/>
  <c r="D739" i="2"/>
  <c r="H739" i="2"/>
  <c r="D736" i="2"/>
  <c r="H736" i="2"/>
  <c r="D735" i="2"/>
  <c r="H735" i="2"/>
  <c r="D738" i="2"/>
  <c r="H738" i="2"/>
  <c r="D737" i="2"/>
  <c r="H737" i="2"/>
  <c r="D734" i="2"/>
  <c r="H734" i="2"/>
  <c r="D733" i="2"/>
  <c r="H733" i="2"/>
  <c r="D732" i="2"/>
  <c r="H732" i="2"/>
  <c r="D731" i="2"/>
  <c r="H731" i="2"/>
  <c r="D728" i="2"/>
  <c r="H728" i="2"/>
  <c r="D727" i="2"/>
  <c r="H727" i="2"/>
  <c r="D730" i="2"/>
  <c r="H730" i="2"/>
  <c r="D729" i="2"/>
  <c r="H729" i="2"/>
  <c r="D726" i="2"/>
  <c r="H726" i="2"/>
  <c r="D725" i="2"/>
  <c r="H725" i="2"/>
  <c r="D724" i="2"/>
  <c r="H724" i="2"/>
  <c r="D723" i="2"/>
  <c r="H723" i="2"/>
  <c r="D721" i="2"/>
  <c r="D722" i="2"/>
  <c r="H722" i="2"/>
  <c r="H721" i="2"/>
  <c r="D718" i="2"/>
  <c r="H718" i="2"/>
  <c r="D717" i="2"/>
  <c r="H717" i="2"/>
  <c r="D720" i="2"/>
  <c r="H720" i="2"/>
  <c r="D719" i="2"/>
  <c r="H719" i="2"/>
  <c r="D716" i="2"/>
  <c r="H716" i="2"/>
  <c r="D715" i="2"/>
  <c r="H715" i="2"/>
  <c r="D714" i="2"/>
  <c r="H714" i="2"/>
  <c r="D713" i="2"/>
  <c r="H713" i="2"/>
  <c r="D712" i="2"/>
  <c r="H712" i="2"/>
  <c r="H711" i="2"/>
  <c r="D709" i="2"/>
  <c r="H709" i="2"/>
  <c r="D711" i="2"/>
  <c r="D710" i="2"/>
  <c r="H710" i="2"/>
  <c r="D706" i="2"/>
  <c r="H706" i="2"/>
  <c r="H707" i="2"/>
  <c r="D708" i="2"/>
  <c r="H708" i="2"/>
  <c r="D707" i="2"/>
  <c r="D703" i="2"/>
  <c r="H703" i="2"/>
  <c r="D702" i="2"/>
  <c r="H702" i="2"/>
  <c r="D705" i="2"/>
  <c r="H705" i="2"/>
  <c r="I705" i="2" s="1"/>
  <c r="D704" i="2"/>
  <c r="H704" i="2"/>
  <c r="D700" i="2"/>
  <c r="D701" i="2"/>
  <c r="H701" i="2"/>
  <c r="H700" i="2"/>
  <c r="H699" i="2"/>
  <c r="D699" i="2"/>
  <c r="H698" i="2"/>
  <c r="D698" i="2"/>
  <c r="D697" i="2"/>
  <c r="H697" i="2"/>
  <c r="D696" i="2"/>
  <c r="H696" i="2"/>
  <c r="D693" i="2"/>
  <c r="H693" i="2"/>
  <c r="D692" i="2"/>
  <c r="H692" i="2"/>
  <c r="D695" i="2"/>
  <c r="H695" i="2"/>
  <c r="D694" i="2"/>
  <c r="H694" i="2"/>
  <c r="D691" i="2"/>
  <c r="H691" i="2"/>
  <c r="D690" i="2"/>
  <c r="H690" i="2"/>
  <c r="D689" i="2"/>
  <c r="H689" i="2"/>
  <c r="D688" i="2"/>
  <c r="H688" i="2"/>
  <c r="D685" i="2"/>
  <c r="H685" i="2"/>
  <c r="D684" i="2"/>
  <c r="H684" i="2"/>
  <c r="D683" i="2"/>
  <c r="H683" i="2"/>
  <c r="D687" i="2"/>
  <c r="H687" i="2"/>
  <c r="D686" i="2"/>
  <c r="H686" i="2"/>
  <c r="D682" i="2"/>
  <c r="H682" i="2"/>
  <c r="D680" i="2"/>
  <c r="D681" i="2"/>
  <c r="H681" i="2"/>
  <c r="H680" i="2"/>
  <c r="D679" i="2"/>
  <c r="H679" i="2"/>
  <c r="D671" i="2"/>
  <c r="D676" i="2"/>
  <c r="H671" i="2"/>
  <c r="H676" i="2"/>
  <c r="D675" i="2"/>
  <c r="H675" i="2"/>
  <c r="D674" i="2"/>
  <c r="H674" i="2"/>
  <c r="D673" i="2"/>
  <c r="D678" i="2"/>
  <c r="H673" i="2"/>
  <c r="H678" i="2"/>
  <c r="D672" i="2"/>
  <c r="D677" i="2"/>
  <c r="H672" i="2"/>
  <c r="H677" i="2"/>
  <c r="H670" i="2"/>
  <c r="D670" i="2"/>
  <c r="D669" i="2"/>
  <c r="H669" i="2"/>
  <c r="D666" i="2"/>
  <c r="H666" i="2"/>
  <c r="I666" i="2" s="1"/>
  <c r="D665" i="2"/>
  <c r="H665" i="2"/>
  <c r="D664" i="2"/>
  <c r="H664" i="2"/>
  <c r="D668" i="2"/>
  <c r="H668" i="2"/>
  <c r="D667" i="2"/>
  <c r="H667" i="2"/>
  <c r="D661" i="2"/>
  <c r="H661" i="2"/>
  <c r="H660" i="2"/>
  <c r="D660" i="2"/>
  <c r="D663" i="2"/>
  <c r="H663" i="2"/>
  <c r="D662" i="2"/>
  <c r="H662" i="2"/>
  <c r="D657" i="2"/>
  <c r="H657" i="2"/>
  <c r="D656" i="2"/>
  <c r="H656" i="2"/>
  <c r="D659" i="2"/>
  <c r="H659" i="2"/>
  <c r="D658" i="2"/>
  <c r="H658" i="2"/>
  <c r="D655" i="2"/>
  <c r="H655" i="2"/>
  <c r="H654" i="2"/>
  <c r="D653" i="2"/>
  <c r="D654" i="2"/>
  <c r="H653" i="2"/>
  <c r="H652" i="2"/>
  <c r="D652" i="2"/>
  <c r="D651" i="2"/>
  <c r="H651" i="2"/>
  <c r="D650" i="2"/>
  <c r="H650" i="2"/>
  <c r="D647" i="2"/>
  <c r="H647" i="2"/>
  <c r="D649" i="2"/>
  <c r="H649" i="2"/>
  <c r="D648" i="2"/>
  <c r="H648" i="2"/>
  <c r="D646" i="2"/>
  <c r="H646" i="2"/>
  <c r="D645" i="2"/>
  <c r="H645" i="2"/>
  <c r="D644" i="2"/>
  <c r="H644" i="2"/>
  <c r="D643" i="2"/>
  <c r="H643" i="2"/>
  <c r="H642" i="2"/>
  <c r="D642" i="2"/>
  <c r="D641" i="2"/>
  <c r="H641" i="2"/>
  <c r="D640" i="2"/>
  <c r="H640" i="2"/>
  <c r="D637" i="2"/>
  <c r="H637" i="2"/>
  <c r="D639" i="2"/>
  <c r="H639" i="2"/>
  <c r="I639" i="2" s="1"/>
  <c r="D638" i="2"/>
  <c r="H638" i="2"/>
  <c r="D636" i="2"/>
  <c r="H636" i="2"/>
  <c r="D635" i="2"/>
  <c r="H635" i="2"/>
  <c r="D634" i="2"/>
  <c r="H634" i="2"/>
  <c r="H632" i="2"/>
  <c r="D633" i="2"/>
  <c r="H633" i="2"/>
  <c r="D632" i="2"/>
  <c r="D631" i="2"/>
  <c r="H631" i="2"/>
  <c r="H630" i="2"/>
  <c r="D630" i="2"/>
  <c r="D629" i="2"/>
  <c r="H629" i="2"/>
  <c r="D628" i="2"/>
  <c r="H628" i="2"/>
  <c r="D625" i="2"/>
  <c r="H625" i="2"/>
  <c r="D627" i="2"/>
  <c r="H627" i="2"/>
  <c r="D626" i="2"/>
  <c r="H626" i="2"/>
  <c r="D624" i="2"/>
  <c r="H624" i="2"/>
  <c r="D623" i="2"/>
  <c r="H623" i="2"/>
  <c r="D622" i="2"/>
  <c r="H622" i="2"/>
  <c r="D621" i="2"/>
  <c r="H621" i="2"/>
  <c r="H619" i="2"/>
  <c r="D618" i="2"/>
  <c r="H618" i="2"/>
  <c r="D617" i="2"/>
  <c r="H617" i="2"/>
  <c r="D616" i="2"/>
  <c r="H616" i="2"/>
  <c r="D620" i="2"/>
  <c r="H620" i="2"/>
  <c r="D619" i="2"/>
  <c r="Q3" i="1"/>
  <c r="S3" i="1"/>
  <c r="Q4" i="1"/>
  <c r="S4" i="1"/>
  <c r="Q5" i="1"/>
  <c r="S5" i="1"/>
  <c r="Q2" i="1"/>
  <c r="S2" i="1"/>
  <c r="D615" i="2"/>
  <c r="H615" i="2"/>
  <c r="D612" i="2"/>
  <c r="H612" i="2"/>
  <c r="D614" i="2"/>
  <c r="H614" i="2"/>
  <c r="D613" i="2"/>
  <c r="H613" i="2"/>
  <c r="H611" i="2"/>
  <c r="D611" i="2"/>
  <c r="H608" i="2"/>
  <c r="D607" i="2"/>
  <c r="H607" i="2"/>
  <c r="D610" i="2"/>
  <c r="H610" i="2"/>
  <c r="D608" i="2"/>
  <c r="D609" i="2"/>
  <c r="H609" i="2"/>
  <c r="D606" i="2"/>
  <c r="H606" i="2"/>
  <c r="D605" i="2"/>
  <c r="H605" i="2"/>
  <c r="D604" i="2"/>
  <c r="H604" i="2"/>
  <c r="D601" i="2"/>
  <c r="H601" i="2"/>
  <c r="D603" i="2"/>
  <c r="H603" i="2"/>
  <c r="D602" i="2"/>
  <c r="H602" i="2"/>
  <c r="D600" i="2"/>
  <c r="H600" i="2"/>
  <c r="D599" i="2"/>
  <c r="H599" i="2"/>
  <c r="H598" i="2"/>
  <c r="D598" i="2"/>
  <c r="D595" i="2"/>
  <c r="H595" i="2"/>
  <c r="H597" i="2"/>
  <c r="D597" i="2"/>
  <c r="H596" i="2"/>
  <c r="D596" i="2"/>
  <c r="D594" i="2"/>
  <c r="H594" i="2"/>
  <c r="D593" i="2"/>
  <c r="H593" i="2"/>
  <c r="H592" i="2"/>
  <c r="D592" i="2"/>
  <c r="D589" i="2"/>
  <c r="H589" i="2"/>
  <c r="D591" i="2"/>
  <c r="H591" i="2"/>
  <c r="D590" i="2"/>
  <c r="H590" i="2"/>
  <c r="I590" i="2" s="1"/>
  <c r="D588" i="2"/>
  <c r="H588" i="2"/>
  <c r="D585" i="2"/>
  <c r="H585" i="2"/>
  <c r="D587" i="2"/>
  <c r="H587" i="2"/>
  <c r="D586" i="2"/>
  <c r="H586" i="2"/>
  <c r="D584" i="2"/>
  <c r="H584" i="2"/>
  <c r="D583" i="2"/>
  <c r="H583" i="2"/>
  <c r="D580" i="2"/>
  <c r="H580" i="2"/>
  <c r="D579" i="2"/>
  <c r="H579" i="2"/>
  <c r="D582" i="2"/>
  <c r="H582" i="2"/>
  <c r="I582" i="2" s="1"/>
  <c r="H578" i="2"/>
  <c r="D581" i="2"/>
  <c r="H581" i="2"/>
  <c r="D578" i="2"/>
  <c r="D577" i="2"/>
  <c r="H577" i="2"/>
  <c r="D576" i="2"/>
  <c r="H576" i="2"/>
  <c r="D573" i="2"/>
  <c r="H573" i="2"/>
  <c r="D575" i="2"/>
  <c r="H575" i="2"/>
  <c r="D574" i="2"/>
  <c r="H574" i="2"/>
  <c r="D572" i="2"/>
  <c r="H572" i="2"/>
  <c r="D571" i="2"/>
  <c r="H571" i="2"/>
  <c r="D570" i="2"/>
  <c r="H570" i="2"/>
  <c r="H567" i="2"/>
  <c r="D566" i="2"/>
  <c r="D565" i="2"/>
  <c r="H565" i="2"/>
  <c r="D564" i="2"/>
  <c r="D569" i="2"/>
  <c r="H564" i="2"/>
  <c r="H569" i="2"/>
  <c r="D568" i="2"/>
  <c r="H568" i="2"/>
  <c r="H566" i="2"/>
  <c r="D567" i="2"/>
  <c r="D563" i="2"/>
  <c r="H563" i="2"/>
  <c r="D562" i="2"/>
  <c r="H562" i="2"/>
  <c r="D561" i="2"/>
  <c r="H561" i="2"/>
  <c r="D558" i="2"/>
  <c r="H558" i="2"/>
  <c r="D560" i="2"/>
  <c r="H560" i="2"/>
  <c r="D559" i="2"/>
  <c r="H559" i="2"/>
  <c r="D557" i="2"/>
  <c r="H557" i="2"/>
  <c r="H555" i="2"/>
  <c r="D556" i="2"/>
  <c r="H556" i="2"/>
  <c r="D555" i="2"/>
  <c r="H554" i="2"/>
  <c r="D554" i="2"/>
  <c r="D553" i="2"/>
  <c r="H553" i="2"/>
  <c r="D551" i="2"/>
  <c r="H551" i="2"/>
  <c r="D552" i="2"/>
  <c r="H552" i="2"/>
  <c r="I552" i="2" s="1"/>
  <c r="H548" i="2"/>
  <c r="D550" i="2"/>
  <c r="H550" i="2"/>
  <c r="D549" i="2"/>
  <c r="H549" i="2"/>
  <c r="D548" i="2"/>
  <c r="D547" i="2"/>
  <c r="H547" i="2"/>
  <c r="D546" i="2"/>
  <c r="H546" i="2"/>
  <c r="D545" i="2"/>
  <c r="H545" i="2"/>
  <c r="D544" i="2"/>
  <c r="H544" i="2"/>
  <c r="H541" i="2"/>
  <c r="H543" i="2"/>
  <c r="D543" i="2"/>
  <c r="D541" i="2"/>
  <c r="H542" i="2"/>
  <c r="D542" i="2"/>
  <c r="D539" i="2"/>
  <c r="D540" i="2"/>
  <c r="H540" i="2"/>
  <c r="D538" i="2"/>
  <c r="H539" i="2"/>
  <c r="H538" i="2"/>
  <c r="H537" i="2"/>
  <c r="D537" i="2"/>
  <c r="H536" i="2"/>
  <c r="D536" i="2"/>
  <c r="H535" i="2"/>
  <c r="D535" i="2"/>
  <c r="H534" i="2"/>
  <c r="D534" i="2"/>
  <c r="D533" i="2"/>
  <c r="H533" i="2"/>
  <c r="D532" i="2"/>
  <c r="H532" i="2"/>
  <c r="H529" i="2"/>
  <c r="D531" i="2"/>
  <c r="H531" i="2"/>
  <c r="D530" i="2"/>
  <c r="H530" i="2"/>
  <c r="D529" i="2"/>
  <c r="D528" i="2"/>
  <c r="H528" i="2"/>
  <c r="H525" i="2"/>
  <c r="D527" i="2"/>
  <c r="H527" i="2"/>
  <c r="D526" i="2"/>
  <c r="H526" i="2"/>
  <c r="D525" i="2"/>
  <c r="D524" i="2"/>
  <c r="H524" i="2"/>
  <c r="D523" i="2"/>
  <c r="H523" i="2"/>
  <c r="H520" i="2"/>
  <c r="D519" i="2"/>
  <c r="H519" i="2"/>
  <c r="D518" i="2"/>
  <c r="H518" i="2"/>
  <c r="D517" i="2"/>
  <c r="D522" i="2"/>
  <c r="H517" i="2"/>
  <c r="H522" i="2"/>
  <c r="D521" i="2"/>
  <c r="H521" i="2"/>
  <c r="D520" i="2"/>
  <c r="H516" i="2"/>
  <c r="D516" i="2"/>
  <c r="D515" i="2"/>
  <c r="H515" i="2"/>
  <c r="D514" i="2"/>
  <c r="H514" i="2"/>
  <c r="H511" i="2"/>
  <c r="D513" i="2"/>
  <c r="H513" i="2"/>
  <c r="D512" i="2"/>
  <c r="H512" i="2"/>
  <c r="D511" i="2"/>
  <c r="H510" i="2"/>
  <c r="D510" i="2"/>
  <c r="H509" i="2"/>
  <c r="D509" i="2"/>
  <c r="D508" i="2"/>
  <c r="H508" i="2"/>
  <c r="D507" i="2"/>
  <c r="H507" i="2"/>
  <c r="H504" i="2"/>
  <c r="D506" i="2"/>
  <c r="H506" i="2"/>
  <c r="D505" i="2"/>
  <c r="H505" i="2"/>
  <c r="D504" i="2"/>
  <c r="D500" i="2"/>
  <c r="H500" i="2"/>
  <c r="H501" i="2"/>
  <c r="D503" i="2"/>
  <c r="H503" i="2"/>
  <c r="D502" i="2"/>
  <c r="H502" i="2"/>
  <c r="D501" i="2"/>
  <c r="D499" i="2"/>
  <c r="H499" i="2"/>
  <c r="D498" i="2"/>
  <c r="H498" i="2"/>
  <c r="D497" i="2"/>
  <c r="H497" i="2"/>
  <c r="D496" i="2"/>
  <c r="H496" i="2"/>
  <c r="D495" i="2"/>
  <c r="H495" i="2"/>
  <c r="D494" i="2"/>
  <c r="H494" i="2"/>
  <c r="D493" i="2"/>
  <c r="H493" i="2"/>
  <c r="D492" i="2"/>
  <c r="D491" i="2"/>
  <c r="H491" i="2"/>
  <c r="H492" i="2"/>
  <c r="H490" i="2"/>
  <c r="D490" i="2"/>
  <c r="D489" i="2"/>
  <c r="H489" i="2"/>
  <c r="H486" i="2"/>
  <c r="D488" i="2"/>
  <c r="H488" i="2"/>
  <c r="I488" i="2" s="1"/>
  <c r="D487" i="2"/>
  <c r="H487" i="2"/>
  <c r="D486" i="2"/>
  <c r="H483" i="2"/>
  <c r="D485" i="2"/>
  <c r="H485" i="2"/>
  <c r="D484" i="2"/>
  <c r="H484" i="2"/>
  <c r="D483" i="2"/>
  <c r="H480" i="2"/>
  <c r="D479" i="2"/>
  <c r="H479" i="2"/>
  <c r="D482" i="2"/>
  <c r="H482" i="2"/>
  <c r="D481" i="2"/>
  <c r="H481" i="2"/>
  <c r="D480" i="2"/>
  <c r="D476" i="2"/>
  <c r="H476" i="2"/>
  <c r="D477" i="2"/>
  <c r="D478" i="2"/>
  <c r="H478" i="2"/>
  <c r="H477" i="2"/>
  <c r="D475" i="2"/>
  <c r="H475" i="2"/>
  <c r="H472" i="2"/>
  <c r="H471" i="2"/>
  <c r="D471" i="2"/>
  <c r="D474" i="2"/>
  <c r="H474" i="2"/>
  <c r="I474" i="2" s="1"/>
  <c r="D473" i="2"/>
  <c r="H473" i="2"/>
  <c r="D472" i="2"/>
  <c r="D470" i="2"/>
  <c r="H470" i="2"/>
  <c r="D469" i="2"/>
  <c r="H469" i="2"/>
  <c r="D468" i="2"/>
  <c r="H468" i="2"/>
  <c r="D467" i="2"/>
  <c r="H467" i="2"/>
  <c r="D466" i="2"/>
  <c r="H466" i="2"/>
  <c r="D465" i="2"/>
  <c r="H465" i="2"/>
  <c r="D464" i="2"/>
  <c r="D463" i="2"/>
  <c r="H464" i="2"/>
  <c r="H463" i="2"/>
  <c r="H460" i="2"/>
  <c r="D459" i="2"/>
  <c r="H459" i="2"/>
  <c r="D462" i="2"/>
  <c r="H462" i="2"/>
  <c r="D461" i="2"/>
  <c r="H461" i="2"/>
  <c r="D460" i="2"/>
  <c r="D458" i="2"/>
  <c r="H458" i="2"/>
  <c r="D457" i="2"/>
  <c r="H457" i="2"/>
  <c r="H454" i="2"/>
  <c r="D453" i="2"/>
  <c r="H453" i="2"/>
  <c r="D454" i="2"/>
  <c r="D456" i="2"/>
  <c r="H456" i="2"/>
  <c r="D455" i="2"/>
  <c r="H455" i="2"/>
  <c r="I455" i="2" s="1"/>
  <c r="D452" i="2"/>
  <c r="H452" i="2"/>
  <c r="I452" i="2" s="1"/>
  <c r="D451" i="2"/>
  <c r="H451" i="2"/>
  <c r="D450" i="2"/>
  <c r="H450" i="2"/>
  <c r="D449" i="2"/>
  <c r="H449" i="2"/>
  <c r="D448" i="2"/>
  <c r="H448" i="2"/>
  <c r="H445" i="2"/>
  <c r="D445" i="2"/>
  <c r="D447" i="2"/>
  <c r="H447" i="2"/>
  <c r="D446" i="2"/>
  <c r="H446" i="2"/>
  <c r="D443" i="2"/>
  <c r="D444" i="2"/>
  <c r="H443" i="2"/>
  <c r="H444" i="2"/>
  <c r="I444" i="2" s="1"/>
  <c r="D442" i="2"/>
  <c r="H442" i="2"/>
  <c r="D441" i="2"/>
  <c r="H441" i="2"/>
  <c r="D439" i="2"/>
  <c r="D440" i="2"/>
  <c r="H440" i="2"/>
  <c r="H439" i="2"/>
  <c r="H436" i="2"/>
  <c r="D438" i="2"/>
  <c r="H438" i="2"/>
  <c r="D437" i="2"/>
  <c r="H437" i="2"/>
  <c r="D436" i="2"/>
  <c r="D435" i="2"/>
  <c r="H435" i="2"/>
  <c r="D433" i="2"/>
  <c r="D434" i="2"/>
  <c r="H434" i="2"/>
  <c r="H433" i="2"/>
  <c r="D432" i="2"/>
  <c r="H432" i="2"/>
  <c r="D431" i="2"/>
  <c r="H431" i="2"/>
  <c r="D430" i="2"/>
  <c r="H430" i="2"/>
  <c r="D429" i="2"/>
  <c r="H429" i="2"/>
  <c r="D428" i="2"/>
  <c r="H428" i="2"/>
  <c r="D427" i="2"/>
  <c r="H427" i="2"/>
  <c r="D426" i="2"/>
  <c r="H426" i="2"/>
  <c r="D425" i="2"/>
  <c r="H425" i="2"/>
  <c r="H422" i="2"/>
  <c r="I422" i="2" s="1"/>
  <c r="D424" i="2"/>
  <c r="H424" i="2"/>
  <c r="D423" i="2"/>
  <c r="H423" i="2"/>
  <c r="D422" i="2"/>
  <c r="H420" i="2"/>
  <c r="D421" i="2"/>
  <c r="H421" i="2"/>
  <c r="N402" i="1" s="1"/>
  <c r="O402" i="1" s="1"/>
  <c r="D420" i="2"/>
  <c r="H417" i="2"/>
  <c r="D419" i="2"/>
  <c r="H419" i="2"/>
  <c r="D418" i="2"/>
  <c r="H418" i="2"/>
  <c r="D417" i="2"/>
  <c r="D416" i="2"/>
  <c r="H416" i="2"/>
  <c r="H413" i="2"/>
  <c r="D415" i="2"/>
  <c r="H415" i="2"/>
  <c r="D414" i="2"/>
  <c r="H414" i="2"/>
  <c r="D413" i="2"/>
  <c r="D412" i="2"/>
  <c r="H412" i="2"/>
  <c r="P5" i="1"/>
  <c r="R5" i="1"/>
  <c r="T5" i="1"/>
  <c r="P4" i="1"/>
  <c r="R4" i="1"/>
  <c r="T4" i="1"/>
  <c r="P2" i="1"/>
  <c r="T2" i="1"/>
  <c r="R2" i="1"/>
  <c r="D411" i="2"/>
  <c r="H411" i="2"/>
  <c r="P3" i="1"/>
  <c r="T3" i="1"/>
  <c r="R3" i="1"/>
  <c r="D410" i="2"/>
  <c r="H410" i="2"/>
  <c r="D409" i="2"/>
  <c r="H409" i="2"/>
  <c r="D408" i="2"/>
  <c r="H408" i="2"/>
  <c r="D407" i="2"/>
  <c r="H407" i="2"/>
  <c r="D406" i="2"/>
  <c r="H406" i="2"/>
  <c r="D405" i="2"/>
  <c r="H405" i="2"/>
  <c r="D404" i="2"/>
  <c r="H404" i="2"/>
  <c r="D403" i="2"/>
  <c r="H403" i="2"/>
  <c r="D402" i="2"/>
  <c r="H402" i="2"/>
  <c r="D401" i="2"/>
  <c r="H401" i="2"/>
  <c r="D400" i="2"/>
  <c r="H400" i="2"/>
  <c r="D399" i="2"/>
  <c r="H399" i="2"/>
  <c r="D398" i="2"/>
  <c r="H398" i="2"/>
  <c r="D397" i="2"/>
  <c r="H397" i="2"/>
  <c r="D396" i="2"/>
  <c r="H396" i="2"/>
  <c r="I396" i="2" s="1"/>
  <c r="D395" i="2"/>
  <c r="H395" i="2"/>
  <c r="D394" i="2"/>
  <c r="H393" i="2"/>
  <c r="H394" i="2"/>
  <c r="D393" i="2"/>
  <c r="D392" i="2"/>
  <c r="H392" i="2"/>
  <c r="H391" i="2"/>
  <c r="D391" i="2"/>
  <c r="D390" i="2"/>
  <c r="H390" i="2"/>
  <c r="D389" i="2"/>
  <c r="H389" i="2"/>
  <c r="H385" i="2"/>
  <c r="D388" i="2"/>
  <c r="H388" i="2"/>
  <c r="D387" i="2"/>
  <c r="H387" i="2"/>
  <c r="D386" i="2"/>
  <c r="H386" i="2"/>
  <c r="D385" i="2"/>
  <c r="D384" i="2"/>
  <c r="H384" i="2"/>
  <c r="D383" i="2"/>
  <c r="H383" i="2"/>
  <c r="D382" i="2"/>
  <c r="H382" i="2"/>
  <c r="D381" i="2"/>
  <c r="H381" i="2"/>
  <c r="D380" i="2"/>
  <c r="H380" i="2"/>
  <c r="D379" i="2"/>
  <c r="H379" i="2"/>
  <c r="D378" i="2"/>
  <c r="H378" i="2"/>
  <c r="D377" i="2"/>
  <c r="H377" i="2"/>
  <c r="D376" i="2"/>
  <c r="H376" i="2"/>
  <c r="D375" i="2"/>
  <c r="H375" i="2"/>
  <c r="D374" i="2"/>
  <c r="H374" i="2"/>
  <c r="D373" i="2"/>
  <c r="H373" i="2"/>
  <c r="D372" i="2"/>
  <c r="H372" i="2"/>
  <c r="D371" i="2"/>
  <c r="H371" i="2"/>
  <c r="D370" i="2"/>
  <c r="H370" i="2"/>
  <c r="D369" i="2"/>
  <c r="H369" i="2"/>
  <c r="D368" i="2"/>
  <c r="H368" i="2"/>
  <c r="D367" i="2"/>
  <c r="H367" i="2"/>
  <c r="D366" i="2"/>
  <c r="H366" i="2"/>
  <c r="D365" i="2"/>
  <c r="H365" i="2"/>
  <c r="D364" i="2"/>
  <c r="H364" i="2"/>
  <c r="D363" i="2"/>
  <c r="H363" i="2"/>
  <c r="D362" i="2"/>
  <c r="H362" i="2"/>
  <c r="D361" i="2"/>
  <c r="H361" i="2"/>
  <c r="D360" i="2"/>
  <c r="H360" i="2"/>
  <c r="D359" i="2"/>
  <c r="H359" i="2"/>
  <c r="L4" i="1"/>
  <c r="L5" i="1"/>
  <c r="L3" i="1"/>
  <c r="L2" i="1"/>
  <c r="D358" i="2"/>
  <c r="H358" i="2"/>
  <c r="D357" i="2"/>
  <c r="H357" i="2"/>
  <c r="D356" i="2"/>
  <c r="H356" i="2"/>
  <c r="H352" i="2"/>
  <c r="H355" i="2"/>
  <c r="D354" i="2"/>
  <c r="D355" i="2"/>
  <c r="H354" i="2"/>
  <c r="D353" i="2"/>
  <c r="H353" i="2"/>
  <c r="D352" i="2"/>
  <c r="H348" i="2"/>
  <c r="D347" i="2"/>
  <c r="H347" i="2"/>
  <c r="D351" i="2"/>
  <c r="H351" i="2"/>
  <c r="D350" i="2"/>
  <c r="H350" i="2"/>
  <c r="D349" i="2"/>
  <c r="H349" i="2"/>
  <c r="D348" i="2"/>
  <c r="D346" i="2"/>
  <c r="H346" i="2"/>
  <c r="D345" i="2"/>
  <c r="H345" i="2"/>
  <c r="D344" i="2"/>
  <c r="H344" i="2"/>
  <c r="D343" i="2"/>
  <c r="H343" i="2"/>
  <c r="D342" i="2"/>
  <c r="H342" i="2"/>
  <c r="D341" i="2"/>
  <c r="H341" i="2"/>
  <c r="D340" i="2"/>
  <c r="H340" i="2"/>
  <c r="D339" i="2"/>
  <c r="H339" i="2"/>
  <c r="D338" i="2"/>
  <c r="H338" i="2"/>
  <c r="D337" i="2"/>
  <c r="H337" i="2"/>
  <c r="D336" i="2"/>
  <c r="H336" i="2"/>
  <c r="D335" i="2"/>
  <c r="H335" i="2"/>
  <c r="D334" i="2"/>
  <c r="H334" i="2"/>
  <c r="D333" i="2"/>
  <c r="H333" i="2"/>
  <c r="D332" i="2"/>
  <c r="H332" i="2"/>
  <c r="D331" i="2"/>
  <c r="H331" i="2"/>
  <c r="D330" i="2"/>
  <c r="H330" i="2"/>
  <c r="H329" i="2"/>
  <c r="D329" i="2"/>
  <c r="D328" i="2"/>
  <c r="H328" i="2"/>
  <c r="D327" i="2"/>
  <c r="H327" i="2"/>
  <c r="H326" i="2"/>
  <c r="D326" i="2"/>
  <c r="D325" i="2"/>
  <c r="H325" i="2"/>
  <c r="D324" i="2"/>
  <c r="H324" i="2"/>
  <c r="D323" i="2"/>
  <c r="D322" i="2"/>
  <c r="H322" i="2"/>
  <c r="H323" i="2"/>
  <c r="D321" i="2"/>
  <c r="H321" i="2"/>
  <c r="H317" i="2"/>
  <c r="D316" i="2"/>
  <c r="H316" i="2"/>
  <c r="D320" i="2"/>
  <c r="H320" i="2"/>
  <c r="D317" i="2"/>
  <c r="D319" i="2"/>
  <c r="H319" i="2"/>
  <c r="H318" i="2"/>
  <c r="D318" i="2"/>
  <c r="D315" i="2"/>
  <c r="H315" i="2"/>
  <c r="D314" i="2"/>
  <c r="H314" i="2"/>
  <c r="D313" i="2"/>
  <c r="H313" i="2"/>
  <c r="D312" i="2"/>
  <c r="H312" i="2"/>
  <c r="H308" i="2"/>
  <c r="H311" i="2"/>
  <c r="D311" i="2"/>
  <c r="D310" i="2"/>
  <c r="H310" i="2"/>
  <c r="D309" i="2"/>
  <c r="H309" i="2"/>
  <c r="D308" i="2"/>
  <c r="D307" i="2"/>
  <c r="H307" i="2"/>
  <c r="D306" i="2"/>
  <c r="H306" i="2"/>
  <c r="D305" i="2"/>
  <c r="H305" i="2"/>
  <c r="D304" i="2"/>
  <c r="H304" i="2"/>
  <c r="D303" i="2"/>
  <c r="H303" i="2"/>
  <c r="H302" i="2"/>
  <c r="D302" i="2"/>
  <c r="D301" i="2"/>
  <c r="H301" i="2"/>
  <c r="D300" i="2"/>
  <c r="H300" i="2"/>
  <c r="D299" i="2"/>
  <c r="H299" i="2"/>
  <c r="D298" i="2"/>
  <c r="H298" i="2"/>
  <c r="D297" i="2"/>
  <c r="H297" i="2"/>
  <c r="D296" i="2"/>
  <c r="H296" i="2"/>
  <c r="D295" i="2"/>
  <c r="H295" i="2"/>
  <c r="H294" i="2"/>
  <c r="D294" i="2"/>
  <c r="D293" i="2"/>
  <c r="H293" i="2"/>
  <c r="D292" i="2"/>
  <c r="H290" i="2"/>
  <c r="H292" i="2"/>
  <c r="D291" i="2"/>
  <c r="H291" i="2"/>
  <c r="D290" i="2"/>
  <c r="D289" i="2"/>
  <c r="H289" i="2"/>
  <c r="D288" i="2"/>
  <c r="H288" i="2"/>
  <c r="D285" i="2"/>
  <c r="H287" i="2"/>
  <c r="H286" i="2"/>
  <c r="D287" i="2"/>
  <c r="D286" i="2"/>
  <c r="H285" i="2"/>
  <c r="D282" i="2"/>
  <c r="D284" i="2"/>
  <c r="H284" i="2"/>
  <c r="D283" i="2"/>
  <c r="H283" i="2"/>
  <c r="H282" i="2"/>
  <c r="D281" i="2"/>
  <c r="H281" i="2"/>
  <c r="D280" i="2"/>
  <c r="H280" i="2"/>
  <c r="H276" i="2"/>
  <c r="I276" i="2" s="1"/>
  <c r="D279" i="2"/>
  <c r="H279" i="2"/>
  <c r="D278" i="2"/>
  <c r="H278" i="2"/>
  <c r="D277" i="2"/>
  <c r="H277" i="2"/>
  <c r="I277" i="2" s="1"/>
  <c r="D276" i="2"/>
  <c r="D275" i="2"/>
  <c r="H275" i="2"/>
  <c r="D274" i="2"/>
  <c r="H274" i="2"/>
  <c r="D273" i="2"/>
  <c r="H273" i="2"/>
  <c r="D272" i="2"/>
  <c r="H272" i="2"/>
  <c r="D271" i="2"/>
  <c r="H271" i="2"/>
  <c r="D270" i="2"/>
  <c r="H270" i="2"/>
  <c r="D269" i="2"/>
  <c r="H269" i="2"/>
  <c r="H265" i="2"/>
  <c r="H267" i="2"/>
  <c r="D268" i="2"/>
  <c r="D267" i="2"/>
  <c r="H268" i="2"/>
  <c r="D265" i="2"/>
  <c r="D266" i="2"/>
  <c r="H266" i="2"/>
  <c r="H264" i="2"/>
  <c r="D264" i="2"/>
  <c r="H260" i="2"/>
  <c r="D259" i="2"/>
  <c r="H259" i="2"/>
  <c r="D258" i="2"/>
  <c r="D263" i="2"/>
  <c r="H258" i="2"/>
  <c r="H263" i="2"/>
  <c r="I263" i="2" s="1"/>
  <c r="H261" i="2"/>
  <c r="D262" i="2"/>
  <c r="H262" i="2"/>
  <c r="D261" i="2"/>
  <c r="D260" i="2"/>
  <c r="D257" i="2"/>
  <c r="H257" i="2"/>
  <c r="H256" i="2"/>
  <c r="I256" i="2" s="1"/>
  <c r="D256" i="2"/>
  <c r="D255" i="2"/>
  <c r="H255" i="2"/>
  <c r="D254" i="2"/>
  <c r="H254" i="2"/>
  <c r="D253" i="2"/>
  <c r="H253" i="2"/>
  <c r="D252" i="2"/>
  <c r="H252" i="2"/>
  <c r="D251" i="2"/>
  <c r="H251" i="2"/>
  <c r="D250" i="2"/>
  <c r="H250" i="2"/>
  <c r="D249" i="2"/>
  <c r="H249" i="2"/>
  <c r="I249" i="2" s="1"/>
  <c r="D248" i="2"/>
  <c r="H248" i="2"/>
  <c r="D247" i="2"/>
  <c r="H247" i="2"/>
  <c r="H243" i="2"/>
  <c r="H246" i="2"/>
  <c r="D246" i="2"/>
  <c r="D245" i="2"/>
  <c r="H245" i="2"/>
  <c r="D244" i="2"/>
  <c r="H244" i="2"/>
  <c r="D243" i="2"/>
  <c r="D241" i="2"/>
  <c r="D242" i="2"/>
  <c r="H242" i="2"/>
  <c r="H241" i="2"/>
  <c r="D240" i="2"/>
  <c r="H240" i="2"/>
  <c r="H236" i="2"/>
  <c r="D239" i="2"/>
  <c r="H239" i="2"/>
  <c r="D238" i="2"/>
  <c r="H238" i="2"/>
  <c r="D237" i="2"/>
  <c r="H237" i="2"/>
  <c r="D236" i="2"/>
  <c r="D235" i="2"/>
  <c r="D234" i="2"/>
  <c r="H235" i="2"/>
  <c r="H234" i="2"/>
  <c r="D233" i="2"/>
  <c r="D231" i="2"/>
  <c r="H233" i="2"/>
  <c r="D232" i="2"/>
  <c r="H232" i="2"/>
  <c r="H231" i="2"/>
  <c r="I231" i="2" s="1"/>
  <c r="H227" i="2"/>
  <c r="D230" i="2"/>
  <c r="H230" i="2"/>
  <c r="D229" i="2"/>
  <c r="H229" i="2"/>
  <c r="I229" i="2" s="1"/>
  <c r="H228" i="2"/>
  <c r="D227" i="2"/>
  <c r="D228" i="2"/>
  <c r="D226" i="2"/>
  <c r="H226" i="2"/>
  <c r="D225" i="2"/>
  <c r="H225" i="2"/>
  <c r="D224" i="2"/>
  <c r="H224" i="2"/>
  <c r="H221" i="2"/>
  <c r="D223" i="2"/>
  <c r="H223" i="2"/>
  <c r="D222" i="2"/>
  <c r="D221" i="2"/>
  <c r="H222" i="2"/>
  <c r="D218" i="2"/>
  <c r="D220" i="2"/>
  <c r="H220" i="2"/>
  <c r="D219" i="2"/>
  <c r="H219" i="2"/>
  <c r="H218" i="2"/>
  <c r="D217" i="2"/>
  <c r="H217" i="2"/>
  <c r="D216" i="2"/>
  <c r="H216" i="2"/>
  <c r="D215" i="2"/>
  <c r="H215" i="2"/>
  <c r="D214" i="2"/>
  <c r="H214" i="2"/>
  <c r="D213" i="2"/>
  <c r="H213" i="2"/>
  <c r="D212" i="2"/>
  <c r="H212" i="2"/>
  <c r="D211" i="2"/>
  <c r="H211" i="2"/>
  <c r="D210" i="2"/>
  <c r="H210" i="2"/>
  <c r="H209" i="2"/>
  <c r="D209" i="2"/>
  <c r="D208" i="2"/>
  <c r="H208" i="2"/>
  <c r="D206" i="2"/>
  <c r="D207" i="2"/>
  <c r="H207" i="2"/>
  <c r="I207" i="2" s="1"/>
  <c r="H206" i="2"/>
  <c r="D205" i="2"/>
  <c r="H205" i="2"/>
  <c r="D204" i="2"/>
  <c r="H204" i="2"/>
  <c r="D203" i="2"/>
  <c r="H203" i="2"/>
  <c r="D202" i="2"/>
  <c r="H202" i="2"/>
  <c r="D201" i="2"/>
  <c r="H201" i="2"/>
  <c r="I201" i="2" s="1"/>
  <c r="D199" i="2"/>
  <c r="D200" i="2"/>
  <c r="H200" i="2"/>
  <c r="H199" i="2"/>
  <c r="D198" i="2"/>
  <c r="H198" i="2"/>
  <c r="D197" i="2"/>
  <c r="H197" i="2"/>
  <c r="D196" i="2"/>
  <c r="H196" i="2"/>
  <c r="D195" i="2"/>
  <c r="H195" i="2"/>
  <c r="D194" i="2"/>
  <c r="H194" i="2"/>
  <c r="D193" i="2"/>
  <c r="H193" i="2"/>
  <c r="D192" i="2"/>
  <c r="H192" i="2"/>
  <c r="D191" i="2"/>
  <c r="H191" i="2"/>
  <c r="H190" i="2"/>
  <c r="D190" i="2"/>
  <c r="D189" i="2"/>
  <c r="H189" i="2"/>
  <c r="D188" i="2"/>
  <c r="H188" i="2"/>
  <c r="D187" i="2"/>
  <c r="H187" i="2"/>
  <c r="D186" i="2"/>
  <c r="H186" i="2"/>
  <c r="D184" i="2"/>
  <c r="H185" i="2"/>
  <c r="I185" i="2" s="1"/>
  <c r="D185" i="2"/>
  <c r="H184" i="2"/>
  <c r="D183" i="2"/>
  <c r="H183" i="2"/>
  <c r="I183" i="2" s="1"/>
  <c r="D182" i="2"/>
  <c r="H182" i="2"/>
  <c r="I182" i="2" s="1"/>
  <c r="D181" i="2"/>
  <c r="H181" i="2"/>
  <c r="D178" i="2"/>
  <c r="D179" i="2"/>
  <c r="H178" i="2"/>
  <c r="D180" i="2"/>
  <c r="H180" i="2"/>
  <c r="H179" i="2"/>
  <c r="D177" i="2"/>
  <c r="H177" i="2"/>
  <c r="D176" i="2"/>
  <c r="H176" i="2"/>
  <c r="D175" i="2"/>
  <c r="H175" i="2"/>
  <c r="D174" i="2"/>
  <c r="H174" i="2"/>
  <c r="I174" i="2" s="1"/>
  <c r="D173" i="2"/>
  <c r="H173" i="2"/>
  <c r="D172" i="2"/>
  <c r="H172" i="2"/>
  <c r="D171" i="2"/>
  <c r="H171" i="2"/>
  <c r="I171" i="2" s="1"/>
  <c r="D170" i="2"/>
  <c r="H170" i="2"/>
  <c r="I170" i="2" s="1"/>
  <c r="D169" i="2"/>
  <c r="H169" i="2"/>
  <c r="I169" i="2" s="1"/>
  <c r="D168" i="2"/>
  <c r="H168" i="2"/>
  <c r="I168" i="2" s="1"/>
  <c r="D167" i="2"/>
  <c r="H167" i="2"/>
  <c r="I167" i="2" s="1"/>
  <c r="H166" i="2"/>
  <c r="I166" i="2" s="1"/>
  <c r="D165" i="2"/>
  <c r="D164" i="2"/>
  <c r="H164" i="2"/>
  <c r="I164" i="2" s="1"/>
  <c r="D166" i="2"/>
  <c r="H165" i="2"/>
  <c r="I165" i="2" s="1"/>
  <c r="D163" i="2"/>
  <c r="H163" i="2"/>
  <c r="I163" i="2" s="1"/>
  <c r="D162" i="2"/>
  <c r="H162" i="2"/>
  <c r="I162" i="2" s="1"/>
  <c r="D161" i="2"/>
  <c r="H159" i="2"/>
  <c r="I159" i="2" s="1"/>
  <c r="H161" i="2"/>
  <c r="I161" i="2" s="1"/>
  <c r="D160" i="2"/>
  <c r="D159" i="2"/>
  <c r="H160" i="2"/>
  <c r="I160" i="2" s="1"/>
  <c r="D158" i="2"/>
  <c r="H158" i="2"/>
  <c r="I158" i="2" s="1"/>
  <c r="H156" i="2"/>
  <c r="I156" i="2" s="1"/>
  <c r="D157" i="2"/>
  <c r="H157" i="2"/>
  <c r="I157" i="2" s="1"/>
  <c r="D156" i="2"/>
  <c r="D155" i="2"/>
  <c r="H155" i="2"/>
  <c r="I155" i="2" s="1"/>
  <c r="D154" i="2"/>
  <c r="H154" i="2"/>
  <c r="I154" i="2" s="1"/>
  <c r="D153" i="2"/>
  <c r="H153" i="2"/>
  <c r="I153" i="2" s="1"/>
  <c r="D152" i="2"/>
  <c r="H152" i="2"/>
  <c r="I152" i="2" s="1"/>
  <c r="D151" i="2"/>
  <c r="H151" i="2"/>
  <c r="I151" i="2" s="1"/>
  <c r="D150" i="2"/>
  <c r="H150" i="2"/>
  <c r="I150" i="2" s="1"/>
  <c r="D149" i="2"/>
  <c r="H149" i="2"/>
  <c r="I149" i="2" s="1"/>
  <c r="D148" i="2"/>
  <c r="H148" i="2"/>
  <c r="I148" i="2" s="1"/>
  <c r="D147" i="2"/>
  <c r="H147" i="2"/>
  <c r="I147" i="2" s="1"/>
  <c r="H146" i="2"/>
  <c r="I146" i="2" s="1"/>
  <c r="D146" i="2"/>
  <c r="D145" i="2"/>
  <c r="H145" i="2"/>
  <c r="I145" i="2" s="1"/>
  <c r="D144" i="2"/>
  <c r="H144" i="2"/>
  <c r="I144" i="2" s="1"/>
  <c r="D143" i="2"/>
  <c r="H143" i="2"/>
  <c r="I143" i="2" s="1"/>
  <c r="D142" i="2"/>
  <c r="H142" i="2"/>
  <c r="I142" i="2" s="1"/>
  <c r="D141" i="2"/>
  <c r="D140" i="2"/>
  <c r="H141" i="2"/>
  <c r="I141" i="2" s="1"/>
  <c r="H140" i="2"/>
  <c r="I140" i="2" s="1"/>
  <c r="D139" i="2"/>
  <c r="H139" i="2"/>
  <c r="I139" i="2" s="1"/>
  <c r="D138" i="2"/>
  <c r="H138" i="2"/>
  <c r="I138" i="2" s="1"/>
  <c r="D137" i="2"/>
  <c r="H137" i="2"/>
  <c r="I137" i="2" s="1"/>
  <c r="H133" i="2"/>
  <c r="I133" i="2" s="1"/>
  <c r="D136" i="2"/>
  <c r="D134" i="2"/>
  <c r="H134" i="2"/>
  <c r="I134" i="2" s="1"/>
  <c r="H135" i="2"/>
  <c r="I135" i="2" s="1"/>
  <c r="H136" i="2"/>
  <c r="I136" i="2" s="1"/>
  <c r="D135" i="2"/>
  <c r="D133" i="2"/>
  <c r="H132" i="2"/>
  <c r="I132" i="2" s="1"/>
  <c r="D132" i="2"/>
  <c r="D131" i="2"/>
  <c r="H131" i="2"/>
  <c r="I131" i="2" s="1"/>
  <c r="H130" i="2"/>
  <c r="I130" i="2" s="1"/>
  <c r="D130" i="2"/>
  <c r="D129" i="2"/>
  <c r="H129" i="2"/>
  <c r="I129" i="2" s="1"/>
  <c r="D128" i="2"/>
  <c r="H128" i="2"/>
  <c r="I128" i="2" s="1"/>
  <c r="D125" i="2"/>
  <c r="D127" i="2"/>
  <c r="H127" i="2"/>
  <c r="I127" i="2" s="1"/>
  <c r="H126" i="2"/>
  <c r="I126" i="2" s="1"/>
  <c r="H125" i="2"/>
  <c r="I125" i="2" s="1"/>
  <c r="D126" i="2"/>
  <c r="H121" i="2"/>
  <c r="I121" i="2" s="1"/>
  <c r="D121" i="2"/>
  <c r="D124" i="2"/>
  <c r="D122" i="2"/>
  <c r="H124" i="2"/>
  <c r="I124" i="2" s="1"/>
  <c r="H122" i="2"/>
  <c r="I122" i="2" s="1"/>
  <c r="H123" i="2"/>
  <c r="I123" i="2" s="1"/>
  <c r="D123" i="2"/>
  <c r="D120" i="2"/>
  <c r="H120" i="2"/>
  <c r="I120" i="2" s="1"/>
  <c r="D119" i="2"/>
  <c r="H119" i="2"/>
  <c r="I119" i="2" s="1"/>
  <c r="D118" i="2"/>
  <c r="H118" i="2"/>
  <c r="I118" i="2" s="1"/>
  <c r="H116" i="2"/>
  <c r="I116" i="2" s="1"/>
  <c r="D116" i="2"/>
  <c r="D117" i="2"/>
  <c r="H117" i="2"/>
  <c r="I117" i="2" s="1"/>
  <c r="D114" i="2"/>
  <c r="D115" i="2"/>
  <c r="H115" i="2"/>
  <c r="I115" i="2" s="1"/>
  <c r="H114" i="2"/>
  <c r="I114" i="2" s="1"/>
  <c r="D113" i="2"/>
  <c r="H113" i="2"/>
  <c r="I113" i="2" s="1"/>
  <c r="D112" i="2"/>
  <c r="H112" i="2"/>
  <c r="I112" i="2" s="1"/>
  <c r="D111" i="2"/>
  <c r="H111" i="2"/>
  <c r="I111" i="2" s="1"/>
  <c r="D110" i="2"/>
  <c r="H110" i="2"/>
  <c r="I110" i="2" s="1"/>
  <c r="H109" i="2"/>
  <c r="I109" i="2" s="1"/>
  <c r="D109" i="2"/>
  <c r="D108" i="2"/>
  <c r="H108" i="2"/>
  <c r="I108" i="2" s="1"/>
  <c r="D107" i="2"/>
  <c r="H107" i="2"/>
  <c r="I107" i="2" s="1"/>
  <c r="D106" i="2"/>
  <c r="H106" i="2"/>
  <c r="I106" i="2" s="1"/>
  <c r="D105" i="2"/>
  <c r="H105" i="2"/>
  <c r="I105" i="2" s="1"/>
  <c r="D104" i="2"/>
  <c r="H104" i="2"/>
  <c r="I104" i="2" s="1"/>
  <c r="D103" i="2"/>
  <c r="H103" i="2"/>
  <c r="I103" i="2" s="1"/>
  <c r="D102" i="2"/>
  <c r="H102" i="2"/>
  <c r="I102" i="2" s="1"/>
  <c r="D101" i="2"/>
  <c r="H101" i="2"/>
  <c r="I101" i="2" s="1"/>
  <c r="D100" i="2"/>
  <c r="H100" i="2"/>
  <c r="I100" i="2" s="1"/>
  <c r="H99" i="2"/>
  <c r="I99" i="2" s="1"/>
  <c r="D99" i="2"/>
  <c r="H98" i="2"/>
  <c r="I98" i="2" s="1"/>
  <c r="D98" i="2"/>
  <c r="D97" i="2"/>
  <c r="H97" i="2"/>
  <c r="I97" i="2" s="1"/>
  <c r="D96" i="2"/>
  <c r="H96" i="2"/>
  <c r="I96" i="2" s="1"/>
  <c r="D95" i="2"/>
  <c r="H95" i="2"/>
  <c r="I95" i="2" s="1"/>
  <c r="D94" i="2"/>
  <c r="H94" i="2"/>
  <c r="I94" i="2" s="1"/>
  <c r="D93" i="2"/>
  <c r="H93" i="2"/>
  <c r="I93" i="2" s="1"/>
  <c r="D92" i="2"/>
  <c r="H92" i="2"/>
  <c r="I92" i="2" s="1"/>
  <c r="D91" i="2"/>
  <c r="H91" i="2"/>
  <c r="I91" i="2" s="1"/>
  <c r="D90" i="2"/>
  <c r="H90" i="2"/>
  <c r="I90" i="2" s="1"/>
  <c r="D89" i="2"/>
  <c r="H89" i="2"/>
  <c r="I89" i="2" s="1"/>
  <c r="D88" i="2"/>
  <c r="H88" i="2"/>
  <c r="I88" i="2" s="1"/>
  <c r="H87" i="2"/>
  <c r="I87" i="2" s="1"/>
  <c r="D87" i="2"/>
  <c r="H86" i="2"/>
  <c r="I86" i="2" s="1"/>
  <c r="D86" i="2"/>
  <c r="D85" i="2"/>
  <c r="H85" i="2"/>
  <c r="I85" i="2" s="1"/>
  <c r="H82" i="2"/>
  <c r="I82" i="2" s="1"/>
  <c r="D84" i="2"/>
  <c r="H84" i="2"/>
  <c r="I84" i="2" s="1"/>
  <c r="D83" i="2"/>
  <c r="H83" i="2"/>
  <c r="I83" i="2" s="1"/>
  <c r="D82" i="2"/>
  <c r="D81" i="2"/>
  <c r="H81" i="2"/>
  <c r="I81" i="2" s="1"/>
  <c r="H80" i="2"/>
  <c r="I80" i="2" s="1"/>
  <c r="D80" i="2"/>
  <c r="D79" i="2"/>
  <c r="H79" i="2"/>
  <c r="I79" i="2" s="1"/>
  <c r="D77" i="2"/>
  <c r="H72" i="2"/>
  <c r="I72" i="2" s="1"/>
  <c r="H69" i="2"/>
  <c r="I69" i="2" s="1"/>
  <c r="H73" i="2"/>
  <c r="I73" i="2" s="1"/>
  <c r="H68" i="2"/>
  <c r="I68" i="2" s="1"/>
  <c r="D66" i="2"/>
  <c r="H76" i="2"/>
  <c r="I76" i="2" s="1"/>
  <c r="D72" i="2"/>
  <c r="D76" i="2"/>
  <c r="D73" i="2"/>
  <c r="D78" i="2"/>
  <c r="H75" i="2"/>
  <c r="I75" i="2" s="1"/>
  <c r="H67" i="2"/>
  <c r="I67" i="2" s="1"/>
  <c r="D71" i="2"/>
  <c r="H66" i="2"/>
  <c r="I66" i="2" s="1"/>
  <c r="H78" i="2"/>
  <c r="I78" i="2" s="1"/>
  <c r="D75" i="2"/>
  <c r="H71" i="2"/>
  <c r="I71" i="2" s="1"/>
  <c r="D70" i="2"/>
  <c r="H74" i="2"/>
  <c r="I74" i="2" s="1"/>
  <c r="D74" i="2"/>
  <c r="D68" i="2"/>
  <c r="D69" i="2"/>
  <c r="H77" i="2"/>
  <c r="I77" i="2" s="1"/>
  <c r="H70" i="2"/>
  <c r="I70" i="2" s="1"/>
  <c r="H65" i="2"/>
  <c r="I65" i="2" s="1"/>
  <c r="D67" i="2"/>
  <c r="D65" i="2"/>
  <c r="H48" i="2"/>
  <c r="I48" i="2" s="1"/>
  <c r="D48" i="2"/>
  <c r="H51" i="2"/>
  <c r="I51" i="2" s="1"/>
  <c r="D59" i="2"/>
  <c r="D57" i="2"/>
  <c r="H52" i="2"/>
  <c r="I52" i="2" s="1"/>
  <c r="H60" i="2"/>
  <c r="I60" i="2" s="1"/>
  <c r="H55" i="2"/>
  <c r="I55" i="2" s="1"/>
  <c r="H46" i="2"/>
  <c r="I46" i="2" s="1"/>
  <c r="D49" i="2"/>
  <c r="D47" i="2"/>
  <c r="H50" i="2"/>
  <c r="I50" i="2" s="1"/>
  <c r="D63" i="2"/>
  <c r="D44" i="2"/>
  <c r="H62" i="2"/>
  <c r="I62" i="2" s="1"/>
  <c r="D56" i="2"/>
  <c r="D45" i="2"/>
  <c r="D60" i="2"/>
  <c r="H56" i="2"/>
  <c r="I56" i="2" s="1"/>
  <c r="D51" i="2"/>
  <c r="H47" i="2"/>
  <c r="I47" i="2" s="1"/>
  <c r="H61" i="2"/>
  <c r="I61" i="2" s="1"/>
  <c r="H58" i="2"/>
  <c r="I58" i="2" s="1"/>
  <c r="H53" i="2"/>
  <c r="I53" i="2" s="1"/>
  <c r="D58" i="2"/>
  <c r="D52" i="2"/>
  <c r="H64" i="2"/>
  <c r="I64" i="2" s="1"/>
  <c r="D55" i="2"/>
  <c r="H54" i="2"/>
  <c r="I54" i="2" s="1"/>
  <c r="H57" i="2"/>
  <c r="I57" i="2" s="1"/>
  <c r="D64" i="2"/>
  <c r="D50" i="2"/>
  <c r="D53" i="2"/>
  <c r="D46" i="2"/>
  <c r="H59" i="2"/>
  <c r="I59" i="2" s="1"/>
  <c r="D54" i="2"/>
  <c r="H49" i="2"/>
  <c r="I49" i="2" s="1"/>
  <c r="H63" i="2"/>
  <c r="I63" i="2" s="1"/>
  <c r="D61" i="2"/>
  <c r="D62" i="2"/>
  <c r="H45" i="2"/>
  <c r="I45" i="2" s="1"/>
  <c r="H44" i="2"/>
  <c r="I44" i="2" s="1"/>
  <c r="D43" i="2"/>
  <c r="H43" i="2"/>
  <c r="I43" i="2" s="1"/>
  <c r="H42" i="2"/>
  <c r="I42" i="2" s="1"/>
  <c r="H37" i="2"/>
  <c r="I37" i="2" s="1"/>
  <c r="D40" i="2"/>
  <c r="D42" i="2"/>
  <c r="D35" i="2"/>
  <c r="H40" i="2"/>
  <c r="I40" i="2" s="1"/>
  <c r="H38" i="2"/>
  <c r="I38" i="2" s="1"/>
  <c r="D41" i="2"/>
  <c r="H39" i="2"/>
  <c r="I39" i="2" s="1"/>
  <c r="D37" i="2"/>
  <c r="D38" i="2"/>
  <c r="D36" i="2"/>
  <c r="H41" i="2"/>
  <c r="I41" i="2" s="1"/>
  <c r="D39" i="2"/>
  <c r="H36" i="2"/>
  <c r="I36" i="2" s="1"/>
  <c r="H35" i="2"/>
  <c r="I35" i="2" s="1"/>
  <c r="H33" i="2"/>
  <c r="I33" i="2" s="1"/>
  <c r="D33" i="2"/>
  <c r="H31" i="2"/>
  <c r="I31" i="2" s="1"/>
  <c r="D31" i="2"/>
  <c r="D32" i="2"/>
  <c r="H32" i="2"/>
  <c r="I32" i="2" s="1"/>
  <c r="H34" i="2"/>
  <c r="I34" i="2" s="1"/>
  <c r="D34" i="2"/>
  <c r="H30" i="2"/>
  <c r="I30" i="2" s="1"/>
  <c r="D23" i="2"/>
  <c r="H25" i="2"/>
  <c r="I25" i="2" s="1"/>
  <c r="H27" i="2"/>
  <c r="I27" i="2" s="1"/>
  <c r="H22" i="2"/>
  <c r="I22" i="2" s="1"/>
  <c r="D30" i="2"/>
  <c r="D22" i="2"/>
  <c r="H24" i="2"/>
  <c r="I24" i="2" s="1"/>
  <c r="H29" i="2"/>
  <c r="I29" i="2" s="1"/>
  <c r="D29" i="2"/>
  <c r="D24" i="2"/>
  <c r="D26" i="2"/>
  <c r="H26" i="2"/>
  <c r="I26" i="2" s="1"/>
  <c r="D27" i="2"/>
  <c r="H28" i="2"/>
  <c r="I28" i="2" s="1"/>
  <c r="D28" i="2"/>
  <c r="D25" i="2"/>
  <c r="H23" i="2"/>
  <c r="I23" i="2" s="1"/>
  <c r="H21" i="2"/>
  <c r="I21" i="2" s="1"/>
  <c r="D15" i="2"/>
  <c r="D20" i="2"/>
  <c r="D19" i="2"/>
  <c r="D21" i="2"/>
  <c r="H19" i="2"/>
  <c r="I19" i="2" s="1"/>
  <c r="D16" i="2"/>
  <c r="D17" i="2"/>
  <c r="H20" i="2"/>
  <c r="I20" i="2" s="1"/>
  <c r="D18" i="2"/>
  <c r="H16" i="2"/>
  <c r="I16" i="2" s="1"/>
  <c r="H17" i="2"/>
  <c r="I17" i="2" s="1"/>
  <c r="H18" i="2"/>
  <c r="I18" i="2" s="1"/>
  <c r="H13" i="2"/>
  <c r="I13" i="2" s="1"/>
  <c r="H14" i="2"/>
  <c r="I14" i="2" s="1"/>
  <c r="D13" i="2"/>
  <c r="H15" i="2"/>
  <c r="I15" i="2" s="1"/>
  <c r="D14" i="2"/>
  <c r="H11" i="2"/>
  <c r="I11" i="2" s="1"/>
  <c r="D3" i="2"/>
  <c r="D11" i="2"/>
  <c r="D4" i="2"/>
  <c r="D5" i="2"/>
  <c r="D6" i="2"/>
  <c r="D8" i="2"/>
  <c r="D7" i="2"/>
  <c r="D10" i="2"/>
  <c r="H9" i="2"/>
  <c r="I9" i="2" s="1"/>
  <c r="H8" i="2"/>
  <c r="I8" i="2" s="1"/>
  <c r="D2" i="2"/>
  <c r="D9" i="2"/>
  <c r="H12" i="2"/>
  <c r="I12" i="2" s="1"/>
  <c r="D12" i="2"/>
  <c r="H10" i="2"/>
  <c r="I10" i="2" s="1"/>
  <c r="H4" i="2"/>
  <c r="I4" i="2" s="1"/>
  <c r="H5" i="2"/>
  <c r="I5" i="2" s="1"/>
  <c r="H2" i="2"/>
  <c r="I2" i="2" s="1"/>
  <c r="H7" i="2"/>
  <c r="I7" i="2" s="1"/>
  <c r="H6" i="2"/>
  <c r="I6" i="2" s="1"/>
  <c r="H3" i="2"/>
  <c r="I3" i="2" s="1"/>
  <c r="I900" i="2" l="1"/>
  <c r="N871" i="1"/>
  <c r="O871" i="1" s="1"/>
  <c r="I896" i="2"/>
  <c r="N866" i="1"/>
  <c r="O866" i="1" s="1"/>
  <c r="I897" i="2"/>
  <c r="N869" i="1"/>
  <c r="O869" i="1" s="1"/>
  <c r="I898" i="2"/>
  <c r="N870" i="1"/>
  <c r="O870" i="1" s="1"/>
  <c r="I895" i="2"/>
  <c r="N868" i="1"/>
  <c r="O868" i="1" s="1"/>
  <c r="I899" i="2"/>
  <c r="N831" i="1"/>
  <c r="O831" i="1" s="1"/>
  <c r="I894" i="2"/>
  <c r="N864" i="1"/>
  <c r="O864" i="1" s="1"/>
  <c r="I893" i="2"/>
  <c r="N867" i="1"/>
  <c r="O867" i="1" s="1"/>
  <c r="I891" i="2"/>
  <c r="N863" i="1"/>
  <c r="O863" i="1" s="1"/>
  <c r="I892" i="2"/>
  <c r="N865" i="1"/>
  <c r="O865" i="1" s="1"/>
  <c r="I888" i="2"/>
  <c r="N857" i="1"/>
  <c r="O857" i="1" s="1"/>
  <c r="I885" i="2"/>
  <c r="N855" i="1"/>
  <c r="O855" i="1" s="1"/>
  <c r="I889" i="2"/>
  <c r="N858" i="1"/>
  <c r="O858" i="1" s="1"/>
  <c r="I887" i="2"/>
  <c r="N860" i="1"/>
  <c r="O860" i="1" s="1"/>
  <c r="I884" i="2"/>
  <c r="N862" i="1"/>
  <c r="O862" i="1" s="1"/>
  <c r="I886" i="2"/>
  <c r="N856" i="1"/>
  <c r="O856" i="1" s="1"/>
  <c r="I890" i="2"/>
  <c r="N861" i="1"/>
  <c r="O861" i="1" s="1"/>
  <c r="I883" i="2"/>
  <c r="N859" i="1"/>
  <c r="O859" i="1" s="1"/>
  <c r="I871" i="2"/>
  <c r="N847" i="1"/>
  <c r="O847" i="1" s="1"/>
  <c r="I873" i="2"/>
  <c r="N849" i="1"/>
  <c r="O849" i="1" s="1"/>
  <c r="I877" i="2"/>
  <c r="N853" i="1"/>
  <c r="O853" i="1" s="1"/>
  <c r="I881" i="2"/>
  <c r="N846" i="1"/>
  <c r="O846" i="1" s="1"/>
  <c r="I876" i="2"/>
  <c r="N852" i="1"/>
  <c r="O852" i="1" s="1"/>
  <c r="I880" i="2"/>
  <c r="N843" i="1"/>
  <c r="O843" i="1" s="1"/>
  <c r="I875" i="2"/>
  <c r="N851" i="1"/>
  <c r="O851" i="1" s="1"/>
  <c r="I874" i="2"/>
  <c r="N850" i="1"/>
  <c r="O850" i="1" s="1"/>
  <c r="I878" i="2"/>
  <c r="N854" i="1"/>
  <c r="O854" i="1" s="1"/>
  <c r="I879" i="2"/>
  <c r="N845" i="1"/>
  <c r="O845" i="1" s="1"/>
  <c r="I882" i="2"/>
  <c r="N840" i="1"/>
  <c r="O840" i="1" s="1"/>
  <c r="I872" i="2"/>
  <c r="N848" i="1"/>
  <c r="O848" i="1" s="1"/>
  <c r="I868" i="2"/>
  <c r="N839" i="1"/>
  <c r="O839" i="1" s="1"/>
  <c r="I869" i="2"/>
  <c r="N841" i="1"/>
  <c r="O841" i="1" s="1"/>
  <c r="I870" i="2"/>
  <c r="N844" i="1"/>
  <c r="O844" i="1" s="1"/>
  <c r="I867" i="2"/>
  <c r="N842" i="1"/>
  <c r="O842" i="1" s="1"/>
  <c r="I864" i="2"/>
  <c r="N837" i="1"/>
  <c r="O837" i="1" s="1"/>
  <c r="I865" i="2"/>
  <c r="N834" i="1"/>
  <c r="O834" i="1" s="1"/>
  <c r="I866" i="2"/>
  <c r="N838" i="1"/>
  <c r="O838" i="1" s="1"/>
  <c r="I863" i="2"/>
  <c r="N836" i="1"/>
  <c r="O836" i="1" s="1"/>
  <c r="I862" i="2"/>
  <c r="N835" i="1"/>
  <c r="O835" i="1" s="1"/>
  <c r="I861" i="2"/>
  <c r="N833" i="1"/>
  <c r="O833" i="1" s="1"/>
  <c r="I860" i="2"/>
  <c r="N832" i="1"/>
  <c r="O832" i="1" s="1"/>
  <c r="I859" i="2"/>
  <c r="N808" i="1"/>
  <c r="O808" i="1" s="1"/>
  <c r="I854" i="2"/>
  <c r="N825" i="1"/>
  <c r="O825" i="1" s="1"/>
  <c r="I855" i="2"/>
  <c r="N830" i="1"/>
  <c r="O830" i="1" s="1"/>
  <c r="I856" i="2"/>
  <c r="N828" i="1"/>
  <c r="O828" i="1" s="1"/>
  <c r="I857" i="2"/>
  <c r="N829" i="1"/>
  <c r="O829" i="1" s="1"/>
  <c r="I858" i="2"/>
  <c r="N826" i="1"/>
  <c r="O826" i="1" s="1"/>
  <c r="I853" i="2"/>
  <c r="N827" i="1"/>
  <c r="O827" i="1" s="1"/>
  <c r="I852" i="2"/>
  <c r="N823" i="1"/>
  <c r="O823" i="1" s="1"/>
  <c r="I851" i="2"/>
  <c r="N822" i="1"/>
  <c r="O822" i="1" s="1"/>
  <c r="I850" i="2"/>
  <c r="N817" i="1"/>
  <c r="O817" i="1" s="1"/>
  <c r="I847" i="2"/>
  <c r="N821" i="1"/>
  <c r="O821" i="1" s="1"/>
  <c r="I848" i="2"/>
  <c r="N820" i="1"/>
  <c r="O820" i="1" s="1"/>
  <c r="I849" i="2"/>
  <c r="N819" i="1"/>
  <c r="O819" i="1" s="1"/>
  <c r="I846" i="2"/>
  <c r="N818" i="1"/>
  <c r="O818" i="1" s="1"/>
  <c r="I845" i="2"/>
  <c r="N813" i="1"/>
  <c r="O813" i="1" s="1"/>
  <c r="I842" i="2"/>
  <c r="N816" i="1"/>
  <c r="O816" i="1" s="1"/>
  <c r="I843" i="2"/>
  <c r="N815" i="1"/>
  <c r="O815" i="1" s="1"/>
  <c r="I844" i="2"/>
  <c r="N814" i="1"/>
  <c r="O814" i="1" s="1"/>
  <c r="I841" i="2"/>
  <c r="N809" i="1"/>
  <c r="O809" i="1" s="1"/>
  <c r="I838" i="2"/>
  <c r="N812" i="1"/>
  <c r="O812" i="1" s="1"/>
  <c r="I839" i="2"/>
  <c r="N811" i="1"/>
  <c r="O811" i="1" s="1"/>
  <c r="I840" i="2"/>
  <c r="N810" i="1"/>
  <c r="O810" i="1" s="1"/>
  <c r="I837" i="2"/>
  <c r="N807" i="1"/>
  <c r="O807" i="1" s="1"/>
  <c r="I836" i="2"/>
  <c r="N801" i="1"/>
  <c r="O801" i="1" s="1"/>
  <c r="I835" i="2"/>
  <c r="N803" i="1"/>
  <c r="O803" i="1" s="1"/>
  <c r="I834" i="2"/>
  <c r="N805" i="1"/>
  <c r="O805" i="1" s="1"/>
  <c r="I832" i="2"/>
  <c r="N806" i="1"/>
  <c r="O806" i="1" s="1"/>
  <c r="I831" i="2"/>
  <c r="N804" i="1"/>
  <c r="O804" i="1" s="1"/>
  <c r="I830" i="2"/>
  <c r="N802" i="1"/>
  <c r="O802" i="1" s="1"/>
  <c r="I829" i="2"/>
  <c r="N800" i="1"/>
  <c r="O800" i="1" s="1"/>
  <c r="I828" i="2"/>
  <c r="N796" i="1"/>
  <c r="O796" i="1" s="1"/>
  <c r="I825" i="2"/>
  <c r="N799" i="1"/>
  <c r="O799" i="1" s="1"/>
  <c r="I827" i="2"/>
  <c r="N798" i="1"/>
  <c r="O798" i="1" s="1"/>
  <c r="I824" i="2"/>
  <c r="N794" i="1"/>
  <c r="O794" i="1" s="1"/>
  <c r="I823" i="2"/>
  <c r="N792" i="1"/>
  <c r="O792" i="1" s="1"/>
  <c r="I822" i="2"/>
  <c r="N795" i="1"/>
  <c r="O795" i="1" s="1"/>
  <c r="I820" i="2"/>
  <c r="N797" i="1"/>
  <c r="I821" i="2"/>
  <c r="N793" i="1"/>
  <c r="O793" i="1" s="1"/>
  <c r="I813" i="2"/>
  <c r="N787" i="1"/>
  <c r="O787" i="1" s="1"/>
  <c r="I819" i="2"/>
  <c r="N784" i="1"/>
  <c r="O784" i="1" s="1"/>
  <c r="I814" i="2"/>
  <c r="N789" i="1"/>
  <c r="O789" i="1" s="1"/>
  <c r="I815" i="2"/>
  <c r="N788" i="1"/>
  <c r="O788" i="1" s="1"/>
  <c r="I816" i="2"/>
  <c r="N790" i="1"/>
  <c r="O790" i="1" s="1"/>
  <c r="I817" i="2"/>
  <c r="N785" i="1"/>
  <c r="O785" i="1" s="1"/>
  <c r="I818" i="2"/>
  <c r="N791" i="1"/>
  <c r="O791" i="1" s="1"/>
  <c r="I812" i="2"/>
  <c r="N783" i="1"/>
  <c r="O783" i="1" s="1"/>
  <c r="I811" i="2"/>
  <c r="N786" i="1"/>
  <c r="O786" i="1" s="1"/>
  <c r="N766" i="1"/>
  <c r="O766" i="1" s="1"/>
  <c r="I810" i="2"/>
  <c r="N782" i="1"/>
  <c r="O782" i="1" s="1"/>
  <c r="I808" i="2"/>
  <c r="N776" i="1"/>
  <c r="O776" i="1" s="1"/>
  <c r="I809" i="2"/>
  <c r="N778" i="1"/>
  <c r="O778" i="1" s="1"/>
  <c r="I804" i="2"/>
  <c r="N775" i="1"/>
  <c r="O775" i="1" s="1"/>
  <c r="I805" i="2"/>
  <c r="N780" i="1"/>
  <c r="O780" i="1" s="1"/>
  <c r="I806" i="2"/>
  <c r="N781" i="1"/>
  <c r="O781" i="1" s="1"/>
  <c r="I803" i="2"/>
  <c r="N779" i="1"/>
  <c r="O779" i="1" s="1"/>
  <c r="I801" i="2"/>
  <c r="N774" i="1"/>
  <c r="O774" i="1" s="1"/>
  <c r="I802" i="2"/>
  <c r="N777" i="1"/>
  <c r="O777" i="1" s="1"/>
  <c r="N239" i="1"/>
  <c r="O239" i="1" s="1"/>
  <c r="N524" i="1"/>
  <c r="O524" i="1" s="1"/>
  <c r="I799" i="2"/>
  <c r="N771" i="1"/>
  <c r="O771" i="1" s="1"/>
  <c r="I800" i="2"/>
  <c r="N773" i="1"/>
  <c r="O773" i="1" s="1"/>
  <c r="I796" i="2"/>
  <c r="N768" i="1"/>
  <c r="O768" i="1" s="1"/>
  <c r="I797" i="2"/>
  <c r="N770" i="1"/>
  <c r="O770" i="1" s="1"/>
  <c r="I798" i="2"/>
  <c r="N772" i="1"/>
  <c r="O772" i="1" s="1"/>
  <c r="I795" i="2"/>
  <c r="N767" i="1"/>
  <c r="O767" i="1" s="1"/>
  <c r="I793" i="2"/>
  <c r="N762" i="1"/>
  <c r="O762" i="1" s="1"/>
  <c r="I794" i="2"/>
  <c r="N758" i="1"/>
  <c r="O758" i="1" s="1"/>
  <c r="I791" i="2"/>
  <c r="N763" i="1"/>
  <c r="O763" i="1" s="1"/>
  <c r="I792" i="2"/>
  <c r="N764" i="1"/>
  <c r="O764" i="1" s="1"/>
  <c r="I790" i="2"/>
  <c r="N765" i="1"/>
  <c r="O765" i="1" s="1"/>
  <c r="I789" i="2"/>
  <c r="N759" i="1"/>
  <c r="O759" i="1" s="1"/>
  <c r="I788" i="2"/>
  <c r="N761" i="1"/>
  <c r="O761" i="1" s="1"/>
  <c r="I787" i="2"/>
  <c r="N760" i="1"/>
  <c r="O760" i="1" s="1"/>
  <c r="I786" i="2"/>
  <c r="N756" i="1"/>
  <c r="O756" i="1" s="1"/>
  <c r="I785" i="2"/>
  <c r="N757" i="1"/>
  <c r="O757" i="1" s="1"/>
  <c r="I783" i="2"/>
  <c r="N754" i="1"/>
  <c r="O754" i="1" s="1"/>
  <c r="I784" i="2"/>
  <c r="N752" i="1"/>
  <c r="O752" i="1" s="1"/>
  <c r="I780" i="2"/>
  <c r="N755" i="1"/>
  <c r="O755" i="1" s="1"/>
  <c r="I781" i="2"/>
  <c r="N753" i="1"/>
  <c r="O753" i="1" s="1"/>
  <c r="I782" i="2"/>
  <c r="N750" i="1"/>
  <c r="O750" i="1" s="1"/>
  <c r="I779" i="2"/>
  <c r="N751" i="1"/>
  <c r="O751" i="1" s="1"/>
  <c r="I778" i="2"/>
  <c r="N749" i="1"/>
  <c r="O749" i="1" s="1"/>
  <c r="I776" i="2"/>
  <c r="N747" i="1"/>
  <c r="O747" i="1" s="1"/>
  <c r="I777" i="2"/>
  <c r="N748" i="1"/>
  <c r="O748" i="1" s="1"/>
  <c r="I773" i="2"/>
  <c r="N739" i="1"/>
  <c r="O739" i="1" s="1"/>
  <c r="I775" i="2"/>
  <c r="N745" i="1"/>
  <c r="O745" i="1" s="1"/>
  <c r="I774" i="2"/>
  <c r="N744" i="1"/>
  <c r="O744" i="1" s="1"/>
  <c r="I771" i="2"/>
  <c r="N740" i="1"/>
  <c r="O740" i="1" s="1"/>
  <c r="I772" i="2"/>
  <c r="N746" i="1"/>
  <c r="O746" i="1" s="1"/>
  <c r="I770" i="2"/>
  <c r="N743" i="1"/>
  <c r="O743" i="1" s="1"/>
  <c r="I769" i="2"/>
  <c r="N742" i="1"/>
  <c r="O742" i="1" s="1"/>
  <c r="I768" i="2"/>
  <c r="N741" i="1"/>
  <c r="O741" i="1" s="1"/>
  <c r="I766" i="2"/>
  <c r="N736" i="1"/>
  <c r="O736" i="1" s="1"/>
  <c r="I767" i="2"/>
  <c r="N734" i="1"/>
  <c r="O734" i="1" s="1"/>
  <c r="I762" i="2"/>
  <c r="N738" i="1"/>
  <c r="O738" i="1" s="1"/>
  <c r="I763" i="2"/>
  <c r="N731" i="1"/>
  <c r="O731" i="1" s="1"/>
  <c r="I764" i="2"/>
  <c r="N732" i="1"/>
  <c r="O732" i="1" s="1"/>
  <c r="I765" i="2"/>
  <c r="N737" i="1"/>
  <c r="O737" i="1" s="1"/>
  <c r="I761" i="2"/>
  <c r="N735" i="1"/>
  <c r="O735" i="1" s="1"/>
  <c r="I760" i="2"/>
  <c r="N733" i="1"/>
  <c r="O733" i="1" s="1"/>
  <c r="I758" i="2"/>
  <c r="N724" i="1"/>
  <c r="O724" i="1" s="1"/>
  <c r="I759" i="2"/>
  <c r="N730" i="1"/>
  <c r="O730" i="1" s="1"/>
  <c r="I754" i="2"/>
  <c r="N728" i="1"/>
  <c r="O728" i="1" s="1"/>
  <c r="I755" i="2"/>
  <c r="N727" i="1"/>
  <c r="O727" i="1" s="1"/>
  <c r="I756" i="2"/>
  <c r="N729" i="1"/>
  <c r="O729" i="1" s="1"/>
  <c r="I757" i="2"/>
  <c r="N726" i="1"/>
  <c r="O726" i="1" s="1"/>
  <c r="I753" i="2"/>
  <c r="N722" i="1"/>
  <c r="O722" i="1" s="1"/>
  <c r="I752" i="2"/>
  <c r="N725" i="1"/>
  <c r="O725" i="1" s="1"/>
  <c r="I751" i="2"/>
  <c r="N723" i="1"/>
  <c r="O723" i="1" s="1"/>
  <c r="I749" i="2"/>
  <c r="N721" i="1"/>
  <c r="O721" i="1" s="1"/>
  <c r="I744" i="2"/>
  <c r="N718" i="1"/>
  <c r="O718" i="1" s="1"/>
  <c r="I750" i="2"/>
  <c r="N716" i="1"/>
  <c r="O716" i="1" s="1"/>
  <c r="I745" i="2"/>
  <c r="N719" i="1"/>
  <c r="O719" i="1" s="1"/>
  <c r="I746" i="2"/>
  <c r="N713" i="1"/>
  <c r="O713" i="1" s="1"/>
  <c r="I747" i="2"/>
  <c r="N720" i="1"/>
  <c r="O720" i="1" s="1"/>
  <c r="I748" i="2"/>
  <c r="N717" i="1"/>
  <c r="O717" i="1" s="1"/>
  <c r="I743" i="2"/>
  <c r="N712" i="1"/>
  <c r="O712" i="1" s="1"/>
  <c r="I742" i="2"/>
  <c r="N711" i="1"/>
  <c r="O711" i="1" s="1"/>
  <c r="I741" i="2"/>
  <c r="N715" i="1"/>
  <c r="O715" i="1" s="1"/>
  <c r="I740" i="2"/>
  <c r="N714" i="1"/>
  <c r="O714" i="1" s="1"/>
  <c r="I739" i="2"/>
  <c r="N705" i="1"/>
  <c r="O705" i="1" s="1"/>
  <c r="I737" i="2"/>
  <c r="N709" i="1"/>
  <c r="O709" i="1" s="1"/>
  <c r="I738" i="2"/>
  <c r="N710" i="1"/>
  <c r="O710" i="1" s="1"/>
  <c r="I735" i="2"/>
  <c r="N704" i="1"/>
  <c r="O704" i="1" s="1"/>
  <c r="I736" i="2"/>
  <c r="N706" i="1"/>
  <c r="O706" i="1" s="1"/>
  <c r="I734" i="2"/>
  <c r="N708" i="1"/>
  <c r="O708" i="1" s="1"/>
  <c r="I733" i="2"/>
  <c r="N703" i="1"/>
  <c r="O703" i="1" s="1"/>
  <c r="I732" i="2"/>
  <c r="N707" i="1"/>
  <c r="O707" i="1" s="1"/>
  <c r="I731" i="2"/>
  <c r="N702" i="1"/>
  <c r="O702" i="1" s="1"/>
  <c r="I729" i="2"/>
  <c r="N695" i="1"/>
  <c r="O695" i="1" s="1"/>
  <c r="I730" i="2"/>
  <c r="N698" i="1"/>
  <c r="O698" i="1" s="1"/>
  <c r="I727" i="2"/>
  <c r="N701" i="1"/>
  <c r="O701" i="1" s="1"/>
  <c r="I728" i="2"/>
  <c r="N700" i="1"/>
  <c r="O700" i="1" s="1"/>
  <c r="I725" i="2"/>
  <c r="N699" i="1"/>
  <c r="O699" i="1" s="1"/>
  <c r="I726" i="2"/>
  <c r="N696" i="1"/>
  <c r="O696" i="1" s="1"/>
  <c r="I724" i="2"/>
  <c r="N694" i="1"/>
  <c r="O694" i="1" s="1"/>
  <c r="I723" i="2"/>
  <c r="N697" i="1"/>
  <c r="O697" i="1" s="1"/>
  <c r="I721" i="2"/>
  <c r="N677" i="1"/>
  <c r="O677" i="1" s="1"/>
  <c r="I722" i="2"/>
  <c r="N670" i="1"/>
  <c r="O670" i="1" s="1"/>
  <c r="I719" i="2"/>
  <c r="N690" i="1"/>
  <c r="O690" i="1" s="1"/>
  <c r="I720" i="2"/>
  <c r="N693" i="1"/>
  <c r="O693" i="1" s="1"/>
  <c r="I717" i="2"/>
  <c r="N692" i="1"/>
  <c r="O692" i="1" s="1"/>
  <c r="I718" i="2"/>
  <c r="N691" i="1"/>
  <c r="O691" i="1" s="1"/>
  <c r="I715" i="2"/>
  <c r="N689" i="1"/>
  <c r="O689" i="1" s="1"/>
  <c r="I716" i="2"/>
  <c r="N688" i="1"/>
  <c r="O688" i="1" s="1"/>
  <c r="I714" i="2"/>
  <c r="N687" i="1"/>
  <c r="O687" i="1" s="1"/>
  <c r="I712" i="2"/>
  <c r="N683" i="1"/>
  <c r="O683" i="1" s="1"/>
  <c r="I713" i="2"/>
  <c r="N686" i="1"/>
  <c r="O686" i="1" s="1"/>
  <c r="I710" i="2"/>
  <c r="N685" i="1"/>
  <c r="O685" i="1" s="1"/>
  <c r="I709" i="2"/>
  <c r="N680" i="1"/>
  <c r="O680" i="1" s="1"/>
  <c r="I711" i="2"/>
  <c r="N682" i="1"/>
  <c r="O682" i="1" s="1"/>
  <c r="I708" i="2"/>
  <c r="N679" i="1"/>
  <c r="O679" i="1" s="1"/>
  <c r="I707" i="2"/>
  <c r="N684" i="1"/>
  <c r="O684" i="1" s="1"/>
  <c r="I706" i="2"/>
  <c r="N681" i="1"/>
  <c r="O681" i="1" s="1"/>
  <c r="I704" i="2"/>
  <c r="N678" i="1"/>
  <c r="O678" i="1" s="1"/>
  <c r="I702" i="2"/>
  <c r="N675" i="1"/>
  <c r="O675" i="1" s="1"/>
  <c r="I703" i="2"/>
  <c r="N676" i="1"/>
  <c r="O676" i="1" s="1"/>
  <c r="I700" i="2"/>
  <c r="N672" i="1"/>
  <c r="O672" i="1" s="1"/>
  <c r="I701" i="2"/>
  <c r="N674" i="1"/>
  <c r="O674" i="1" s="1"/>
  <c r="I699" i="2"/>
  <c r="N673" i="1"/>
  <c r="O673" i="1" s="1"/>
  <c r="I698" i="2"/>
  <c r="N671" i="1"/>
  <c r="O671" i="1" s="1"/>
  <c r="I696" i="2"/>
  <c r="N668" i="1"/>
  <c r="O668" i="1" s="1"/>
  <c r="I697" i="2"/>
  <c r="N669" i="1"/>
  <c r="O669" i="1" s="1"/>
  <c r="I694" i="2"/>
  <c r="N665" i="1"/>
  <c r="O665" i="1" s="1"/>
  <c r="I695" i="2"/>
  <c r="N664" i="1"/>
  <c r="O664" i="1" s="1"/>
  <c r="I692" i="2"/>
  <c r="N661" i="1"/>
  <c r="O661" i="1" s="1"/>
  <c r="I693" i="2"/>
  <c r="N667" i="1"/>
  <c r="O667" i="1" s="1"/>
  <c r="I690" i="2"/>
  <c r="N663" i="1"/>
  <c r="O663" i="1" s="1"/>
  <c r="I691" i="2"/>
  <c r="N666" i="1"/>
  <c r="O666" i="1" s="1"/>
  <c r="I689" i="2"/>
  <c r="N660" i="1"/>
  <c r="I688" i="2"/>
  <c r="N662" i="1"/>
  <c r="O662" i="1" s="1"/>
  <c r="I686" i="2"/>
  <c r="N654" i="1"/>
  <c r="O654" i="1" s="1"/>
  <c r="I687" i="2"/>
  <c r="N652" i="1"/>
  <c r="O652" i="1" s="1"/>
  <c r="I683" i="2"/>
  <c r="N658" i="1"/>
  <c r="O658" i="1" s="1"/>
  <c r="I684" i="2"/>
  <c r="N659" i="1"/>
  <c r="O659" i="1" s="1"/>
  <c r="I685" i="2"/>
  <c r="N655" i="1"/>
  <c r="O655" i="1" s="1"/>
  <c r="I682" i="2"/>
  <c r="N657" i="1"/>
  <c r="O657" i="1" s="1"/>
  <c r="I680" i="2"/>
  <c r="N653" i="1"/>
  <c r="O653" i="1" s="1"/>
  <c r="I681" i="2"/>
  <c r="N656" i="1"/>
  <c r="O656" i="1" s="1"/>
  <c r="I679" i="2"/>
  <c r="N651" i="1"/>
  <c r="O651" i="1" s="1"/>
  <c r="I677" i="2"/>
  <c r="N650" i="1"/>
  <c r="O650" i="1" s="1"/>
  <c r="I672" i="2"/>
  <c r="N648" i="1"/>
  <c r="O648" i="1" s="1"/>
  <c r="I678" i="2"/>
  <c r="N647" i="1"/>
  <c r="O647" i="1" s="1"/>
  <c r="I673" i="2"/>
  <c r="N642" i="1"/>
  <c r="O642" i="1" s="1"/>
  <c r="I674" i="2"/>
  <c r="N649" i="1"/>
  <c r="O649" i="1" s="1"/>
  <c r="I675" i="2"/>
  <c r="N646" i="1"/>
  <c r="O646" i="1" s="1"/>
  <c r="I676" i="2"/>
  <c r="N645" i="1"/>
  <c r="O645" i="1" s="1"/>
  <c r="N644" i="1"/>
  <c r="O644" i="1" s="1"/>
  <c r="I671" i="2"/>
  <c r="I670" i="2"/>
  <c r="N643" i="1"/>
  <c r="O643" i="1" s="1"/>
  <c r="N637" i="1"/>
  <c r="O637" i="1" s="1"/>
  <c r="I669" i="2"/>
  <c r="N641" i="1"/>
  <c r="O641" i="1" s="1"/>
  <c r="N633" i="1"/>
  <c r="O633" i="1" s="1"/>
  <c r="I664" i="2"/>
  <c r="N640" i="1"/>
  <c r="O640" i="1" s="1"/>
  <c r="I667" i="2"/>
  <c r="N632" i="1"/>
  <c r="O632" i="1" s="1"/>
  <c r="I668" i="2"/>
  <c r="N636" i="1"/>
  <c r="O636" i="1" s="1"/>
  <c r="I665" i="2"/>
  <c r="N631" i="1"/>
  <c r="O631" i="1" s="1"/>
  <c r="I662" i="2"/>
  <c r="N634" i="1"/>
  <c r="O634" i="1" s="1"/>
  <c r="I663" i="2"/>
  <c r="N638" i="1"/>
  <c r="O638" i="1" s="1"/>
  <c r="I660" i="2"/>
  <c r="N635" i="1"/>
  <c r="O635" i="1" s="1"/>
  <c r="I661" i="2"/>
  <c r="N639" i="1"/>
  <c r="O639" i="1" s="1"/>
  <c r="I658" i="2"/>
  <c r="N624" i="1"/>
  <c r="O624" i="1" s="1"/>
  <c r="I659" i="2"/>
  <c r="N630" i="1"/>
  <c r="O630" i="1" s="1"/>
  <c r="I656" i="2"/>
  <c r="N629" i="1"/>
  <c r="O629" i="1" s="1"/>
  <c r="I657" i="2"/>
  <c r="N628" i="1"/>
  <c r="O628" i="1" s="1"/>
  <c r="I655" i="2"/>
  <c r="N627" i="1"/>
  <c r="O627" i="1" s="1"/>
  <c r="I653" i="2"/>
  <c r="N625" i="1"/>
  <c r="O625" i="1" s="1"/>
  <c r="I654" i="2"/>
  <c r="N626" i="1"/>
  <c r="O626" i="1" s="1"/>
  <c r="I652" i="2"/>
  <c r="N623" i="1"/>
  <c r="I650" i="2"/>
  <c r="N621" i="1"/>
  <c r="O621" i="1" s="1"/>
  <c r="I651" i="2"/>
  <c r="N622" i="1"/>
  <c r="O622" i="1" s="1"/>
  <c r="I648" i="2"/>
  <c r="N618" i="1"/>
  <c r="O618" i="1" s="1"/>
  <c r="I649" i="2"/>
  <c r="N617" i="1"/>
  <c r="O617" i="1" s="1"/>
  <c r="I647" i="2"/>
  <c r="N620" i="1"/>
  <c r="O620" i="1" s="1"/>
  <c r="I646" i="2"/>
  <c r="N615" i="1"/>
  <c r="O615" i="1" s="1"/>
  <c r="I644" i="2"/>
  <c r="N613" i="1"/>
  <c r="O613" i="1" s="1"/>
  <c r="I645" i="2"/>
  <c r="N612" i="1"/>
  <c r="O612" i="1" s="1"/>
  <c r="I642" i="2"/>
  <c r="N614" i="1"/>
  <c r="O614" i="1" s="1"/>
  <c r="I643" i="2"/>
  <c r="N619" i="1"/>
  <c r="O619" i="1" s="1"/>
  <c r="I641" i="2"/>
  <c r="N616" i="1"/>
  <c r="O616" i="1" s="1"/>
  <c r="I640" i="2"/>
  <c r="N611" i="1"/>
  <c r="O611" i="1" s="1"/>
  <c r="I638" i="2"/>
  <c r="N606" i="1"/>
  <c r="O606" i="1" s="1"/>
  <c r="I637" i="2"/>
  <c r="N610" i="1"/>
  <c r="O610" i="1" s="1"/>
  <c r="I635" i="2"/>
  <c r="N609" i="1"/>
  <c r="O609" i="1" s="1"/>
  <c r="I636" i="2"/>
  <c r="N608" i="1"/>
  <c r="O608" i="1" s="1"/>
  <c r="I634" i="2"/>
  <c r="N602" i="1"/>
  <c r="O602" i="1" s="1"/>
  <c r="I633" i="2"/>
  <c r="N607" i="1"/>
  <c r="O607" i="1" s="1"/>
  <c r="I632" i="2"/>
  <c r="N605" i="1"/>
  <c r="O605" i="1" s="1"/>
  <c r="I631" i="2"/>
  <c r="N604" i="1"/>
  <c r="O604" i="1" s="1"/>
  <c r="I630" i="2"/>
  <c r="N603" i="1"/>
  <c r="O603" i="1" s="1"/>
  <c r="I628" i="2"/>
  <c r="N601" i="1"/>
  <c r="O601" i="1" s="1"/>
  <c r="N600" i="1"/>
  <c r="O600" i="1" s="1"/>
  <c r="I629" i="2"/>
  <c r="I626" i="2"/>
  <c r="N595" i="1"/>
  <c r="O595" i="1" s="1"/>
  <c r="I627" i="2"/>
  <c r="N597" i="1"/>
  <c r="O597" i="1" s="1"/>
  <c r="I625" i="2"/>
  <c r="N594" i="1"/>
  <c r="O594" i="1" s="1"/>
  <c r="I623" i="2"/>
  <c r="N599" i="1"/>
  <c r="O599" i="1" s="1"/>
  <c r="I624" i="2"/>
  <c r="N598" i="1"/>
  <c r="O598" i="1" s="1"/>
  <c r="I622" i="2"/>
  <c r="N593" i="1"/>
  <c r="O593" i="1" s="1"/>
  <c r="I621" i="2"/>
  <c r="N596" i="1"/>
  <c r="O596" i="1" s="1"/>
  <c r="I620" i="2"/>
  <c r="N590" i="1"/>
  <c r="O590" i="1" s="1"/>
  <c r="I616" i="2"/>
  <c r="N591" i="1"/>
  <c r="O591" i="1" s="1"/>
  <c r="N589" i="1"/>
  <c r="O589" i="1" s="1"/>
  <c r="I617" i="2"/>
  <c r="I618" i="2"/>
  <c r="N592" i="1"/>
  <c r="O592" i="1" s="1"/>
  <c r="I619" i="2"/>
  <c r="N583" i="1"/>
  <c r="O583" i="1" s="1"/>
  <c r="I615" i="2"/>
  <c r="N588" i="1"/>
  <c r="O588" i="1" s="1"/>
  <c r="I613" i="2"/>
  <c r="N585" i="1"/>
  <c r="O585" i="1" s="1"/>
  <c r="I614" i="2"/>
  <c r="N586" i="1"/>
  <c r="O586" i="1" s="1"/>
  <c r="I612" i="2"/>
  <c r="N587" i="1"/>
  <c r="O587" i="1" s="1"/>
  <c r="I611" i="2"/>
  <c r="N584" i="1"/>
  <c r="O584" i="1" s="1"/>
  <c r="I609" i="2"/>
  <c r="N577" i="1"/>
  <c r="O577" i="1" s="1"/>
  <c r="I610" i="2"/>
  <c r="N581" i="1"/>
  <c r="O581" i="1" s="1"/>
  <c r="I607" i="2"/>
  <c r="N582" i="1"/>
  <c r="O582" i="1" s="1"/>
  <c r="I608" i="2"/>
  <c r="N580" i="1"/>
  <c r="O580" i="1" s="1"/>
  <c r="I605" i="2"/>
  <c r="N579" i="1"/>
  <c r="O579" i="1" s="1"/>
  <c r="I606" i="2"/>
  <c r="N578" i="1"/>
  <c r="O578" i="1" s="1"/>
  <c r="I604" i="2"/>
  <c r="N576" i="1"/>
  <c r="O576" i="1" s="1"/>
  <c r="I602" i="2"/>
  <c r="N574" i="1"/>
  <c r="O574" i="1" s="1"/>
  <c r="I603" i="2"/>
  <c r="N575" i="1"/>
  <c r="O575" i="1" s="1"/>
  <c r="I601" i="2"/>
  <c r="N573" i="1"/>
  <c r="O573" i="1" s="1"/>
  <c r="I600" i="2"/>
  <c r="N572" i="1"/>
  <c r="O572" i="1" s="1"/>
  <c r="I598" i="2"/>
  <c r="N570" i="1"/>
  <c r="O570" i="1" s="1"/>
  <c r="I599" i="2"/>
  <c r="N571" i="1"/>
  <c r="O571" i="1" s="1"/>
  <c r="I596" i="2"/>
  <c r="N568" i="1"/>
  <c r="O568" i="1" s="1"/>
  <c r="I597" i="2"/>
  <c r="N569" i="1"/>
  <c r="O569" i="1" s="1"/>
  <c r="I595" i="2"/>
  <c r="N567" i="1"/>
  <c r="O567" i="1" s="1"/>
  <c r="I594" i="2"/>
  <c r="N566" i="1"/>
  <c r="O566" i="1" s="1"/>
  <c r="I593" i="2"/>
  <c r="N565" i="1"/>
  <c r="O565" i="1" s="1"/>
  <c r="I592" i="2"/>
  <c r="N564" i="1"/>
  <c r="O564" i="1" s="1"/>
  <c r="I591" i="2"/>
  <c r="N563" i="1"/>
  <c r="O563" i="1" s="1"/>
  <c r="I589" i="2"/>
  <c r="N562" i="1"/>
  <c r="O562" i="1" s="1"/>
  <c r="I588" i="2"/>
  <c r="N559" i="1"/>
  <c r="O559" i="1" s="1"/>
  <c r="I586" i="2"/>
  <c r="N558" i="1"/>
  <c r="O558" i="1" s="1"/>
  <c r="I587" i="2"/>
  <c r="N561" i="1"/>
  <c r="O561" i="1" s="1"/>
  <c r="I585" i="2"/>
  <c r="N560" i="1"/>
  <c r="O560" i="1" s="1"/>
  <c r="I583" i="2"/>
  <c r="N554" i="1"/>
  <c r="O554" i="1" s="1"/>
  <c r="I584" i="2"/>
  <c r="N557" i="1"/>
  <c r="O557" i="1" s="1"/>
  <c r="I581" i="2"/>
  <c r="N556" i="1"/>
  <c r="O556" i="1" s="1"/>
  <c r="I578" i="2"/>
  <c r="N553" i="1"/>
  <c r="O553" i="1" s="1"/>
  <c r="I579" i="2"/>
  <c r="N555" i="1"/>
  <c r="O555" i="1" s="1"/>
  <c r="I580" i="2"/>
  <c r="N551" i="1"/>
  <c r="O551" i="1" s="1"/>
  <c r="I577" i="2"/>
  <c r="N552" i="1"/>
  <c r="O552" i="1" s="1"/>
  <c r="I576" i="2"/>
  <c r="N550" i="1"/>
  <c r="O550" i="1" s="1"/>
  <c r="I574" i="2"/>
  <c r="N545" i="1"/>
  <c r="O545" i="1" s="1"/>
  <c r="I575" i="2"/>
  <c r="N548" i="1"/>
  <c r="O548" i="1" s="1"/>
  <c r="I573" i="2"/>
  <c r="N546" i="1"/>
  <c r="O546" i="1" s="1"/>
  <c r="I570" i="2"/>
  <c r="N547" i="1"/>
  <c r="O547" i="1" s="1"/>
  <c r="I571" i="2"/>
  <c r="N544" i="1"/>
  <c r="O544" i="1" s="1"/>
  <c r="I572" i="2"/>
  <c r="N549" i="1"/>
  <c r="O549" i="1" s="1"/>
  <c r="I566" i="2"/>
  <c r="N540" i="1"/>
  <c r="O540" i="1" s="1"/>
  <c r="I568" i="2"/>
  <c r="N536" i="1"/>
  <c r="O536" i="1" s="1"/>
  <c r="I569" i="2"/>
  <c r="N541" i="1"/>
  <c r="O541" i="1" s="1"/>
  <c r="I564" i="2"/>
  <c r="N542" i="1"/>
  <c r="O542" i="1" s="1"/>
  <c r="I565" i="2"/>
  <c r="N538" i="1"/>
  <c r="O538" i="1" s="1"/>
  <c r="I567" i="2"/>
  <c r="N543" i="1"/>
  <c r="O543" i="1" s="1"/>
  <c r="I563" i="2"/>
  <c r="N537" i="1"/>
  <c r="O537" i="1" s="1"/>
  <c r="I562" i="2"/>
  <c r="N539" i="1"/>
  <c r="O539" i="1" s="1"/>
  <c r="I561" i="2"/>
  <c r="N535" i="1"/>
  <c r="O535" i="1" s="1"/>
  <c r="I559" i="2"/>
  <c r="N533" i="1"/>
  <c r="O533" i="1" s="1"/>
  <c r="I560" i="2"/>
  <c r="N532" i="1"/>
  <c r="O532" i="1" s="1"/>
  <c r="I558" i="2"/>
  <c r="N534" i="1"/>
  <c r="O534" i="1" s="1"/>
  <c r="I557" i="2"/>
  <c r="N531" i="1"/>
  <c r="O531" i="1" s="1"/>
  <c r="I556" i="2"/>
  <c r="N527" i="1"/>
  <c r="O527" i="1" s="1"/>
  <c r="I555" i="2"/>
  <c r="N529" i="1"/>
  <c r="O529" i="1" s="1"/>
  <c r="I554" i="2"/>
  <c r="N530" i="1"/>
  <c r="O530" i="1" s="1"/>
  <c r="I553" i="2"/>
  <c r="N528" i="1"/>
  <c r="O528" i="1" s="1"/>
  <c r="I551" i="2"/>
  <c r="N526" i="1"/>
  <c r="O526" i="1" s="1"/>
  <c r="I549" i="2"/>
  <c r="N523" i="1"/>
  <c r="O523" i="1" s="1"/>
  <c r="I550" i="2"/>
  <c r="N519" i="1"/>
  <c r="O519" i="1" s="1"/>
  <c r="I548" i="2"/>
  <c r="N525" i="1"/>
  <c r="O525" i="1" s="1"/>
  <c r="I547" i="2"/>
  <c r="I546" i="2"/>
  <c r="N522" i="1"/>
  <c r="O522" i="1" s="1"/>
  <c r="I545" i="2"/>
  <c r="N521" i="1"/>
  <c r="O521" i="1" s="1"/>
  <c r="I544" i="2"/>
  <c r="N520" i="1"/>
  <c r="O520" i="1" s="1"/>
  <c r="I542" i="2"/>
  <c r="N517" i="1"/>
  <c r="O517" i="1" s="1"/>
  <c r="I543" i="2"/>
  <c r="N518" i="1"/>
  <c r="O518" i="1" s="1"/>
  <c r="I541" i="2"/>
  <c r="N515" i="1"/>
  <c r="O515" i="1" s="1"/>
  <c r="I538" i="2"/>
  <c r="N510" i="1"/>
  <c r="O510" i="1" s="1"/>
  <c r="I539" i="2"/>
  <c r="N516" i="1"/>
  <c r="O516" i="1" s="1"/>
  <c r="I540" i="2"/>
  <c r="N514" i="1"/>
  <c r="O514" i="1" s="1"/>
  <c r="I537" i="2"/>
  <c r="N513" i="1"/>
  <c r="O513" i="1" s="1"/>
  <c r="I534" i="2"/>
  <c r="N487" i="1"/>
  <c r="O487" i="1" s="1"/>
  <c r="I535" i="2"/>
  <c r="N511" i="1"/>
  <c r="O511" i="1" s="1"/>
  <c r="I536" i="2"/>
  <c r="N512" i="1"/>
  <c r="O512" i="1" s="1"/>
  <c r="I532" i="2"/>
  <c r="N509" i="1"/>
  <c r="O509" i="1" s="1"/>
  <c r="I533" i="2"/>
  <c r="N506" i="1"/>
  <c r="O506" i="1" s="1"/>
  <c r="I530" i="2"/>
  <c r="N508" i="1"/>
  <c r="O508" i="1" s="1"/>
  <c r="I531" i="2"/>
  <c r="N504" i="1"/>
  <c r="O504" i="1" s="1"/>
  <c r="I529" i="2"/>
  <c r="N505" i="1"/>
  <c r="O505" i="1" s="1"/>
  <c r="I528" i="2"/>
  <c r="N507" i="1"/>
  <c r="O507" i="1" s="1"/>
  <c r="I526" i="2"/>
  <c r="N499" i="1"/>
  <c r="O499" i="1" s="1"/>
  <c r="I527" i="2"/>
  <c r="N501" i="1"/>
  <c r="O501" i="1" s="1"/>
  <c r="I525" i="2"/>
  <c r="N503" i="1"/>
  <c r="O503" i="1" s="1"/>
  <c r="I524" i="2"/>
  <c r="N502" i="1"/>
  <c r="O502" i="1" s="1"/>
  <c r="I523" i="2"/>
  <c r="N500" i="1"/>
  <c r="O500" i="1" s="1"/>
  <c r="I521" i="2"/>
  <c r="N486" i="1"/>
  <c r="O486" i="1" s="1"/>
  <c r="I522" i="2"/>
  <c r="N467" i="1"/>
  <c r="O467" i="1" s="1"/>
  <c r="I517" i="2"/>
  <c r="N496" i="1"/>
  <c r="O496" i="1" s="1"/>
  <c r="I518" i="2"/>
  <c r="N497" i="1"/>
  <c r="O497" i="1" s="1"/>
  <c r="I519" i="2"/>
  <c r="N490" i="1"/>
  <c r="O490" i="1" s="1"/>
  <c r="I520" i="2"/>
  <c r="N498" i="1"/>
  <c r="O498" i="1" s="1"/>
  <c r="I515" i="2"/>
  <c r="N494" i="1"/>
  <c r="O494" i="1" s="1"/>
  <c r="I516" i="2"/>
  <c r="N495" i="1"/>
  <c r="O495" i="1" s="1"/>
  <c r="I514" i="2"/>
  <c r="N493" i="1"/>
  <c r="O493" i="1" s="1"/>
  <c r="I512" i="2"/>
  <c r="N491" i="1"/>
  <c r="O491" i="1" s="1"/>
  <c r="I513" i="2"/>
  <c r="N488" i="1"/>
  <c r="O488" i="1" s="1"/>
  <c r="I511" i="2"/>
  <c r="N492" i="1"/>
  <c r="O492" i="1" s="1"/>
  <c r="I510" i="2"/>
  <c r="N489" i="1"/>
  <c r="O489" i="1" s="1"/>
  <c r="I509" i="2"/>
  <c r="N485" i="1"/>
  <c r="O485" i="1" s="1"/>
  <c r="I507" i="2"/>
  <c r="N481" i="1"/>
  <c r="O481" i="1" s="1"/>
  <c r="I508" i="2"/>
  <c r="N484" i="1"/>
  <c r="O484" i="1" s="1"/>
  <c r="I505" i="2"/>
  <c r="N482" i="1"/>
  <c r="O482" i="1" s="1"/>
  <c r="I506" i="2"/>
  <c r="N480" i="1"/>
  <c r="O480" i="1" s="1"/>
  <c r="I504" i="2"/>
  <c r="N483" i="1"/>
  <c r="O483" i="1" s="1"/>
  <c r="I502" i="2"/>
  <c r="N477" i="1"/>
  <c r="O477" i="1" s="1"/>
  <c r="I503" i="2"/>
  <c r="N476" i="1"/>
  <c r="O476" i="1" s="1"/>
  <c r="I501" i="2"/>
  <c r="N479" i="1"/>
  <c r="O479" i="1" s="1"/>
  <c r="I500" i="2"/>
  <c r="N478" i="1"/>
  <c r="O478" i="1" s="1"/>
  <c r="I498" i="2"/>
  <c r="N473" i="1"/>
  <c r="O473" i="1" s="1"/>
  <c r="I499" i="2"/>
  <c r="N474" i="1"/>
  <c r="O474" i="1" s="1"/>
  <c r="I497" i="2"/>
  <c r="N475" i="1"/>
  <c r="O475" i="1" s="1"/>
  <c r="I496" i="2"/>
  <c r="N472" i="1"/>
  <c r="O472" i="1" s="1"/>
  <c r="I495" i="2"/>
  <c r="N471" i="1"/>
  <c r="O471" i="1" s="1"/>
  <c r="I494" i="2"/>
  <c r="N470" i="1"/>
  <c r="O470" i="1" s="1"/>
  <c r="I493" i="2"/>
  <c r="N469" i="1"/>
  <c r="O469" i="1" s="1"/>
  <c r="I492" i="2"/>
  <c r="N468" i="1"/>
  <c r="O468" i="1" s="1"/>
  <c r="I491" i="2"/>
  <c r="N466" i="1"/>
  <c r="O466" i="1" s="1"/>
  <c r="I489" i="2"/>
  <c r="N465" i="1"/>
  <c r="O465" i="1" s="1"/>
  <c r="I490" i="2"/>
  <c r="N464" i="1"/>
  <c r="O464" i="1" s="1"/>
  <c r="I487" i="2"/>
  <c r="N462" i="1"/>
  <c r="O462" i="1" s="1"/>
  <c r="I486" i="2"/>
  <c r="N463" i="1"/>
  <c r="O463" i="1" s="1"/>
  <c r="I484" i="2"/>
  <c r="N461" i="1"/>
  <c r="O461" i="1" s="1"/>
  <c r="I485" i="2"/>
  <c r="N459" i="1"/>
  <c r="O459" i="1" s="1"/>
  <c r="I483" i="2"/>
  <c r="N460" i="1"/>
  <c r="O460" i="1" s="1"/>
  <c r="I481" i="2"/>
  <c r="N453" i="1"/>
  <c r="O453" i="1" s="1"/>
  <c r="I482" i="2"/>
  <c r="N457" i="1"/>
  <c r="O457" i="1" s="1"/>
  <c r="I479" i="2"/>
  <c r="N456" i="1"/>
  <c r="O456" i="1" s="1"/>
  <c r="I480" i="2"/>
  <c r="N458" i="1"/>
  <c r="O458" i="1" s="1"/>
  <c r="I477" i="2"/>
  <c r="N452" i="1"/>
  <c r="O452" i="1" s="1"/>
  <c r="I478" i="2"/>
  <c r="N454" i="1"/>
  <c r="O454" i="1" s="1"/>
  <c r="I476" i="2"/>
  <c r="N455" i="1"/>
  <c r="O455" i="1" s="1"/>
  <c r="I475" i="2"/>
  <c r="N444" i="1"/>
  <c r="O444" i="1" s="1"/>
  <c r="I473" i="2"/>
  <c r="N450" i="1"/>
  <c r="O450" i="1" s="1"/>
  <c r="I471" i="2"/>
  <c r="N448" i="1"/>
  <c r="O448" i="1" s="1"/>
  <c r="I472" i="2"/>
  <c r="N451" i="1"/>
  <c r="O451" i="1" s="1"/>
  <c r="I470" i="2"/>
  <c r="N445" i="1"/>
  <c r="O445" i="1" s="1"/>
  <c r="I469" i="2"/>
  <c r="N449" i="1"/>
  <c r="O449" i="1" s="1"/>
  <c r="I468" i="2"/>
  <c r="N447" i="1"/>
  <c r="O447" i="1" s="1"/>
  <c r="I467" i="2"/>
  <c r="N446" i="1"/>
  <c r="O446" i="1" s="1"/>
  <c r="I465" i="2"/>
  <c r="N443" i="1"/>
  <c r="O443" i="1" s="1"/>
  <c r="I466" i="2"/>
  <c r="N441" i="1"/>
  <c r="O441" i="1" s="1"/>
  <c r="I463" i="2"/>
  <c r="N442" i="1"/>
  <c r="O442" i="1" s="1"/>
  <c r="I464" i="2"/>
  <c r="N435" i="1"/>
  <c r="O435" i="1" s="1"/>
  <c r="I461" i="2"/>
  <c r="N439" i="1"/>
  <c r="O439" i="1" s="1"/>
  <c r="I462" i="2"/>
  <c r="N440" i="1"/>
  <c r="O440" i="1" s="1"/>
  <c r="I459" i="2"/>
  <c r="N436" i="1"/>
  <c r="O436" i="1" s="1"/>
  <c r="I460" i="2"/>
  <c r="N437" i="1"/>
  <c r="O437" i="1" s="1"/>
  <c r="I458" i="2"/>
  <c r="N438" i="1"/>
  <c r="O438" i="1" s="1"/>
  <c r="I457" i="2"/>
  <c r="N434" i="1"/>
  <c r="O434" i="1" s="1"/>
  <c r="I456" i="2"/>
  <c r="N432" i="1"/>
  <c r="O432" i="1" s="1"/>
  <c r="I453" i="2"/>
  <c r="N429" i="1"/>
  <c r="O429" i="1" s="1"/>
  <c r="I454" i="2"/>
  <c r="N433" i="1"/>
  <c r="O433" i="1" s="1"/>
  <c r="I451" i="2"/>
  <c r="N431" i="1"/>
  <c r="O431" i="1" s="1"/>
  <c r="I449" i="2"/>
  <c r="N430" i="1"/>
  <c r="O430" i="1" s="1"/>
  <c r="I450" i="2"/>
  <c r="N427" i="1"/>
  <c r="O427" i="1" s="1"/>
  <c r="I448" i="2"/>
  <c r="N428" i="1"/>
  <c r="O428" i="1" s="1"/>
  <c r="I446" i="2"/>
  <c r="N425" i="1"/>
  <c r="O425" i="1" s="1"/>
  <c r="I447" i="2"/>
  <c r="N426" i="1"/>
  <c r="O426" i="1" s="1"/>
  <c r="I445" i="2"/>
  <c r="N422" i="1"/>
  <c r="O422" i="1" s="1"/>
  <c r="I443" i="2"/>
  <c r="N424" i="1"/>
  <c r="O424" i="1" s="1"/>
  <c r="I442" i="2"/>
  <c r="N423" i="1"/>
  <c r="O423" i="1" s="1"/>
  <c r="I441" i="2"/>
  <c r="N421" i="1"/>
  <c r="O421" i="1" s="1"/>
  <c r="I439" i="2"/>
  <c r="N419" i="1"/>
  <c r="O419" i="1" s="1"/>
  <c r="I440" i="2"/>
  <c r="N420" i="1"/>
  <c r="O420" i="1" s="1"/>
  <c r="I437" i="2"/>
  <c r="N417" i="1"/>
  <c r="O417" i="1" s="1"/>
  <c r="I438" i="2"/>
  <c r="N418" i="1"/>
  <c r="O418" i="1" s="1"/>
  <c r="I436" i="2"/>
  <c r="N416" i="1"/>
  <c r="O416" i="1" s="1"/>
  <c r="I435" i="2"/>
  <c r="N411" i="1"/>
  <c r="O411" i="1" s="1"/>
  <c r="I434" i="2"/>
  <c r="N415" i="1"/>
  <c r="O415" i="1" s="1"/>
  <c r="I433" i="2"/>
  <c r="N414" i="1"/>
  <c r="O414" i="1" s="1"/>
  <c r="I431" i="2"/>
  <c r="N412" i="1"/>
  <c r="O412" i="1" s="1"/>
  <c r="I432" i="2"/>
  <c r="N413" i="1"/>
  <c r="O413" i="1" s="1"/>
  <c r="I430" i="2"/>
  <c r="N408" i="1"/>
  <c r="O408" i="1" s="1"/>
  <c r="I429" i="2"/>
  <c r="N410" i="1"/>
  <c r="O410" i="1" s="1"/>
  <c r="I427" i="2"/>
  <c r="N406" i="1"/>
  <c r="O406" i="1" s="1"/>
  <c r="I428" i="2"/>
  <c r="N409" i="1"/>
  <c r="O409" i="1" s="1"/>
  <c r="I426" i="2"/>
  <c r="N407" i="1"/>
  <c r="O407" i="1" s="1"/>
  <c r="I425" i="2"/>
  <c r="N405" i="1"/>
  <c r="O405" i="1" s="1"/>
  <c r="I423" i="2"/>
  <c r="N403" i="1"/>
  <c r="O403" i="1" s="1"/>
  <c r="I424" i="2"/>
  <c r="N404" i="1"/>
  <c r="O404" i="1" s="1"/>
  <c r="I421" i="2"/>
  <c r="N401" i="1"/>
  <c r="O401" i="1" s="1"/>
  <c r="N400" i="1"/>
  <c r="O400" i="1" s="1"/>
  <c r="I420" i="2"/>
  <c r="I418" i="2"/>
  <c r="N396" i="1"/>
  <c r="O396" i="1" s="1"/>
  <c r="I419" i="2"/>
  <c r="N399" i="1"/>
  <c r="O399" i="1" s="1"/>
  <c r="I417" i="2"/>
  <c r="N398" i="1"/>
  <c r="O398" i="1" s="1"/>
  <c r="I416" i="2"/>
  <c r="N397" i="1"/>
  <c r="O397" i="1" s="1"/>
  <c r="I414" i="2"/>
  <c r="N393" i="1"/>
  <c r="O393" i="1" s="1"/>
  <c r="I415" i="2"/>
  <c r="N395" i="1"/>
  <c r="O395" i="1" s="1"/>
  <c r="I413" i="2"/>
  <c r="N394" i="1"/>
  <c r="O394" i="1" s="1"/>
  <c r="I412" i="2"/>
  <c r="N392" i="1"/>
  <c r="O392" i="1" s="1"/>
  <c r="I411" i="2"/>
  <c r="N390" i="1"/>
  <c r="O390" i="1" s="1"/>
  <c r="I409" i="2"/>
  <c r="N391" i="1"/>
  <c r="O391" i="1" s="1"/>
  <c r="I410" i="2"/>
  <c r="N387" i="1"/>
  <c r="O387" i="1" s="1"/>
  <c r="I408" i="2"/>
  <c r="N294" i="1"/>
  <c r="O294" i="1" s="1"/>
  <c r="I407" i="2"/>
  <c r="N389" i="1"/>
  <c r="O389" i="1" s="1"/>
  <c r="I406" i="2"/>
  <c r="N388" i="1"/>
  <c r="O388" i="1" s="1"/>
  <c r="I404" i="2"/>
  <c r="N385" i="1"/>
  <c r="O385" i="1" s="1"/>
  <c r="I405" i="2"/>
  <c r="N386" i="1"/>
  <c r="O386" i="1" s="1"/>
  <c r="I403" i="2"/>
  <c r="N384" i="1"/>
  <c r="O384" i="1" s="1"/>
  <c r="I402" i="2"/>
  <c r="N383" i="1"/>
  <c r="O383" i="1" s="1"/>
  <c r="I401" i="2"/>
  <c r="N382" i="1"/>
  <c r="O382" i="1" s="1"/>
  <c r="I399" i="2"/>
  <c r="N380" i="1"/>
  <c r="O380" i="1" s="1"/>
  <c r="I400" i="2"/>
  <c r="N381" i="1"/>
  <c r="O381" i="1" s="1"/>
  <c r="I397" i="2"/>
  <c r="N379" i="1"/>
  <c r="O379" i="1" s="1"/>
  <c r="N234" i="1"/>
  <c r="O234" i="1" s="1"/>
  <c r="I398" i="2"/>
  <c r="I395" i="2"/>
  <c r="N378" i="1"/>
  <c r="O378" i="1" s="1"/>
  <c r="I394" i="2"/>
  <c r="N377" i="1"/>
  <c r="O377" i="1" s="1"/>
  <c r="I393" i="2"/>
  <c r="N374" i="1"/>
  <c r="O374" i="1" s="1"/>
  <c r="I391" i="2"/>
  <c r="N376" i="1"/>
  <c r="O376" i="1" s="1"/>
  <c r="I392" i="2"/>
  <c r="N373" i="1"/>
  <c r="O373" i="1" s="1"/>
  <c r="I389" i="2"/>
  <c r="N375" i="1"/>
  <c r="O375" i="1" s="1"/>
  <c r="I390" i="2"/>
  <c r="N372" i="1"/>
  <c r="O372" i="1" s="1"/>
  <c r="I386" i="2"/>
  <c r="N369" i="1"/>
  <c r="O369" i="1" s="1"/>
  <c r="I387" i="2"/>
  <c r="N293" i="1"/>
  <c r="O293" i="1" s="1"/>
  <c r="I388" i="2"/>
  <c r="N371" i="1"/>
  <c r="O371" i="1" s="1"/>
  <c r="I385" i="2"/>
  <c r="N370" i="1"/>
  <c r="O370" i="1" s="1"/>
  <c r="I384" i="2"/>
  <c r="N367" i="1"/>
  <c r="O367" i="1" s="1"/>
  <c r="I383" i="2"/>
  <c r="N368" i="1"/>
  <c r="O368" i="1" s="1"/>
  <c r="I382" i="2"/>
  <c r="N366" i="1"/>
  <c r="O366" i="1" s="1"/>
  <c r="I379" i="2"/>
  <c r="N363" i="1"/>
  <c r="O363" i="1" s="1"/>
  <c r="I380" i="2"/>
  <c r="N364" i="1"/>
  <c r="O364" i="1" s="1"/>
  <c r="I381" i="2"/>
  <c r="N365" i="1"/>
  <c r="O365" i="1" s="1"/>
  <c r="I378" i="2"/>
  <c r="N353" i="1"/>
  <c r="O353" i="1" s="1"/>
  <c r="I376" i="2"/>
  <c r="N319" i="1"/>
  <c r="O319" i="1" s="1"/>
  <c r="I377" i="2"/>
  <c r="N362" i="1"/>
  <c r="O362" i="1" s="1"/>
  <c r="I374" i="2"/>
  <c r="N361" i="1"/>
  <c r="O361" i="1" s="1"/>
  <c r="I375" i="2"/>
  <c r="N360" i="1"/>
  <c r="O360" i="1" s="1"/>
  <c r="I373" i="2"/>
  <c r="N356" i="1"/>
  <c r="O356" i="1" s="1"/>
  <c r="I372" i="2"/>
  <c r="N359" i="1"/>
  <c r="O359" i="1" s="1"/>
  <c r="I370" i="2"/>
  <c r="N357" i="1"/>
  <c r="O357" i="1" s="1"/>
  <c r="I371" i="2"/>
  <c r="N358" i="1"/>
  <c r="O358" i="1" s="1"/>
  <c r="I368" i="2"/>
  <c r="N355" i="1"/>
  <c r="O355" i="1" s="1"/>
  <c r="I369" i="2"/>
  <c r="N354" i="1"/>
  <c r="O354" i="1" s="1"/>
  <c r="I367" i="2"/>
  <c r="N352" i="1"/>
  <c r="O352" i="1" s="1"/>
  <c r="I366" i="2"/>
  <c r="N346" i="1"/>
  <c r="O346" i="1" s="1"/>
  <c r="I364" i="2"/>
  <c r="N351" i="1"/>
  <c r="O351" i="1" s="1"/>
  <c r="I365" i="2"/>
  <c r="N349" i="1"/>
  <c r="O349" i="1" s="1"/>
  <c r="I363" i="2"/>
  <c r="N350" i="1"/>
  <c r="O350" i="1" s="1"/>
  <c r="I361" i="2"/>
  <c r="N347" i="1"/>
  <c r="O347" i="1" s="1"/>
  <c r="I362" i="2"/>
  <c r="N348" i="1"/>
  <c r="O348" i="1" s="1"/>
  <c r="I359" i="2"/>
  <c r="N341" i="1"/>
  <c r="O341" i="1" s="1"/>
  <c r="I360" i="2"/>
  <c r="N212" i="1"/>
  <c r="O212" i="1" s="1"/>
  <c r="I358" i="2"/>
  <c r="N340" i="1"/>
  <c r="O340" i="1" s="1"/>
  <c r="I356" i="2"/>
  <c r="N345" i="1"/>
  <c r="O345" i="1" s="1"/>
  <c r="I357" i="2"/>
  <c r="N342" i="1"/>
  <c r="O342" i="1" s="1"/>
  <c r="I353" i="2"/>
  <c r="N329" i="1"/>
  <c r="O329" i="1" s="1"/>
  <c r="I354" i="2"/>
  <c r="N344" i="1"/>
  <c r="O344" i="1" s="1"/>
  <c r="I355" i="2"/>
  <c r="N343" i="1"/>
  <c r="O343" i="1" s="1"/>
  <c r="I352" i="2"/>
  <c r="N339" i="1"/>
  <c r="O339" i="1" s="1"/>
  <c r="N332" i="1"/>
  <c r="O332" i="1" s="1"/>
  <c r="I349" i="2"/>
  <c r="I350" i="2"/>
  <c r="N222" i="1"/>
  <c r="O222" i="1" s="1"/>
  <c r="I351" i="2"/>
  <c r="N333" i="1"/>
  <c r="O333" i="1" s="1"/>
  <c r="I347" i="2"/>
  <c r="N338" i="1"/>
  <c r="O338" i="1" s="1"/>
  <c r="I348" i="2"/>
  <c r="N334" i="1"/>
  <c r="O334" i="1" s="1"/>
  <c r="I346" i="2"/>
  <c r="N337" i="1"/>
  <c r="O337" i="1" s="1"/>
  <c r="I345" i="2"/>
  <c r="N336" i="1"/>
  <c r="O336" i="1" s="1"/>
  <c r="I344" i="2"/>
  <c r="N335" i="1"/>
  <c r="O335" i="1" s="1"/>
  <c r="I342" i="2"/>
  <c r="N330" i="1"/>
  <c r="O330" i="1" s="1"/>
  <c r="I343" i="2"/>
  <c r="N331" i="1"/>
  <c r="O331" i="1" s="1"/>
  <c r="I339" i="2"/>
  <c r="N327" i="1"/>
  <c r="O327" i="1" s="1"/>
  <c r="I340" i="2"/>
  <c r="N328" i="1"/>
  <c r="O328" i="1" s="1"/>
  <c r="I341" i="2"/>
  <c r="N285" i="1"/>
  <c r="O285" i="1" s="1"/>
  <c r="I338" i="2"/>
  <c r="N326" i="1"/>
  <c r="O326" i="1" s="1"/>
  <c r="I337" i="2"/>
  <c r="N325" i="1"/>
  <c r="O325" i="1" s="1"/>
  <c r="I335" i="2"/>
  <c r="N324" i="1"/>
  <c r="O324" i="1" s="1"/>
  <c r="I336" i="2"/>
  <c r="N323" i="1"/>
  <c r="O323" i="1" s="1"/>
  <c r="I334" i="2"/>
  <c r="N322" i="1"/>
  <c r="O322" i="1" s="1"/>
  <c r="I332" i="2"/>
  <c r="N320" i="1"/>
  <c r="O320" i="1" s="1"/>
  <c r="I333" i="2"/>
  <c r="N321" i="1"/>
  <c r="O321" i="1" s="1"/>
  <c r="I331" i="2"/>
  <c r="N299" i="1"/>
  <c r="O299" i="1" s="1"/>
  <c r="I330" i="2"/>
  <c r="N230" i="1"/>
  <c r="O230" i="1" s="1"/>
  <c r="I328" i="2"/>
  <c r="N318" i="1"/>
  <c r="O318" i="1" s="1"/>
  <c r="I329" i="2"/>
  <c r="N310" i="1"/>
  <c r="O310" i="1" s="1"/>
  <c r="I327" i="2"/>
  <c r="N317" i="1"/>
  <c r="O317" i="1" s="1"/>
  <c r="I326" i="2"/>
  <c r="N316" i="1"/>
  <c r="O316" i="1" s="1"/>
  <c r="I324" i="2"/>
  <c r="N315" i="1"/>
  <c r="O315" i="1" s="1"/>
  <c r="I325" i="2"/>
  <c r="N313" i="1"/>
  <c r="O313" i="1" s="1"/>
  <c r="I323" i="2"/>
  <c r="N312" i="1"/>
  <c r="O312" i="1" s="1"/>
  <c r="I322" i="2"/>
  <c r="N314" i="1"/>
  <c r="O314" i="1" s="1"/>
  <c r="I321" i="2"/>
  <c r="N311" i="1"/>
  <c r="O311" i="1" s="1"/>
  <c r="I318" i="2"/>
  <c r="N304" i="1"/>
  <c r="O304" i="1" s="1"/>
  <c r="I319" i="2"/>
  <c r="N305" i="1"/>
  <c r="O305" i="1" s="1"/>
  <c r="I320" i="2"/>
  <c r="N303" i="1"/>
  <c r="O303" i="1" s="1"/>
  <c r="I316" i="2"/>
  <c r="N309" i="1"/>
  <c r="O309" i="1" s="1"/>
  <c r="I317" i="2"/>
  <c r="N308" i="1"/>
  <c r="O308" i="1" s="1"/>
  <c r="I314" i="2"/>
  <c r="N307" i="1"/>
  <c r="O307" i="1" s="1"/>
  <c r="I315" i="2"/>
  <c r="N306" i="1"/>
  <c r="O306" i="1" s="1"/>
  <c r="I312" i="2"/>
  <c r="N301" i="1"/>
  <c r="O301" i="1" s="1"/>
  <c r="I313" i="2"/>
  <c r="N302" i="1"/>
  <c r="O302" i="1" s="1"/>
  <c r="I309" i="2"/>
  <c r="N283" i="1"/>
  <c r="O283" i="1" s="1"/>
  <c r="I310" i="2"/>
  <c r="N289" i="1"/>
  <c r="O289" i="1" s="1"/>
  <c r="I311" i="2"/>
  <c r="N297" i="1"/>
  <c r="O297" i="1" s="1"/>
  <c r="I308" i="2"/>
  <c r="N300" i="1"/>
  <c r="O300" i="1" s="1"/>
  <c r="I307" i="2"/>
  <c r="N298" i="1"/>
  <c r="O298" i="1" s="1"/>
  <c r="I306" i="2"/>
  <c r="N296" i="1"/>
  <c r="O296" i="1" s="1"/>
  <c r="I305" i="2"/>
  <c r="N295" i="1"/>
  <c r="O295" i="1" s="1"/>
  <c r="N130" i="1"/>
  <c r="O130" i="1" s="1"/>
  <c r="I303" i="2"/>
  <c r="I304" i="2"/>
  <c r="N282" i="1"/>
  <c r="O282" i="1" s="1"/>
  <c r="I301" i="2"/>
  <c r="N292" i="1"/>
  <c r="O292" i="1" s="1"/>
  <c r="I302" i="2"/>
  <c r="N291" i="1"/>
  <c r="O291" i="1" s="1"/>
  <c r="I299" i="2"/>
  <c r="N290" i="1"/>
  <c r="O290" i="1" s="1"/>
  <c r="I300" i="2"/>
  <c r="N288" i="1"/>
  <c r="O288" i="1" s="1"/>
  <c r="I298" i="2"/>
  <c r="N286" i="1"/>
  <c r="O286" i="1" s="1"/>
  <c r="I297" i="2"/>
  <c r="N287" i="1"/>
  <c r="O287" i="1" s="1"/>
  <c r="I296" i="2"/>
  <c r="N277" i="1"/>
  <c r="O277" i="1" s="1"/>
  <c r="I295" i="2"/>
  <c r="N284" i="1"/>
  <c r="O284" i="1" s="1"/>
  <c r="I293" i="2"/>
  <c r="N279" i="1"/>
  <c r="O279" i="1" s="1"/>
  <c r="I294" i="2"/>
  <c r="N280" i="1"/>
  <c r="O280" i="1" s="1"/>
  <c r="I291" i="2"/>
  <c r="N261" i="1"/>
  <c r="O261" i="1" s="1"/>
  <c r="I292" i="2"/>
  <c r="N281" i="1"/>
  <c r="O281" i="1" s="1"/>
  <c r="I290" i="2"/>
  <c r="N278" i="1"/>
  <c r="O278" i="1" s="1"/>
  <c r="I289" i="2"/>
  <c r="N225" i="1"/>
  <c r="O225" i="1" s="1"/>
  <c r="I288" i="2"/>
  <c r="N273" i="1"/>
  <c r="O273" i="1" s="1"/>
  <c r="I285" i="2"/>
  <c r="N274" i="1"/>
  <c r="O274" i="1" s="1"/>
  <c r="I286" i="2"/>
  <c r="N276" i="1"/>
  <c r="O276" i="1" s="1"/>
  <c r="I287" i="2"/>
  <c r="N275" i="1"/>
  <c r="O275" i="1" s="1"/>
  <c r="I282" i="2"/>
  <c r="N271" i="1"/>
  <c r="O271" i="1" s="1"/>
  <c r="I283" i="2"/>
  <c r="N195" i="1"/>
  <c r="O195" i="1" s="1"/>
  <c r="I284" i="2"/>
  <c r="N272" i="1"/>
  <c r="O272" i="1" s="1"/>
  <c r="I280" i="2"/>
  <c r="N270" i="1"/>
  <c r="O270" i="1" s="1"/>
  <c r="I281" i="2"/>
  <c r="N259" i="1"/>
  <c r="O259" i="1" s="1"/>
  <c r="I278" i="2"/>
  <c r="N269" i="1"/>
  <c r="O269" i="1" s="1"/>
  <c r="I279" i="2"/>
  <c r="N265" i="1"/>
  <c r="O265" i="1" s="1"/>
  <c r="I275" i="2"/>
  <c r="N268" i="1"/>
  <c r="O268" i="1" s="1"/>
  <c r="I274" i="2"/>
  <c r="N267" i="1"/>
  <c r="O267" i="1" s="1"/>
  <c r="I273" i="2"/>
  <c r="N266" i="1"/>
  <c r="O266" i="1" s="1"/>
  <c r="I272" i="2"/>
  <c r="N263" i="1"/>
  <c r="O263" i="1" s="1"/>
  <c r="I270" i="2"/>
  <c r="N262" i="1"/>
  <c r="O262" i="1" s="1"/>
  <c r="I271" i="2"/>
  <c r="N264" i="1"/>
  <c r="O264" i="1" s="1"/>
  <c r="I269" i="2"/>
  <c r="N260" i="1"/>
  <c r="O260" i="1" s="1"/>
  <c r="I266" i="2"/>
  <c r="N256" i="1"/>
  <c r="O256" i="1" s="1"/>
  <c r="I268" i="2"/>
  <c r="N252" i="1"/>
  <c r="O252" i="1" s="1"/>
  <c r="I267" i="2"/>
  <c r="N257" i="1"/>
  <c r="O257" i="1" s="1"/>
  <c r="I265" i="2"/>
  <c r="N258" i="1"/>
  <c r="O258" i="1" s="1"/>
  <c r="I264" i="2"/>
  <c r="N206" i="1"/>
  <c r="O206" i="1" s="1"/>
  <c r="I262" i="2"/>
  <c r="N255" i="1"/>
  <c r="O255" i="1" s="1"/>
  <c r="I261" i="2"/>
  <c r="N253" i="1"/>
  <c r="O253" i="1" s="1"/>
  <c r="I258" i="2"/>
  <c r="N254" i="1"/>
  <c r="O254" i="1" s="1"/>
  <c r="I259" i="2"/>
  <c r="N250" i="1"/>
  <c r="O250" i="1" s="1"/>
  <c r="I260" i="2"/>
  <c r="N251" i="1"/>
  <c r="O251" i="1" s="1"/>
  <c r="I257" i="2"/>
  <c r="N245" i="1"/>
  <c r="O245" i="1" s="1"/>
  <c r="I255" i="2"/>
  <c r="N249" i="1"/>
  <c r="O249" i="1" s="1"/>
  <c r="I253" i="2"/>
  <c r="N246" i="1"/>
  <c r="O246" i="1" s="1"/>
  <c r="I254" i="2"/>
  <c r="N248" i="1"/>
  <c r="O248" i="1" s="1"/>
  <c r="I252" i="2"/>
  <c r="N247" i="1"/>
  <c r="O247" i="1" s="1"/>
  <c r="I250" i="2"/>
  <c r="N244" i="1"/>
  <c r="O244" i="1" s="1"/>
  <c r="I251" i="2"/>
  <c r="N243" i="1"/>
  <c r="O243" i="1" s="1"/>
  <c r="I247" i="2"/>
  <c r="N242" i="1"/>
  <c r="O242" i="1" s="1"/>
  <c r="I248" i="2"/>
  <c r="N187" i="1"/>
  <c r="O187" i="1" s="1"/>
  <c r="I244" i="2"/>
  <c r="N240" i="1"/>
  <c r="O240" i="1" s="1"/>
  <c r="I245" i="2"/>
  <c r="N185" i="1"/>
  <c r="O185" i="1" s="1"/>
  <c r="I246" i="2"/>
  <c r="N241" i="1"/>
  <c r="O241" i="1" s="1"/>
  <c r="I243" i="2"/>
  <c r="N238" i="1"/>
  <c r="O238" i="1" s="1"/>
  <c r="I241" i="2"/>
  <c r="I242" i="2"/>
  <c r="N236" i="1"/>
  <c r="O236" i="1" s="1"/>
  <c r="I240" i="2"/>
  <c r="N237" i="1"/>
  <c r="O237" i="1" s="1"/>
  <c r="N232" i="1"/>
  <c r="O232" i="1" s="1"/>
  <c r="I237" i="2"/>
  <c r="I238" i="2"/>
  <c r="N235" i="1"/>
  <c r="O235" i="1" s="1"/>
  <c r="I239" i="2"/>
  <c r="N233" i="1"/>
  <c r="O233" i="1" s="1"/>
  <c r="I236" i="2"/>
  <c r="N231" i="1"/>
  <c r="O231" i="1" s="1"/>
  <c r="I234" i="2"/>
  <c r="N228" i="1"/>
  <c r="O228" i="1" s="1"/>
  <c r="I235" i="2"/>
  <c r="N229" i="1"/>
  <c r="O229" i="1" s="1"/>
  <c r="I232" i="2"/>
  <c r="N221" i="1"/>
  <c r="O221" i="1" s="1"/>
  <c r="I233" i="2"/>
  <c r="N227" i="1"/>
  <c r="O227" i="1" s="1"/>
  <c r="I228" i="2"/>
  <c r="N224" i="1"/>
  <c r="O224" i="1" s="1"/>
  <c r="I230" i="2"/>
  <c r="N226" i="1"/>
  <c r="O226" i="1" s="1"/>
  <c r="I227" i="2"/>
  <c r="N223" i="1"/>
  <c r="O223" i="1" s="1"/>
  <c r="I226" i="2"/>
  <c r="N193" i="1"/>
  <c r="O193" i="1" s="1"/>
  <c r="I224" i="2"/>
  <c r="N218" i="1"/>
  <c r="O218" i="1" s="1"/>
  <c r="I225" i="2"/>
  <c r="N220" i="1"/>
  <c r="O220" i="1" s="1"/>
  <c r="I222" i="2"/>
  <c r="N217" i="1"/>
  <c r="O217" i="1" s="1"/>
  <c r="I223" i="2"/>
  <c r="N131" i="1"/>
  <c r="O131" i="1" s="1"/>
  <c r="I221" i="2"/>
  <c r="N219" i="1"/>
  <c r="O219" i="1" s="1"/>
  <c r="I218" i="2"/>
  <c r="N214" i="1"/>
  <c r="O214" i="1" s="1"/>
  <c r="I219" i="2"/>
  <c r="N216" i="1"/>
  <c r="O216" i="1" s="1"/>
  <c r="I220" i="2"/>
  <c r="N215" i="1"/>
  <c r="O215" i="1" s="1"/>
  <c r="I215" i="2"/>
  <c r="N211" i="1"/>
  <c r="O211" i="1" s="1"/>
  <c r="I216" i="2"/>
  <c r="N213" i="1"/>
  <c r="O213" i="1" s="1"/>
  <c r="I217" i="2"/>
  <c r="N209" i="1"/>
  <c r="O209" i="1" s="1"/>
  <c r="I214" i="2"/>
  <c r="N210" i="1"/>
  <c r="O210" i="1" s="1"/>
  <c r="I213" i="2"/>
  <c r="N208" i="1"/>
  <c r="O208" i="1" s="1"/>
  <c r="I212" i="2"/>
  <c r="N207" i="1"/>
  <c r="O207" i="1" s="1"/>
  <c r="I210" i="2"/>
  <c r="N204" i="1"/>
  <c r="O204" i="1" s="1"/>
  <c r="I211" i="2"/>
  <c r="N205" i="1"/>
  <c r="O205" i="1" s="1"/>
  <c r="I209" i="2"/>
  <c r="N201" i="1"/>
  <c r="O201" i="1" s="1"/>
  <c r="I208" i="2"/>
  <c r="N203" i="1"/>
  <c r="O203" i="1" s="1"/>
  <c r="I206" i="2"/>
  <c r="N202" i="1"/>
  <c r="O202" i="1" s="1"/>
  <c r="I203" i="2"/>
  <c r="N198" i="1"/>
  <c r="O198" i="1" s="1"/>
  <c r="I204" i="2"/>
  <c r="N200" i="1"/>
  <c r="O200" i="1" s="1"/>
  <c r="I205" i="2"/>
  <c r="N199" i="1"/>
  <c r="O199" i="1" s="1"/>
  <c r="I202" i="2"/>
  <c r="N197" i="1"/>
  <c r="O197" i="1" s="1"/>
  <c r="I199" i="2"/>
  <c r="N194" i="1"/>
  <c r="O194" i="1" s="1"/>
  <c r="I200" i="2"/>
  <c r="N196" i="1"/>
  <c r="O196" i="1" s="1"/>
  <c r="I197" i="2"/>
  <c r="N191" i="1"/>
  <c r="O191" i="1" s="1"/>
  <c r="I198" i="2"/>
  <c r="N192" i="1"/>
  <c r="O192" i="1" s="1"/>
  <c r="I195" i="2"/>
  <c r="N190" i="1"/>
  <c r="O190" i="1" s="1"/>
  <c r="I196" i="2"/>
  <c r="N189" i="1"/>
  <c r="O189" i="1" s="1"/>
  <c r="I194" i="2"/>
  <c r="N188" i="1"/>
  <c r="O188" i="1" s="1"/>
  <c r="I193" i="2"/>
  <c r="N186" i="1"/>
  <c r="O186" i="1" s="1"/>
  <c r="I191" i="2"/>
  <c r="N179" i="1"/>
  <c r="O179" i="1" s="1"/>
  <c r="I192" i="2"/>
  <c r="N184" i="1"/>
  <c r="O184" i="1" s="1"/>
  <c r="I189" i="2"/>
  <c r="N183" i="1"/>
  <c r="O183" i="1" s="1"/>
  <c r="I190" i="2"/>
  <c r="N182" i="1"/>
  <c r="O182" i="1" s="1"/>
  <c r="I186" i="2"/>
  <c r="N180" i="1"/>
  <c r="O180" i="1" s="1"/>
  <c r="I187" i="2"/>
  <c r="N181" i="1"/>
  <c r="O181" i="1" s="1"/>
  <c r="I188" i="2"/>
  <c r="N162" i="1"/>
  <c r="O162" i="1" s="1"/>
  <c r="N114" i="1"/>
  <c r="O114" i="1" s="1"/>
  <c r="I184" i="2"/>
  <c r="I181" i="2"/>
  <c r="N178" i="1"/>
  <c r="O178" i="1" s="1"/>
  <c r="I179" i="2"/>
  <c r="N157" i="1"/>
  <c r="O157" i="1" s="1"/>
  <c r="I180" i="2"/>
  <c r="N174" i="1"/>
  <c r="O174" i="1" s="1"/>
  <c r="I178" i="2"/>
  <c r="N177" i="1"/>
  <c r="O177" i="1" s="1"/>
  <c r="I177" i="2"/>
  <c r="N176" i="1"/>
  <c r="O176" i="1" s="1"/>
  <c r="I175" i="2"/>
  <c r="N173" i="1"/>
  <c r="O173" i="1" s="1"/>
  <c r="I176" i="2"/>
  <c r="N175" i="1"/>
  <c r="O175" i="1" s="1"/>
  <c r="I172" i="2"/>
  <c r="N148" i="1"/>
  <c r="O148" i="1" s="1"/>
  <c r="I173" i="2"/>
  <c r="N172" i="1"/>
  <c r="O172" i="1" s="1"/>
  <c r="N116" i="1"/>
  <c r="O116" i="1" s="1"/>
  <c r="N171" i="1"/>
  <c r="O171" i="1" s="1"/>
  <c r="N170" i="1"/>
  <c r="O170" i="1" s="1"/>
  <c r="N168" i="1"/>
  <c r="O168" i="1" s="1"/>
  <c r="N169" i="1"/>
  <c r="O169" i="1" s="1"/>
  <c r="N164" i="1"/>
  <c r="O164" i="1" s="1"/>
  <c r="N167" i="1"/>
  <c r="O167" i="1" s="1"/>
  <c r="N159" i="1"/>
  <c r="O159" i="1" s="1"/>
  <c r="N165" i="1"/>
  <c r="O165" i="1" s="1"/>
  <c r="N166" i="1"/>
  <c r="O166" i="1" s="1"/>
  <c r="N160" i="1"/>
  <c r="O160" i="1" s="1"/>
  <c r="N163" i="1"/>
  <c r="O163" i="1" s="1"/>
  <c r="N161" i="1"/>
  <c r="O161" i="1" s="1"/>
  <c r="N145" i="1"/>
  <c r="O145" i="1" s="1"/>
  <c r="N158" i="1"/>
  <c r="O158" i="1" s="1"/>
  <c r="N154" i="1"/>
  <c r="O154" i="1" s="1"/>
  <c r="N156" i="1"/>
  <c r="O156" i="1" s="1"/>
  <c r="N155" i="1"/>
  <c r="O155" i="1" s="1"/>
  <c r="N144" i="1"/>
  <c r="O144" i="1" s="1"/>
  <c r="N153" i="1"/>
  <c r="O153" i="1" s="1"/>
  <c r="N152" i="1"/>
  <c r="O152" i="1" s="1"/>
  <c r="N151" i="1"/>
  <c r="O151" i="1" s="1"/>
  <c r="N107" i="1"/>
  <c r="O107" i="1" s="1"/>
  <c r="N133" i="1"/>
  <c r="O133" i="1" s="1"/>
  <c r="N150" i="1"/>
  <c r="O150" i="1" s="1"/>
  <c r="N149" i="1"/>
  <c r="O149" i="1" s="1"/>
  <c r="N137" i="1"/>
  <c r="O137" i="1" s="1"/>
  <c r="N147" i="1"/>
  <c r="O147" i="1" s="1"/>
  <c r="N146" i="1"/>
  <c r="O146" i="1" s="1"/>
  <c r="N142" i="1"/>
  <c r="O142" i="1" s="1"/>
  <c r="N118" i="1"/>
  <c r="O118" i="1" s="1"/>
  <c r="N143" i="1"/>
  <c r="O143" i="1" s="1"/>
  <c r="N141" i="1"/>
  <c r="O141" i="1" s="1"/>
  <c r="N140" i="1"/>
  <c r="O140" i="1" s="1"/>
  <c r="N139" i="1"/>
  <c r="O139" i="1" s="1"/>
  <c r="N134" i="1"/>
  <c r="O134" i="1" s="1"/>
  <c r="N132" i="1"/>
  <c r="O132" i="1" s="1"/>
  <c r="N111" i="1"/>
  <c r="O111" i="1" s="1"/>
  <c r="N138" i="1"/>
  <c r="O138" i="1" s="1"/>
  <c r="N136" i="1"/>
  <c r="O136" i="1" s="1"/>
  <c r="N135" i="1"/>
  <c r="O135" i="1" s="1"/>
  <c r="N104" i="1"/>
  <c r="O104" i="1" s="1"/>
  <c r="N128" i="1"/>
  <c r="O128" i="1" s="1"/>
  <c r="N129" i="1"/>
  <c r="O129" i="1" s="1"/>
  <c r="N126" i="1"/>
  <c r="O126" i="1" s="1"/>
  <c r="N125" i="1"/>
  <c r="O125" i="1" s="1"/>
  <c r="N127" i="1"/>
  <c r="O127" i="1" s="1"/>
  <c r="N124" i="1"/>
  <c r="O124" i="1" s="1"/>
  <c r="N103" i="1"/>
  <c r="O103" i="1" s="1"/>
  <c r="N123" i="1"/>
  <c r="O123" i="1" s="1"/>
  <c r="N122" i="1"/>
  <c r="O122" i="1" s="1"/>
  <c r="N121" i="1"/>
  <c r="O121" i="1" s="1"/>
  <c r="N105" i="1"/>
  <c r="O105" i="1" s="1"/>
  <c r="N120" i="1"/>
  <c r="O120" i="1" s="1"/>
  <c r="N119" i="1"/>
  <c r="O119" i="1" s="1"/>
  <c r="N117" i="1"/>
  <c r="O117" i="1" s="1"/>
  <c r="N113" i="1"/>
  <c r="N112" i="1"/>
  <c r="O112" i="1" s="1"/>
  <c r="N115" i="1"/>
  <c r="O115" i="1" s="1"/>
  <c r="N108" i="1"/>
  <c r="O108" i="1" s="1"/>
  <c r="N110" i="1"/>
  <c r="O110" i="1" s="1"/>
  <c r="N106" i="1"/>
  <c r="O106" i="1" s="1"/>
  <c r="N109" i="1"/>
  <c r="O109" i="1" s="1"/>
  <c r="N102" i="1"/>
  <c r="O102" i="1" s="1"/>
  <c r="N101" i="1"/>
  <c r="O101" i="1" s="1"/>
  <c r="N96" i="1"/>
  <c r="O96" i="1" s="1"/>
  <c r="N100" i="1"/>
  <c r="O100" i="1" s="1"/>
  <c r="N99" i="1"/>
  <c r="O99" i="1" s="1"/>
  <c r="N98" i="1"/>
  <c r="O98" i="1" s="1"/>
  <c r="N97" i="1"/>
  <c r="O97" i="1" s="1"/>
  <c r="N95" i="1"/>
  <c r="O95" i="1" s="1"/>
  <c r="N94" i="1"/>
  <c r="O94" i="1" s="1"/>
  <c r="O797" i="1" l="1"/>
  <c r="F8" i="4" s="1"/>
  <c r="D8" i="4"/>
  <c r="H8" i="4"/>
  <c r="C8" i="4"/>
  <c r="E8" i="4" s="1"/>
  <c r="O660" i="1"/>
  <c r="F15" i="4" s="1"/>
  <c r="D15" i="4"/>
  <c r="C15" i="4"/>
  <c r="E15" i="4" s="1"/>
  <c r="H15" i="4"/>
  <c r="O623" i="1"/>
  <c r="O113" i="1"/>
  <c r="F3" i="4" s="1"/>
  <c r="D3" i="4"/>
  <c r="C3" i="4"/>
  <c r="E3" i="4" s="1"/>
  <c r="H3" i="4"/>
  <c r="B2" i="4"/>
  <c r="A2" i="2"/>
  <c r="L1" i="2" s="1"/>
  <c r="G8" i="4" l="1"/>
  <c r="I8" i="4"/>
  <c r="I15" i="4"/>
  <c r="G15" i="4"/>
  <c r="G3" i="4"/>
  <c r="I3" i="4"/>
  <c r="N75" i="1"/>
  <c r="O75" i="1" s="1"/>
  <c r="N89" i="1"/>
  <c r="O89" i="1" s="1"/>
  <c r="N91" i="1"/>
  <c r="O91" i="1" s="1"/>
  <c r="N90" i="1"/>
  <c r="O90" i="1" s="1"/>
  <c r="N93" i="1"/>
  <c r="O93" i="1" s="1"/>
  <c r="N72" i="1"/>
  <c r="O72" i="1" s="1"/>
  <c r="N80" i="1"/>
  <c r="O80" i="1" s="1"/>
  <c r="N47" i="1"/>
  <c r="O47" i="1" s="1"/>
  <c r="N3" i="1"/>
  <c r="N87" i="1"/>
  <c r="O87" i="1" s="1"/>
  <c r="N66" i="1"/>
  <c r="O66" i="1" s="1"/>
  <c r="N40" i="1"/>
  <c r="O40" i="1" s="1"/>
  <c r="N38" i="1"/>
  <c r="O38" i="1" s="1"/>
  <c r="N17" i="1"/>
  <c r="N12" i="1"/>
  <c r="O12" i="1" s="1"/>
  <c r="N11" i="1"/>
  <c r="O11" i="1" s="1"/>
  <c r="N65" i="1"/>
  <c r="O65" i="1" s="1"/>
  <c r="N36" i="1"/>
  <c r="O36" i="1" s="1"/>
  <c r="N2" i="1"/>
  <c r="N70" i="1"/>
  <c r="N56" i="1"/>
  <c r="O56" i="1" s="1"/>
  <c r="N50" i="1"/>
  <c r="O50" i="1" s="1"/>
  <c r="N49" i="1"/>
  <c r="O49" i="1" s="1"/>
  <c r="N14" i="1"/>
  <c r="O14" i="1" s="1"/>
  <c r="N44" i="1"/>
  <c r="O44" i="1" s="1"/>
  <c r="N18" i="1"/>
  <c r="N28" i="1"/>
  <c r="O28" i="1" s="1"/>
  <c r="N51" i="1"/>
  <c r="O51" i="1" s="1"/>
  <c r="N61" i="1"/>
  <c r="O61" i="1" s="1"/>
  <c r="N86" i="1"/>
  <c r="O86" i="1" s="1"/>
  <c r="N84" i="1"/>
  <c r="O84" i="1" s="1"/>
  <c r="N48" i="1"/>
  <c r="O48" i="1" s="1"/>
  <c r="N20" i="1"/>
  <c r="O20" i="1" s="1"/>
  <c r="N23" i="1"/>
  <c r="O23" i="1" s="1"/>
  <c r="N25" i="1"/>
  <c r="O25" i="1" s="1"/>
  <c r="N21" i="1"/>
  <c r="O21" i="1" s="1"/>
  <c r="N10" i="1"/>
  <c r="O10" i="1" s="1"/>
  <c r="N7" i="1"/>
  <c r="N26" i="1"/>
  <c r="O26" i="1" s="1"/>
  <c r="N62" i="1"/>
  <c r="O62" i="1" s="1"/>
  <c r="N54" i="1"/>
  <c r="O54" i="1" s="1"/>
  <c r="N46" i="1"/>
  <c r="O46" i="1" s="1"/>
  <c r="N9" i="1"/>
  <c r="O9" i="1" s="1"/>
  <c r="N35" i="1"/>
  <c r="O35" i="1" s="1"/>
  <c r="N30" i="1"/>
  <c r="O30" i="1" s="1"/>
  <c r="N71" i="1"/>
  <c r="O71" i="1" s="1"/>
  <c r="N31" i="1"/>
  <c r="N43" i="1"/>
  <c r="O43" i="1" s="1"/>
  <c r="N39" i="1"/>
  <c r="O39" i="1" s="1"/>
  <c r="N92" i="1"/>
  <c r="O92" i="1" s="1"/>
  <c r="N85" i="1"/>
  <c r="O85" i="1" s="1"/>
  <c r="N41" i="1"/>
  <c r="O41" i="1" s="1"/>
  <c r="N63" i="1"/>
  <c r="O63" i="1" s="1"/>
  <c r="N16" i="1"/>
  <c r="O16" i="1" s="1"/>
  <c r="N27" i="1"/>
  <c r="O27" i="1" s="1"/>
  <c r="N4" i="1"/>
  <c r="N8" i="1"/>
  <c r="O8" i="1" s="1"/>
  <c r="N37" i="1"/>
  <c r="O37" i="1" s="1"/>
  <c r="N5" i="1"/>
  <c r="O5" i="1" s="1"/>
  <c r="N64" i="1"/>
  <c r="O64" i="1" s="1"/>
  <c r="N58" i="1"/>
  <c r="O58" i="1" s="1"/>
  <c r="N42" i="1"/>
  <c r="O42" i="1" s="1"/>
  <c r="N52" i="1"/>
  <c r="O52" i="1" s="1"/>
  <c r="N34" i="1"/>
  <c r="O34" i="1" s="1"/>
  <c r="N33" i="1"/>
  <c r="O33" i="1" s="1"/>
  <c r="N13" i="1"/>
  <c r="O13" i="1" s="1"/>
  <c r="N24" i="1"/>
  <c r="O24" i="1" s="1"/>
  <c r="N82" i="1"/>
  <c r="O82" i="1" s="1"/>
  <c r="N67" i="1"/>
  <c r="O67" i="1" s="1"/>
  <c r="N53" i="1"/>
  <c r="O53" i="1" s="1"/>
  <c r="N76" i="1"/>
  <c r="O76" i="1" s="1"/>
  <c r="N45" i="1"/>
  <c r="O45" i="1" s="1"/>
  <c r="N29" i="1"/>
  <c r="O29" i="1" s="1"/>
  <c r="N19" i="1"/>
  <c r="N88" i="1"/>
  <c r="O88" i="1" s="1"/>
  <c r="N81" i="1"/>
  <c r="O81" i="1" s="1"/>
  <c r="N73" i="1"/>
  <c r="O73" i="1" s="1"/>
  <c r="N68" i="1"/>
  <c r="O68" i="1" s="1"/>
  <c r="N69" i="1"/>
  <c r="O69" i="1" s="1"/>
  <c r="N6" i="1"/>
  <c r="O6" i="1" s="1"/>
  <c r="N22" i="1"/>
  <c r="O22" i="1" s="1"/>
  <c r="N79" i="1"/>
  <c r="O79" i="1" s="1"/>
  <c r="N78" i="1"/>
  <c r="O78" i="1" s="1"/>
  <c r="N55" i="1"/>
  <c r="O55" i="1" s="1"/>
  <c r="N74" i="1"/>
  <c r="O74" i="1" s="1"/>
  <c r="N32" i="1"/>
  <c r="O32" i="1" s="1"/>
  <c r="N83" i="1"/>
  <c r="O83" i="1" s="1"/>
  <c r="N60" i="1"/>
  <c r="O60" i="1" s="1"/>
  <c r="N57" i="1"/>
  <c r="O57" i="1" s="1"/>
  <c r="N15" i="1"/>
  <c r="O15" i="1" s="1"/>
  <c r="N59" i="1"/>
  <c r="O59" i="1" s="1"/>
  <c r="N77" i="1"/>
  <c r="O2" i="1" l="1"/>
  <c r="F12" i="4" s="1"/>
  <c r="B7" i="6"/>
  <c r="B8" i="6" s="1"/>
  <c r="O70" i="1"/>
  <c r="F7" i="4" s="1"/>
  <c r="D7" i="4"/>
  <c r="C7" i="4"/>
  <c r="E7" i="4" s="1"/>
  <c r="H7" i="4"/>
  <c r="O17" i="1"/>
  <c r="F13" i="4" s="1"/>
  <c r="D13" i="4"/>
  <c r="H13" i="4"/>
  <c r="C13" i="4"/>
  <c r="E13" i="4" s="1"/>
  <c r="O3" i="1"/>
  <c r="F11" i="4" s="1"/>
  <c r="D11" i="4"/>
  <c r="C11" i="4"/>
  <c r="E11" i="4" s="1"/>
  <c r="H11" i="4"/>
  <c r="D5" i="4"/>
  <c r="H5" i="4"/>
  <c r="O7" i="1"/>
  <c r="F5" i="4" s="1"/>
  <c r="C5" i="4"/>
  <c r="E5" i="4" s="1"/>
  <c r="O31" i="1"/>
  <c r="F4" i="4" s="1"/>
  <c r="D4" i="4"/>
  <c r="C4" i="4"/>
  <c r="E4" i="4" s="1"/>
  <c r="H4" i="4"/>
  <c r="O77" i="1"/>
  <c r="F6" i="4" s="1"/>
  <c r="D6" i="4"/>
  <c r="C6" i="4"/>
  <c r="E6" i="4" s="1"/>
  <c r="H6" i="4"/>
  <c r="O19" i="1"/>
  <c r="F14" i="4" s="1"/>
  <c r="C14" i="4"/>
  <c r="E14" i="4" s="1"/>
  <c r="D14" i="4"/>
  <c r="H14" i="4"/>
  <c r="O18" i="1"/>
  <c r="F10" i="4" s="1"/>
  <c r="C10" i="4"/>
  <c r="E10" i="4" s="1"/>
  <c r="H10" i="4"/>
  <c r="D10" i="4"/>
  <c r="O4" i="1"/>
  <c r="F2" i="4" s="1"/>
  <c r="C2" i="4"/>
  <c r="E2" i="4" s="1"/>
  <c r="D2" i="4"/>
  <c r="H2" i="4"/>
  <c r="B2" i="6"/>
  <c r="I7" i="4" l="1"/>
  <c r="G7" i="4"/>
  <c r="B4" i="6"/>
  <c r="B5" i="6"/>
  <c r="G4" i="4"/>
  <c r="I4" i="4"/>
  <c r="I5" i="4"/>
  <c r="G5" i="4"/>
  <c r="G2" i="4"/>
  <c r="I2" i="4"/>
  <c r="G10" i="4"/>
  <c r="I10" i="4"/>
  <c r="G14" i="4"/>
  <c r="I14" i="4"/>
  <c r="G11" i="4"/>
  <c r="I11" i="4"/>
  <c r="G6" i="4"/>
  <c r="I6" i="4"/>
  <c r="I13" i="4"/>
  <c r="G13" i="4"/>
  <c r="I12" i="4"/>
  <c r="B14" i="6"/>
  <c r="B6" i="6"/>
  <c r="B13" i="6"/>
  <c r="B12" i="6"/>
  <c r="B11" i="6"/>
  <c r="B3" i="6"/>
  <c r="C12" i="4"/>
  <c r="E12" i="4" s="1"/>
  <c r="D12" i="4"/>
  <c r="H12" i="4"/>
  <c r="G12" i="4" l="1"/>
</calcChain>
</file>

<file path=xl/sharedStrings.xml><?xml version="1.0" encoding="utf-8"?>
<sst xmlns="http://schemas.openxmlformats.org/spreadsheetml/2006/main" count="5434" uniqueCount="1153">
  <si>
    <t>Trade_ID</t>
  </si>
  <si>
    <t>Date</t>
  </si>
  <si>
    <t>Ticker</t>
  </si>
  <si>
    <t>Setup</t>
  </si>
  <si>
    <t>Initial Stop</t>
  </si>
  <si>
    <t>Total R</t>
  </si>
  <si>
    <t>Notes</t>
  </si>
  <si>
    <t>Exec_ID</t>
  </si>
  <si>
    <t>P&amp;L</t>
  </si>
  <si>
    <t>R Contribution</t>
  </si>
  <si>
    <t>Mistake_Type</t>
  </si>
  <si>
    <t>Preventable</t>
  </si>
  <si>
    <t>Win Rate</t>
  </si>
  <si>
    <t>Profit Factor</t>
  </si>
  <si>
    <t>Ending Equity</t>
  </si>
  <si>
    <t>Sleep Quality</t>
  </si>
  <si>
    <t>Focus Level</t>
  </si>
  <si>
    <t>Total Trades:</t>
  </si>
  <si>
    <t>Win Rate:</t>
  </si>
  <si>
    <t>Core Stats</t>
  </si>
  <si>
    <t>Avg R:</t>
  </si>
  <si>
    <t xml:space="preserve">Total R: </t>
  </si>
  <si>
    <t>Risk Metrics</t>
  </si>
  <si>
    <t>Max Win:</t>
  </si>
  <si>
    <t>Max Loss:</t>
  </si>
  <si>
    <t>Avg Win:</t>
  </si>
  <si>
    <t>Avg Loss:</t>
  </si>
  <si>
    <t>Reversal</t>
  </si>
  <si>
    <t>Long</t>
  </si>
  <si>
    <t>Breakout</t>
  </si>
  <si>
    <t>Action</t>
  </si>
  <si>
    <t>Status</t>
  </si>
  <si>
    <t>Shares Closed</t>
  </si>
  <si>
    <t>Date Opened</t>
  </si>
  <si>
    <t>Direction</t>
  </si>
  <si>
    <t>Entry Price</t>
  </si>
  <si>
    <t>Position Size (shares)</t>
  </si>
  <si>
    <t>Planned R Target</t>
  </si>
  <si>
    <t>Execution Price</t>
  </si>
  <si>
    <t>Setup Name</t>
  </si>
  <si>
    <t>Total Trades</t>
  </si>
  <si>
    <t>Expectancy</t>
  </si>
  <si>
    <t>Cost in R</t>
  </si>
  <si>
    <t>Starting Balance</t>
  </si>
  <si>
    <t>Daily R</t>
  </si>
  <si>
    <t>Emotions</t>
  </si>
  <si>
    <t>Disciplince Score</t>
  </si>
  <si>
    <t>Market Contition</t>
  </si>
  <si>
    <t>Lessons</t>
  </si>
  <si>
    <t>Pullback</t>
  </si>
  <si>
    <t>Range Break</t>
  </si>
  <si>
    <t>Earning Play</t>
  </si>
  <si>
    <t xml:space="preserve"> A+ Setup</t>
  </si>
  <si>
    <t>Buy the Dip</t>
  </si>
  <si>
    <t>Other</t>
  </si>
  <si>
    <t>Wins</t>
  </si>
  <si>
    <t>Losses</t>
  </si>
  <si>
    <t>Avg R per Trade</t>
  </si>
  <si>
    <t>Trend Continuation</t>
  </si>
  <si>
    <t>ONDS</t>
  </si>
  <si>
    <t>CT Reversal</t>
  </si>
  <si>
    <t>Sell</t>
  </si>
  <si>
    <t>Technical</t>
  </si>
  <si>
    <t>No</t>
  </si>
  <si>
    <t>MACD never got confirmation after a try for continuation</t>
  </si>
  <si>
    <t>Most indexes are green, VIX open above 20, but it dropped to 19, still high</t>
  </si>
  <si>
    <t>I sceened for entries all they long, but there is few A+ options, the market shows a lot of volatility</t>
  </si>
  <si>
    <t>Good</t>
  </si>
  <si>
    <t>High</t>
  </si>
  <si>
    <t>4/5</t>
  </si>
  <si>
    <t>T-001</t>
  </si>
  <si>
    <t>DNN</t>
  </si>
  <si>
    <t>Closed</t>
  </si>
  <si>
    <t>TMDX</t>
  </si>
  <si>
    <t>NG</t>
  </si>
  <si>
    <t>T-004</t>
  </si>
  <si>
    <t>ATEC</t>
  </si>
  <si>
    <t>T-002</t>
  </si>
  <si>
    <t>Yes</t>
  </si>
  <si>
    <t>It was closed with earnings, but the entry was timed because I didn't consider earnings release</t>
  </si>
  <si>
    <t>Calm, reduce portfolio, but difficulty to find entries</t>
  </si>
  <si>
    <t>The indexes are gren again, VIX is around 18 levels</t>
  </si>
  <si>
    <t>It is important to consider earnings release before opening positions, today it was a couple of risky entry that luckily worked out</t>
  </si>
  <si>
    <t>Medium</t>
  </si>
  <si>
    <t>The stocks picked are holding the volatility, butit didn't grow</t>
  </si>
  <si>
    <t>The market started green, but the earnings released by NVDA added more uncertainty about the AI and it has increased the volatility, VIX has gone over 20 again and the market is falling in general</t>
  </si>
  <si>
    <t>ROKU</t>
  </si>
  <si>
    <t>OKLO</t>
  </si>
  <si>
    <t>Several entries with .25 risk per trade, they seem to be in good momentum since I am trying to enter after bouncing</t>
  </si>
  <si>
    <t>5/5</t>
  </si>
  <si>
    <t>Patience for entries are everything</t>
  </si>
  <si>
    <t>Most of the market opened with a gap down, and it is mostly falling, VIX is over 20 again but this time there is no a clear trigger, most likely is related with AI concerns that have been increasing the volatility in recent</t>
  </si>
  <si>
    <t>Low</t>
  </si>
  <si>
    <t>Despite the market falling, most of the stocks selected are showing strength I bought them from a relative slow aiming to a counter trend reversal or reversal, for the moment most of the stocks are working which leaves me at easy. Is pretty likely that the portfolio will drop during the day. At the end I manage to do a marginal increase of 15 bucks</t>
  </si>
  <si>
    <t>Look for entries in the structure, not the price, it is what is working.</t>
  </si>
  <si>
    <t>MNST</t>
  </si>
  <si>
    <t>T-008</t>
  </si>
  <si>
    <t>UUUU</t>
  </si>
  <si>
    <t>NRT</t>
  </si>
  <si>
    <t>T-011</t>
  </si>
  <si>
    <t>TJX</t>
  </si>
  <si>
    <t>APPS</t>
  </si>
  <si>
    <t>KTOS</t>
  </si>
  <si>
    <t>Planned Profit Target</t>
  </si>
  <si>
    <t>T-005</t>
  </si>
  <si>
    <t>LULU</t>
  </si>
  <si>
    <t>T-014</t>
  </si>
  <si>
    <t>T-009</t>
  </si>
  <si>
    <t>T-007</t>
  </si>
  <si>
    <t>T-003</t>
  </si>
  <si>
    <t>IHS</t>
  </si>
  <si>
    <t>AVBP</t>
  </si>
  <si>
    <t>Short Squeeze</t>
  </si>
  <si>
    <t>T-012</t>
  </si>
  <si>
    <t>T-015</t>
  </si>
  <si>
    <t>IHS is showing a recovery but todays earnings were negative I decided to exit before any negative move might happen if I lose the trend, be it, there is too much risk in current market environment</t>
  </si>
  <si>
    <t>The war in Iran has caused the oil to pike and the market to go down, until last Friday, there were 6 consecutive red days for the main indexes in the market, it clearly hit me hard</t>
  </si>
  <si>
    <t>I have trading really few regarding the last drops that the market has experienced, I feel really down, but I am avoiding any behavior that could compromise my capital</t>
  </si>
  <si>
    <t>BDX</t>
  </si>
  <si>
    <t>Mean reversion</t>
  </si>
  <si>
    <t>QBTS</t>
  </si>
  <si>
    <t>T-019</t>
  </si>
  <si>
    <t>T-016</t>
  </si>
  <si>
    <t>XLE</t>
  </si>
  <si>
    <t>T-018</t>
  </si>
  <si>
    <t>The market is really choppy and I didn't wait for confirmation, at the end, what it was looking as a potential bounce, finish by falling back, and not recovering.</t>
  </si>
  <si>
    <t>T-013</t>
  </si>
  <si>
    <t>T-017</t>
  </si>
  <si>
    <t>ROST</t>
  </si>
  <si>
    <t>FROG</t>
  </si>
  <si>
    <t>AMD</t>
  </si>
  <si>
    <t>T-023</t>
  </si>
  <si>
    <t>T-022</t>
  </si>
  <si>
    <t>BBY</t>
  </si>
  <si>
    <t>T-024</t>
  </si>
  <si>
    <t>ARM</t>
  </si>
  <si>
    <t>TSN</t>
  </si>
  <si>
    <t>T-025</t>
  </si>
  <si>
    <t>NUE</t>
  </si>
  <si>
    <t>T-028</t>
  </si>
  <si>
    <t>T-006</t>
  </si>
  <si>
    <t>LGN</t>
  </si>
  <si>
    <t>T-029</t>
  </si>
  <si>
    <t>AGX</t>
  </si>
  <si>
    <t>T-030</t>
  </si>
  <si>
    <t>WMT</t>
  </si>
  <si>
    <t>T-010</t>
  </si>
  <si>
    <t>AA</t>
  </si>
  <si>
    <t>T-020</t>
  </si>
  <si>
    <t>T-032</t>
  </si>
  <si>
    <t>UEC</t>
  </si>
  <si>
    <t>CENX</t>
  </si>
  <si>
    <t>T-034</t>
  </si>
  <si>
    <t>PZG</t>
  </si>
  <si>
    <t>GOOG</t>
  </si>
  <si>
    <t>T-037</t>
  </si>
  <si>
    <t>T-026</t>
  </si>
  <si>
    <t>XOM</t>
  </si>
  <si>
    <t>T-038</t>
  </si>
  <si>
    <t>LEXX</t>
  </si>
  <si>
    <t>T-035</t>
  </si>
  <si>
    <t>INTC</t>
  </si>
  <si>
    <t>T-041</t>
  </si>
  <si>
    <t>T-042</t>
  </si>
  <si>
    <t>NVDA</t>
  </si>
  <si>
    <t>T-043</t>
  </si>
  <si>
    <t>T-044</t>
  </si>
  <si>
    <t>SCHD</t>
  </si>
  <si>
    <t>T-021</t>
  </si>
  <si>
    <t>APLD</t>
  </si>
  <si>
    <t>T-045</t>
  </si>
  <si>
    <t>T-039</t>
  </si>
  <si>
    <t>T-048</t>
  </si>
  <si>
    <t>PLTR</t>
  </si>
  <si>
    <t>GILD</t>
  </si>
  <si>
    <t>T-054</t>
  </si>
  <si>
    <t>T-027</t>
  </si>
  <si>
    <t>CELH</t>
  </si>
  <si>
    <t>T-056</t>
  </si>
  <si>
    <t>SNOW</t>
  </si>
  <si>
    <t>T-058</t>
  </si>
  <si>
    <t>PATH</t>
  </si>
  <si>
    <t>T-057</t>
  </si>
  <si>
    <t>T-031</t>
  </si>
  <si>
    <t>T-033</t>
  </si>
  <si>
    <t>T-053</t>
  </si>
  <si>
    <t>AMZN</t>
  </si>
  <si>
    <t>CLX</t>
  </si>
  <si>
    <t>T-059</t>
  </si>
  <si>
    <t>T-060</t>
  </si>
  <si>
    <t>T-061</t>
  </si>
  <si>
    <t>T-049</t>
  </si>
  <si>
    <t>T-047</t>
  </si>
  <si>
    <t>MRVL</t>
  </si>
  <si>
    <t>T-055</t>
  </si>
  <si>
    <t>T-062</t>
  </si>
  <si>
    <t>T-063</t>
  </si>
  <si>
    <t>MDT</t>
  </si>
  <si>
    <t>KO</t>
  </si>
  <si>
    <t>T-064</t>
  </si>
  <si>
    <t>Realized P&amp;L</t>
  </si>
  <si>
    <t>Realized R</t>
  </si>
  <si>
    <t>SOUN</t>
  </si>
  <si>
    <t>T-065</t>
  </si>
  <si>
    <t>T-070</t>
  </si>
  <si>
    <t>T-068</t>
  </si>
  <si>
    <t>AMPY</t>
  </si>
  <si>
    <t>SMCI</t>
  </si>
  <si>
    <t>T-073</t>
  </si>
  <si>
    <t>T-051</t>
  </si>
  <si>
    <t>CADL</t>
  </si>
  <si>
    <t>RCAT</t>
  </si>
  <si>
    <t>T-072</t>
  </si>
  <si>
    <t>QS</t>
  </si>
  <si>
    <t>T-066</t>
  </si>
  <si>
    <t>T-052</t>
  </si>
  <si>
    <t>T-075</t>
  </si>
  <si>
    <t>T-076</t>
  </si>
  <si>
    <t>T-077</t>
  </si>
  <si>
    <t>T-067</t>
  </si>
  <si>
    <t>T-078</t>
  </si>
  <si>
    <t>T-040</t>
  </si>
  <si>
    <t>T-069</t>
  </si>
  <si>
    <t>NRDS</t>
  </si>
  <si>
    <t>T-050</t>
  </si>
  <si>
    <t>QCOM</t>
  </si>
  <si>
    <t>T-085</t>
  </si>
  <si>
    <t>T-086</t>
  </si>
  <si>
    <t>T-083</t>
  </si>
  <si>
    <t>T-087</t>
  </si>
  <si>
    <t>T-082</t>
  </si>
  <si>
    <t>T-036</t>
  </si>
  <si>
    <t>T-080</t>
  </si>
  <si>
    <t>MSFT</t>
  </si>
  <si>
    <t>ASTS</t>
  </si>
  <si>
    <t>SANM</t>
  </si>
  <si>
    <t>T-090</t>
  </si>
  <si>
    <t>T-091</t>
  </si>
  <si>
    <t>T-081</t>
  </si>
  <si>
    <t>SEI</t>
  </si>
  <si>
    <t>T-092</t>
  </si>
  <si>
    <t>T-093</t>
  </si>
  <si>
    <t>KOPN</t>
  </si>
  <si>
    <t>V</t>
  </si>
  <si>
    <t>T-094</t>
  </si>
  <si>
    <t>STX</t>
  </si>
  <si>
    <t>T-096</t>
  </si>
  <si>
    <t>T-097</t>
  </si>
  <si>
    <t>T-098</t>
  </si>
  <si>
    <t>T-099</t>
  </si>
  <si>
    <t>T-089</t>
  </si>
  <si>
    <t>T-095</t>
  </si>
  <si>
    <t>T-100</t>
  </si>
  <si>
    <t>T-101</t>
  </si>
  <si>
    <t>FSLY</t>
  </si>
  <si>
    <t>AAPL</t>
  </si>
  <si>
    <t>EL</t>
  </si>
  <si>
    <t>T-105</t>
  </si>
  <si>
    <t>T-108</t>
  </si>
  <si>
    <t>T-107</t>
  </si>
  <si>
    <t>T-109</t>
  </si>
  <si>
    <t>ABTC</t>
  </si>
  <si>
    <t>ASM</t>
  </si>
  <si>
    <t>T-111</t>
  </si>
  <si>
    <t>EBAY</t>
  </si>
  <si>
    <t>T-115</t>
  </si>
  <si>
    <t>T-112</t>
  </si>
  <si>
    <t>T-046</t>
  </si>
  <si>
    <t>T-088</t>
  </si>
  <si>
    <t>ASAN</t>
  </si>
  <si>
    <t>T-116</t>
  </si>
  <si>
    <t>AMAT</t>
  </si>
  <si>
    <t>T-118</t>
  </si>
  <si>
    <t>T-119</t>
  </si>
  <si>
    <t>T-120</t>
  </si>
  <si>
    <t>T-104</t>
  </si>
  <si>
    <t>T-121</t>
  </si>
  <si>
    <t>T-102</t>
  </si>
  <si>
    <t>T-122</t>
  </si>
  <si>
    <t>MU</t>
  </si>
  <si>
    <t>T-123</t>
  </si>
  <si>
    <t>T-124</t>
  </si>
  <si>
    <t>T-125</t>
  </si>
  <si>
    <t>T-126</t>
  </si>
  <si>
    <t>T-127</t>
  </si>
  <si>
    <t>T-128</t>
  </si>
  <si>
    <t>T-071</t>
  </si>
  <si>
    <t>RKT</t>
  </si>
  <si>
    <t>T-079</t>
  </si>
  <si>
    <t>T-103</t>
  </si>
  <si>
    <t>NET</t>
  </si>
  <si>
    <t>T-134</t>
  </si>
  <si>
    <t>T-135</t>
  </si>
  <si>
    <t>T-137</t>
  </si>
  <si>
    <t>ORCL</t>
  </si>
  <si>
    <t>T-110</t>
  </si>
  <si>
    <t>T-131</t>
  </si>
  <si>
    <t>T-133</t>
  </si>
  <si>
    <t>T-138</t>
  </si>
  <si>
    <t>T-139</t>
  </si>
  <si>
    <t>DDOG</t>
  </si>
  <si>
    <t>T-140</t>
  </si>
  <si>
    <t>MARA</t>
  </si>
  <si>
    <t>CTMX</t>
  </si>
  <si>
    <t>T-141</t>
  </si>
  <si>
    <t>T-117</t>
  </si>
  <si>
    <t>T-142</t>
  </si>
  <si>
    <t>T-145</t>
  </si>
  <si>
    <t>T-136</t>
  </si>
  <si>
    <t>T-146</t>
  </si>
  <si>
    <t>T-148</t>
  </si>
  <si>
    <t>T-149</t>
  </si>
  <si>
    <t>T-150</t>
  </si>
  <si>
    <t>T-106</t>
  </si>
  <si>
    <t>T-132</t>
  </si>
  <si>
    <t>T-151</t>
  </si>
  <si>
    <t>T-152</t>
  </si>
  <si>
    <t>MRNA</t>
  </si>
  <si>
    <t>T-143</t>
  </si>
  <si>
    <t>T-154</t>
  </si>
  <si>
    <t>T-155</t>
  </si>
  <si>
    <t>T-153</t>
  </si>
  <si>
    <t>T-157</t>
  </si>
  <si>
    <t>VIPS</t>
  </si>
  <si>
    <t>T-144</t>
  </si>
  <si>
    <t>ZBRA</t>
  </si>
  <si>
    <t>CSCO</t>
  </si>
  <si>
    <t>RTX</t>
  </si>
  <si>
    <t>QUBT</t>
  </si>
  <si>
    <t>T-160</t>
  </si>
  <si>
    <t>T-162</t>
  </si>
  <si>
    <t>T-159</t>
  </si>
  <si>
    <t>T-164</t>
  </si>
  <si>
    <t>T-165</t>
  </si>
  <si>
    <t>T-166</t>
  </si>
  <si>
    <t>T-163</t>
  </si>
  <si>
    <t>T-158</t>
  </si>
  <si>
    <t>T-084</t>
  </si>
  <si>
    <t>T-168</t>
  </si>
  <si>
    <t>T-169</t>
  </si>
  <si>
    <t>T-167</t>
  </si>
  <si>
    <t>TXN</t>
  </si>
  <si>
    <t>T-170</t>
  </si>
  <si>
    <t>T-147</t>
  </si>
  <si>
    <t>T-171</t>
  </si>
  <si>
    <t>Initial Risk $</t>
  </si>
  <si>
    <t>T-172</t>
  </si>
  <si>
    <t>T-174</t>
  </si>
  <si>
    <t>ON</t>
  </si>
  <si>
    <t>T-175</t>
  </si>
  <si>
    <t>T-176</t>
  </si>
  <si>
    <t>T-156</t>
  </si>
  <si>
    <t>T-173</t>
  </si>
  <si>
    <t>T-177</t>
  </si>
  <si>
    <t>T-114</t>
  </si>
  <si>
    <t>T-113</t>
  </si>
  <si>
    <t>T-179</t>
  </si>
  <si>
    <t>T-180</t>
  </si>
  <si>
    <t>T-161</t>
  </si>
  <si>
    <t>NFLX</t>
  </si>
  <si>
    <t>T-182</t>
  </si>
  <si>
    <t>T-181</t>
  </si>
  <si>
    <t>T-178</t>
  </si>
  <si>
    <t>T-183</t>
  </si>
  <si>
    <t>T-185</t>
  </si>
  <si>
    <t>T-187</t>
  </si>
  <si>
    <t>T-189</t>
  </si>
  <si>
    <t>T-188</t>
  </si>
  <si>
    <t>T-190</t>
  </si>
  <si>
    <t>T-191</t>
  </si>
  <si>
    <t>GTLB</t>
  </si>
  <si>
    <t>T-193</t>
  </si>
  <si>
    <t>T-195</t>
  </si>
  <si>
    <t>T-196</t>
  </si>
  <si>
    <t>T-197</t>
  </si>
  <si>
    <t>T-199</t>
  </si>
  <si>
    <t>T-198</t>
  </si>
  <si>
    <t>T-201</t>
  </si>
  <si>
    <t>T-202</t>
  </si>
  <si>
    <t>T-203</t>
  </si>
  <si>
    <t>T-200</t>
  </si>
  <si>
    <t>T-204</t>
  </si>
  <si>
    <t>T-206</t>
  </si>
  <si>
    <t>CRWD</t>
  </si>
  <si>
    <t>T-207</t>
  </si>
  <si>
    <t>NIO</t>
  </si>
  <si>
    <t>T-209</t>
  </si>
  <si>
    <t>AVGO</t>
  </si>
  <si>
    <t>T-210</t>
  </si>
  <si>
    <t>T-212</t>
  </si>
  <si>
    <t>T-208</t>
  </si>
  <si>
    <t>T-213</t>
  </si>
  <si>
    <t>T-215</t>
  </si>
  <si>
    <t>T-214</t>
  </si>
  <si>
    <t>T-218</t>
  </si>
  <si>
    <t>T-216</t>
  </si>
  <si>
    <t>T-130</t>
  </si>
  <si>
    <t>T-217</t>
  </si>
  <si>
    <t>T-219</t>
  </si>
  <si>
    <t>HPQ</t>
  </si>
  <si>
    <t>T-192</t>
  </si>
  <si>
    <t>VUZI</t>
  </si>
  <si>
    <t>BB</t>
  </si>
  <si>
    <t>T-223</t>
  </si>
  <si>
    <t>T-222</t>
  </si>
  <si>
    <t>T-225</t>
  </si>
  <si>
    <t>T-220</t>
  </si>
  <si>
    <t>T-226</t>
  </si>
  <si>
    <t>T-227</t>
  </si>
  <si>
    <t>T-228</t>
  </si>
  <si>
    <t>SMTC</t>
  </si>
  <si>
    <t>NCPL</t>
  </si>
  <si>
    <t>T-230</t>
  </si>
  <si>
    <t>T-231</t>
  </si>
  <si>
    <t>T-234</t>
  </si>
  <si>
    <t>T-232</t>
  </si>
  <si>
    <t>T-236</t>
  </si>
  <si>
    <t>APP</t>
  </si>
  <si>
    <t>T-238</t>
  </si>
  <si>
    <t>T-235</t>
  </si>
  <si>
    <t>T-237</t>
  </si>
  <si>
    <t>T-239</t>
  </si>
  <si>
    <t>T-184</t>
  </si>
  <si>
    <t>T-240</t>
  </si>
  <si>
    <t>T-241</t>
  </si>
  <si>
    <t>T-186</t>
  </si>
  <si>
    <t>T-242</t>
  </si>
  <si>
    <t>T-243</t>
  </si>
  <si>
    <t>DELL</t>
  </si>
  <si>
    <t>T-246</t>
  </si>
  <si>
    <t>T-245</t>
  </si>
  <si>
    <t>T-247</t>
  </si>
  <si>
    <t>T-248</t>
  </si>
  <si>
    <t>T-244</t>
  </si>
  <si>
    <t>T-253</t>
  </si>
  <si>
    <t>T-249</t>
  </si>
  <si>
    <t>T-250</t>
  </si>
  <si>
    <t>T-252</t>
  </si>
  <si>
    <t>T-254</t>
  </si>
  <si>
    <t>T-205</t>
  </si>
  <si>
    <t>T-257</t>
  </si>
  <si>
    <t>T-255</t>
  </si>
  <si>
    <t>T-256</t>
  </si>
  <si>
    <t>T-251</t>
  </si>
  <si>
    <t>T-259</t>
  </si>
  <si>
    <t>HPE</t>
  </si>
  <si>
    <t>T-261</t>
  </si>
  <si>
    <t>T-263</t>
  </si>
  <si>
    <t>T-262</t>
  </si>
  <si>
    <t>T-265</t>
  </si>
  <si>
    <t>T-266</t>
  </si>
  <si>
    <t>T-267</t>
  </si>
  <si>
    <t>T-268</t>
  </si>
  <si>
    <t>T-264</t>
  </si>
  <si>
    <t>T-269</t>
  </si>
  <si>
    <t>T-258</t>
  </si>
  <si>
    <t>T-270</t>
  </si>
  <si>
    <t>T-194</t>
  </si>
  <si>
    <t>T-271</t>
  </si>
  <si>
    <t>T-273</t>
  </si>
  <si>
    <t>T-275</t>
  </si>
  <si>
    <t>T-274</t>
  </si>
  <si>
    <t>RIOT</t>
  </si>
  <si>
    <t>T-272</t>
  </si>
  <si>
    <t>T-224</t>
  </si>
  <si>
    <t>T-277</t>
  </si>
  <si>
    <t>T-260</t>
  </si>
  <si>
    <t>T-280</t>
  </si>
  <si>
    <t>T-278</t>
  </si>
  <si>
    <t>T-279</t>
  </si>
  <si>
    <t>T-283</t>
  </si>
  <si>
    <t>T-276</t>
  </si>
  <si>
    <t>UNH</t>
  </si>
  <si>
    <t>T-286</t>
  </si>
  <si>
    <t>ABBV</t>
  </si>
  <si>
    <t>T-285</t>
  </si>
  <si>
    <t>T-289</t>
  </si>
  <si>
    <t>T-287</t>
  </si>
  <si>
    <t>T-291</t>
  </si>
  <si>
    <t>T-290</t>
  </si>
  <si>
    <t>BUSE</t>
  </si>
  <si>
    <t>T-129</t>
  </si>
  <si>
    <t>T-281</t>
  </si>
  <si>
    <t>T-294</t>
  </si>
  <si>
    <t>T-295</t>
  </si>
  <si>
    <t>T-297</t>
  </si>
  <si>
    <t>TSLA</t>
  </si>
  <si>
    <t>T-299</t>
  </si>
  <si>
    <t>T-282</t>
  </si>
  <si>
    <t>T-288</t>
  </si>
  <si>
    <t>T-296</t>
  </si>
  <si>
    <t>ABAT</t>
  </si>
  <si>
    <t>T-300</t>
  </si>
  <si>
    <t>T-301</t>
  </si>
  <si>
    <t>META</t>
  </si>
  <si>
    <t>HUM</t>
  </si>
  <si>
    <t>T-306</t>
  </si>
  <si>
    <t>T-305</t>
  </si>
  <si>
    <t>T-308</t>
  </si>
  <si>
    <t>T-307</t>
  </si>
  <si>
    <t>T-303</t>
  </si>
  <si>
    <t>T-304</t>
  </si>
  <si>
    <t>T-302</t>
  </si>
  <si>
    <t>T-310</t>
  </si>
  <si>
    <t>T-313</t>
  </si>
  <si>
    <t>T-311</t>
  </si>
  <si>
    <t>T-314</t>
  </si>
  <si>
    <t>T-312</t>
  </si>
  <si>
    <t>T-315</t>
  </si>
  <si>
    <t>T-316</t>
  </si>
  <si>
    <t>T-317</t>
  </si>
  <si>
    <t>T-309</t>
  </si>
  <si>
    <t>DKNG</t>
  </si>
  <si>
    <t>T-229</t>
  </si>
  <si>
    <t>T-298</t>
  </si>
  <si>
    <t>T-319</t>
  </si>
  <si>
    <t>T-320</t>
  </si>
  <si>
    <t>T-321</t>
  </si>
  <si>
    <t>T-323</t>
  </si>
  <si>
    <t>T-322</t>
  </si>
  <si>
    <t>T-324</t>
  </si>
  <si>
    <t>T-325</t>
  </si>
  <si>
    <t>ANET</t>
  </si>
  <si>
    <t>T-326</t>
  </si>
  <si>
    <t>T-327</t>
  </si>
  <si>
    <t>T-284</t>
  </si>
  <si>
    <t>POET</t>
  </si>
  <si>
    <t>T-329</t>
  </si>
  <si>
    <t>T-330</t>
  </si>
  <si>
    <t>UPS</t>
  </si>
  <si>
    <t>T-334</t>
  </si>
  <si>
    <t>T-335</t>
  </si>
  <si>
    <t>T-336</t>
  </si>
  <si>
    <t>SPCX</t>
  </si>
  <si>
    <t>T-337</t>
  </si>
  <si>
    <t>T-333</t>
  </si>
  <si>
    <t>T-331</t>
  </si>
  <si>
    <t>T-221</t>
  </si>
  <si>
    <t>T-332</t>
  </si>
  <si>
    <t>MA</t>
  </si>
  <si>
    <t>T-338</t>
  </si>
  <si>
    <t>T-328</t>
  </si>
  <si>
    <t>T-343</t>
  </si>
  <si>
    <t>T-342</t>
  </si>
  <si>
    <t>T-344</t>
  </si>
  <si>
    <t>T-341</t>
  </si>
  <si>
    <t>T-339</t>
  </si>
  <si>
    <t>Expected 3R</t>
  </si>
  <si>
    <t>T-340</t>
  </si>
  <si>
    <t>T-211</t>
  </si>
  <si>
    <t>AFRM</t>
  </si>
  <si>
    <t>T-346</t>
  </si>
  <si>
    <t>T-347</t>
  </si>
  <si>
    <t>T-349</t>
  </si>
  <si>
    <t>WDC</t>
  </si>
  <si>
    <t>T-350</t>
  </si>
  <si>
    <t>T-348</t>
  </si>
  <si>
    <t>UBER</t>
  </si>
  <si>
    <t>T-345</t>
  </si>
  <si>
    <t>T-351</t>
  </si>
  <si>
    <t>D</t>
  </si>
  <si>
    <t>ABNB</t>
  </si>
  <si>
    <t>T-354</t>
  </si>
  <si>
    <t>T-353</t>
  </si>
  <si>
    <t>PTRN</t>
  </si>
  <si>
    <t>T-356</t>
  </si>
  <si>
    <t>T-357</t>
  </si>
  <si>
    <t>WFC</t>
  </si>
  <si>
    <t>T-358</t>
  </si>
  <si>
    <t>T-355</t>
  </si>
  <si>
    <t>DOW</t>
  </si>
  <si>
    <t>T-360</t>
  </si>
  <si>
    <t>T-359</t>
  </si>
  <si>
    <t>T-318</t>
  </si>
  <si>
    <t>T-361</t>
  </si>
  <si>
    <t>T-352</t>
  </si>
  <si>
    <t>SOFI</t>
  </si>
  <si>
    <t>T-362</t>
  </si>
  <si>
    <t>T-363</t>
  </si>
  <si>
    <t>T-364</t>
  </si>
  <si>
    <t>T-365</t>
  </si>
  <si>
    <t>T-367</t>
  </si>
  <si>
    <t>DIS</t>
  </si>
  <si>
    <t>T-366</t>
  </si>
  <si>
    <t>T-369</t>
  </si>
  <si>
    <t>T-368</t>
  </si>
  <si>
    <t>T-292</t>
  </si>
  <si>
    <t>T-370</t>
  </si>
  <si>
    <t>HOOD</t>
  </si>
  <si>
    <t>HIMS</t>
  </si>
  <si>
    <t>T-374</t>
  </si>
  <si>
    <t>T-371</t>
  </si>
  <si>
    <t>T-375</t>
  </si>
  <si>
    <t>T-372</t>
  </si>
  <si>
    <t>T-373</t>
  </si>
  <si>
    <t>T-376</t>
  </si>
  <si>
    <t>T-377</t>
  </si>
  <si>
    <t>T-378</t>
  </si>
  <si>
    <t>T-233</t>
  </si>
  <si>
    <t>T-379</t>
  </si>
  <si>
    <t>T-380</t>
  </si>
  <si>
    <t>INFQ</t>
  </si>
  <si>
    <t>T-381</t>
  </si>
  <si>
    <t>QUBTS</t>
  </si>
  <si>
    <t>T-382</t>
  </si>
  <si>
    <t>T-383</t>
  </si>
  <si>
    <t>2026-06-23</t>
  </si>
  <si>
    <t>T-384</t>
  </si>
  <si>
    <t>T-385</t>
  </si>
  <si>
    <t>RCL</t>
  </si>
  <si>
    <t>T-387</t>
  </si>
  <si>
    <t>T-388</t>
  </si>
  <si>
    <t>ACGL</t>
  </si>
  <si>
    <t>T-293</t>
  </si>
  <si>
    <t>T-390</t>
  </si>
  <si>
    <t>T-386</t>
  </si>
  <si>
    <t>Expected 2R</t>
  </si>
  <si>
    <t>Expected 1R</t>
  </si>
  <si>
    <t>T-389</t>
  </si>
  <si>
    <t>T-391</t>
  </si>
  <si>
    <t>MRK</t>
  </si>
  <si>
    <t>T-393</t>
  </si>
  <si>
    <t>T-392</t>
  </si>
  <si>
    <t>T-394</t>
  </si>
  <si>
    <t>T-396</t>
  </si>
  <si>
    <t>T-397</t>
  </si>
  <si>
    <t>T-395</t>
  </si>
  <si>
    <t>T-398</t>
  </si>
  <si>
    <t>WEN</t>
  </si>
  <si>
    <t>T-400</t>
  </si>
  <si>
    <t>T-401</t>
  </si>
  <si>
    <t>KHC</t>
  </si>
  <si>
    <t>NEE</t>
  </si>
  <si>
    <t>T-399</t>
  </si>
  <si>
    <t>T-402</t>
  </si>
  <si>
    <t>T-403</t>
  </si>
  <si>
    <t>T-404</t>
  </si>
  <si>
    <t>CNC</t>
  </si>
  <si>
    <t>T-406</t>
  </si>
  <si>
    <t>T-405</t>
  </si>
  <si>
    <t>T-408</t>
  </si>
  <si>
    <t>T-409</t>
  </si>
  <si>
    <t>T-407</t>
  </si>
  <si>
    <t>T-411</t>
  </si>
  <si>
    <t>T-412</t>
  </si>
  <si>
    <t>T-413</t>
  </si>
  <si>
    <t>T-414</t>
  </si>
  <si>
    <t>T-410</t>
  </si>
  <si>
    <t>T-415</t>
  </si>
  <si>
    <t>T-416</t>
  </si>
  <si>
    <t>T-417</t>
  </si>
  <si>
    <t>CNP</t>
  </si>
  <si>
    <t>T-418</t>
  </si>
  <si>
    <t>T-419</t>
  </si>
  <si>
    <t>T-420</t>
  </si>
  <si>
    <t>T-422</t>
  </si>
  <si>
    <t>T-423</t>
  </si>
  <si>
    <t>T-421</t>
  </si>
  <si>
    <t>T-424</t>
  </si>
  <si>
    <t>T-425</t>
  </si>
  <si>
    <t>T-427</t>
  </si>
  <si>
    <t>T-429</t>
  </si>
  <si>
    <t>T-426</t>
  </si>
  <si>
    <t>T-430</t>
  </si>
  <si>
    <t>T-428</t>
  </si>
  <si>
    <t>T-432</t>
  </si>
  <si>
    <t>T-431</t>
  </si>
  <si>
    <t>T-433</t>
  </si>
  <si>
    <t>BABA</t>
  </si>
  <si>
    <t>T-437</t>
  </si>
  <si>
    <t>T-435</t>
  </si>
  <si>
    <t>T-436</t>
  </si>
  <si>
    <t>T-438</t>
  </si>
  <si>
    <t>T-439</t>
  </si>
  <si>
    <t>T-441</t>
  </si>
  <si>
    <t>T-434</t>
  </si>
  <si>
    <t>T-442</t>
  </si>
  <si>
    <t>T-440</t>
  </si>
  <si>
    <t>ELAN</t>
  </si>
  <si>
    <t>T-445</t>
  </si>
  <si>
    <t>T-446</t>
  </si>
  <si>
    <t>T-447</t>
  </si>
  <si>
    <t>T-448</t>
  </si>
  <si>
    <t>T-444</t>
  </si>
  <si>
    <t>T-450</t>
  </si>
  <si>
    <t>T-449</t>
  </si>
  <si>
    <t>T-443</t>
  </si>
  <si>
    <t>T-454</t>
  </si>
  <si>
    <t>T-451</t>
  </si>
  <si>
    <t>T-453</t>
  </si>
  <si>
    <t>T-455</t>
  </si>
  <si>
    <t>T-457</t>
  </si>
  <si>
    <t>T-452</t>
  </si>
  <si>
    <t>T-456</t>
  </si>
  <si>
    <t>T-459</t>
  </si>
  <si>
    <t>T-460</t>
  </si>
  <si>
    <t>T-458</t>
  </si>
  <si>
    <t>T-462</t>
  </si>
  <si>
    <t>T-461</t>
  </si>
  <si>
    <t>TSM</t>
  </si>
  <si>
    <t>T-464</t>
  </si>
  <si>
    <t>T-463</t>
  </si>
  <si>
    <t>T-465</t>
  </si>
  <si>
    <t>T-467</t>
  </si>
  <si>
    <t>T-468</t>
  </si>
  <si>
    <t>T-469</t>
  </si>
  <si>
    <t>T-470</t>
  </si>
  <si>
    <t>T-471</t>
  </si>
  <si>
    <t>T-474</t>
  </si>
  <si>
    <t>T-472</t>
  </si>
  <si>
    <t>T-473</t>
  </si>
  <si>
    <t>T-477</t>
  </si>
  <si>
    <t>T-478</t>
  </si>
  <si>
    <t>T-476</t>
  </si>
  <si>
    <t>T-475</t>
  </si>
  <si>
    <t>T-482</t>
  </si>
  <si>
    <t>T-481</t>
  </si>
  <si>
    <t>T-479</t>
  </si>
  <si>
    <t>SHOP</t>
  </si>
  <si>
    <t>T-480</t>
  </si>
  <si>
    <t>T-483</t>
  </si>
  <si>
    <t>T-484</t>
  </si>
  <si>
    <t>S</t>
  </si>
  <si>
    <t>T-488</t>
  </si>
  <si>
    <t>BYDDY</t>
  </si>
  <si>
    <t>T-491</t>
  </si>
  <si>
    <t>T-490</t>
  </si>
  <si>
    <t>T-487</t>
  </si>
  <si>
    <t>T-492</t>
  </si>
  <si>
    <t>T-493</t>
  </si>
  <si>
    <t>T-494</t>
  </si>
  <si>
    <t>T-495</t>
  </si>
  <si>
    <t>T-496</t>
  </si>
  <si>
    <t>T-489</t>
  </si>
  <si>
    <t>T-497</t>
  </si>
  <si>
    <t>T-485</t>
  </si>
  <si>
    <t>T-466</t>
  </si>
  <si>
    <t>ABT</t>
  </si>
  <si>
    <t>T-499</t>
  </si>
  <si>
    <t>MAN</t>
  </si>
  <si>
    <t>T-501</t>
  </si>
  <si>
    <t>T-502</t>
  </si>
  <si>
    <t>T-498</t>
  </si>
  <si>
    <t>T-500</t>
  </si>
  <si>
    <t>T-506</t>
  </si>
  <si>
    <t>T-504</t>
  </si>
  <si>
    <t>T-507</t>
  </si>
  <si>
    <t>T-503</t>
  </si>
  <si>
    <t>T-508</t>
  </si>
  <si>
    <t>T-505</t>
  </si>
  <si>
    <t>PYPL</t>
  </si>
  <si>
    <t>T-486</t>
  </si>
  <si>
    <t>T-510</t>
  </si>
  <si>
    <t>T-511</t>
  </si>
  <si>
    <t>T-512</t>
  </si>
  <si>
    <t>T-509</t>
  </si>
  <si>
    <t>T-515</t>
  </si>
  <si>
    <t>T-513</t>
  </si>
  <si>
    <t>HAS</t>
  </si>
  <si>
    <t>T-514</t>
  </si>
  <si>
    <t>T-516</t>
  </si>
  <si>
    <t>T-517</t>
  </si>
  <si>
    <t>T-519</t>
  </si>
  <si>
    <t>T-520</t>
  </si>
  <si>
    <t>T-521</t>
  </si>
  <si>
    <t>T-523</t>
  </si>
  <si>
    <t>T-524</t>
  </si>
  <si>
    <t>T-522</t>
  </si>
  <si>
    <t>T-518</t>
  </si>
  <si>
    <t>T-526</t>
  </si>
  <si>
    <t>T-525</t>
  </si>
  <si>
    <t>FCX</t>
  </si>
  <si>
    <t>T-527</t>
  </si>
  <si>
    <t>T-529</t>
  </si>
  <si>
    <t>T-528</t>
  </si>
  <si>
    <t>T-530</t>
  </si>
  <si>
    <t>COCO</t>
  </si>
  <si>
    <t>T-533</t>
  </si>
  <si>
    <t>T-532</t>
  </si>
  <si>
    <t>T-531</t>
  </si>
  <si>
    <t>Relaized P&amp;L</t>
  </si>
  <si>
    <t>Total After fees</t>
  </si>
  <si>
    <t>Estimated fee cost</t>
  </si>
  <si>
    <t>T-534</t>
  </si>
  <si>
    <t>FLS</t>
  </si>
  <si>
    <t>BMY</t>
  </si>
  <si>
    <t>T-538</t>
  </si>
  <si>
    <t>T-536</t>
  </si>
  <si>
    <t>T-541</t>
  </si>
  <si>
    <t>T-537</t>
  </si>
  <si>
    <t>T-539</t>
  </si>
  <si>
    <t>T-542</t>
  </si>
  <si>
    <t>T-535</t>
  </si>
  <si>
    <t>T-540</t>
  </si>
  <si>
    <t>T-546</t>
  </si>
  <si>
    <t>T-543</t>
  </si>
  <si>
    <t>T-548</t>
  </si>
  <si>
    <t>T-545</t>
  </si>
  <si>
    <t>T-544</t>
  </si>
  <si>
    <t>T-547</t>
  </si>
  <si>
    <t>T-549</t>
  </si>
  <si>
    <t>T-551</t>
  </si>
  <si>
    <t>Expected 1.5R</t>
  </si>
  <si>
    <t>T-552</t>
  </si>
  <si>
    <t>T-554</t>
  </si>
  <si>
    <t>T-550</t>
  </si>
  <si>
    <t>T-555</t>
  </si>
  <si>
    <t>T-553</t>
  </si>
  <si>
    <t>T-556</t>
  </si>
  <si>
    <t>T-559</t>
  </si>
  <si>
    <t>T-557</t>
  </si>
  <si>
    <t>T-560</t>
  </si>
  <si>
    <t>T-558</t>
  </si>
  <si>
    <t>T-561</t>
  </si>
  <si>
    <t>T-562</t>
  </si>
  <si>
    <t>T-563</t>
  </si>
  <si>
    <t>T-564</t>
  </si>
  <si>
    <t>T-565</t>
  </si>
  <si>
    <t>T-566</t>
  </si>
  <si>
    <t>T-567</t>
  </si>
  <si>
    <t>T-568</t>
  </si>
  <si>
    <t>T-569</t>
  </si>
  <si>
    <t>T-570</t>
  </si>
  <si>
    <t>T-571</t>
  </si>
  <si>
    <t>T-572</t>
  </si>
  <si>
    <t>T-573</t>
  </si>
  <si>
    <t>T-574</t>
  </si>
  <si>
    <t>T-575</t>
  </si>
  <si>
    <t>T-578</t>
  </si>
  <si>
    <t>T-577</t>
  </si>
  <si>
    <t>T-581</t>
  </si>
  <si>
    <t>T-579</t>
  </si>
  <si>
    <t>T-576</t>
  </si>
  <si>
    <t>T-580</t>
  </si>
  <si>
    <t>T-583</t>
  </si>
  <si>
    <t>TCEHY</t>
  </si>
  <si>
    <t>T-586</t>
  </si>
  <si>
    <t>T-584</t>
  </si>
  <si>
    <t>T-585</t>
  </si>
  <si>
    <t>T-587</t>
  </si>
  <si>
    <t>Expected 2.5R</t>
  </si>
  <si>
    <t>T-590</t>
  </si>
  <si>
    <t>T-588</t>
  </si>
  <si>
    <t>T-591</t>
  </si>
  <si>
    <t>T-582</t>
  </si>
  <si>
    <t>T-589</t>
  </si>
  <si>
    <t>T-595</t>
  </si>
  <si>
    <t>T-592</t>
  </si>
  <si>
    <t>T-598</t>
  </si>
  <si>
    <t>T-597</t>
  </si>
  <si>
    <t>T-593</t>
  </si>
  <si>
    <t>T-594</t>
  </si>
  <si>
    <t>T-596</t>
  </si>
  <si>
    <t>T-600</t>
  </si>
  <si>
    <t>T-599</t>
  </si>
  <si>
    <t>T-602</t>
  </si>
  <si>
    <t>T-603</t>
  </si>
  <si>
    <t>T-604</t>
  </si>
  <si>
    <t>T-606</t>
  </si>
  <si>
    <t>T-601</t>
  </si>
  <si>
    <t>T-608</t>
  </si>
  <si>
    <t>T-607</t>
  </si>
  <si>
    <t>T-609</t>
  </si>
  <si>
    <t>T-605</t>
  </si>
  <si>
    <t>T-610</t>
  </si>
  <si>
    <t>T-615</t>
  </si>
  <si>
    <t>T-613</t>
  </si>
  <si>
    <t>T-618</t>
  </si>
  <si>
    <t>T-612</t>
  </si>
  <si>
    <t>T-611</t>
  </si>
  <si>
    <t>T-614</t>
  </si>
  <si>
    <t>T-619</t>
  </si>
  <si>
    <t>T-617</t>
  </si>
  <si>
    <t>T-616</t>
  </si>
  <si>
    <t>T-620</t>
  </si>
  <si>
    <t>T-621</t>
  </si>
  <si>
    <t>T-622</t>
  </si>
  <si>
    <t>T-624</t>
  </si>
  <si>
    <t>T-625</t>
  </si>
  <si>
    <t>T-626</t>
  </si>
  <si>
    <t>T-628</t>
  </si>
  <si>
    <t>T-627</t>
  </si>
  <si>
    <t>T-623</t>
  </si>
  <si>
    <t>T-629</t>
  </si>
  <si>
    <t>T-634</t>
  </si>
  <si>
    <t>T-638</t>
  </si>
  <si>
    <t>T-633</t>
  </si>
  <si>
    <t>T-637</t>
  </si>
  <si>
    <t>T-639</t>
  </si>
  <si>
    <t>T-631</t>
  </si>
  <si>
    <t>T-635</t>
  </si>
  <si>
    <t>T-632</t>
  </si>
  <si>
    <t>T-636</t>
  </si>
  <si>
    <t>T-640</t>
  </si>
  <si>
    <t>T-642</t>
  </si>
  <si>
    <t>T-643</t>
  </si>
  <si>
    <t>T-647</t>
  </si>
  <si>
    <t>T-641</t>
  </si>
  <si>
    <t>T-648</t>
  </si>
  <si>
    <t>T-645</t>
  </si>
  <si>
    <t>T-644</t>
  </si>
  <si>
    <t>T-649</t>
  </si>
  <si>
    <t>T-646</t>
  </si>
  <si>
    <t>T-650</t>
  </si>
  <si>
    <t>T-652</t>
  </si>
  <si>
    <t>T-655</t>
  </si>
  <si>
    <t>T-656</t>
  </si>
  <si>
    <t>T-657</t>
  </si>
  <si>
    <t>T-658</t>
  </si>
  <si>
    <t>T-654</t>
  </si>
  <si>
    <t>T-653</t>
  </si>
  <si>
    <t>T-651</t>
  </si>
  <si>
    <t>IONQ</t>
  </si>
  <si>
    <t>T-661</t>
  </si>
  <si>
    <t>T-659</t>
  </si>
  <si>
    <t>T-662</t>
  </si>
  <si>
    <t>T-665</t>
  </si>
  <si>
    <t>T-660</t>
  </si>
  <si>
    <t>T-666</t>
  </si>
  <si>
    <t>T-664</t>
  </si>
  <si>
    <t>T-663</t>
  </si>
  <si>
    <t>T-667</t>
  </si>
  <si>
    <t>T-668</t>
  </si>
  <si>
    <t>NU</t>
  </si>
  <si>
    <t>T-670</t>
  </si>
  <si>
    <t>T-672</t>
  </si>
  <si>
    <t>T-671</t>
  </si>
  <si>
    <t>T-673</t>
  </si>
  <si>
    <t>T-674</t>
  </si>
  <si>
    <t>T-675</t>
  </si>
  <si>
    <t>T-677</t>
  </si>
  <si>
    <t>T-630</t>
  </si>
  <si>
    <t>LUNR</t>
  </si>
  <si>
    <t>T-680</t>
  </si>
  <si>
    <t>T-683</t>
  </si>
  <si>
    <t>T-678</t>
  </si>
  <si>
    <t>T-679</t>
  </si>
  <si>
    <t>T-684</t>
  </si>
  <si>
    <t>T-681</t>
  </si>
  <si>
    <t>T-682</t>
  </si>
  <si>
    <t>T-685</t>
  </si>
  <si>
    <t>T-686</t>
  </si>
  <si>
    <t>T-688</t>
  </si>
  <si>
    <t>T-687</t>
  </si>
  <si>
    <t>T-691</t>
  </si>
  <si>
    <t>T-690</t>
  </si>
  <si>
    <t>T-689</t>
  </si>
  <si>
    <t>T-692</t>
  </si>
  <si>
    <t>T-676</t>
  </si>
  <si>
    <t>T-669</t>
  </si>
  <si>
    <t>T-696</t>
  </si>
  <si>
    <t>BNTX</t>
  </si>
  <si>
    <t>T-693</t>
  </si>
  <si>
    <t>T-698</t>
  </si>
  <si>
    <t>T-695</t>
  </si>
  <si>
    <t>T-700</t>
  </si>
  <si>
    <t>T-699</t>
  </si>
  <si>
    <t>T-694</t>
  </si>
  <si>
    <t>T-697</t>
  </si>
  <si>
    <t>BTDR</t>
  </si>
  <si>
    <t>T-701</t>
  </si>
  <si>
    <t>HSAI</t>
  </si>
  <si>
    <t>T-706</t>
  </si>
  <si>
    <t>ANDG</t>
  </si>
  <si>
    <t>T-702</t>
  </si>
  <si>
    <t>TEM</t>
  </si>
  <si>
    <t>T-707</t>
  </si>
  <si>
    <t>T-703</t>
  </si>
  <si>
    <t>T-705</t>
  </si>
  <si>
    <t>T-708</t>
  </si>
  <si>
    <t>T-709</t>
  </si>
  <si>
    <t>CRCL</t>
  </si>
  <si>
    <t>COIN</t>
  </si>
  <si>
    <t>T-704</t>
  </si>
  <si>
    <t>PURR</t>
  </si>
  <si>
    <t>T-713</t>
  </si>
  <si>
    <t>T-714</t>
  </si>
  <si>
    <t>T-710</t>
  </si>
  <si>
    <t>T-711</t>
  </si>
  <si>
    <t>T-717</t>
  </si>
  <si>
    <t>T-718</t>
  </si>
  <si>
    <t>T-712</t>
  </si>
  <si>
    <t>T-719</t>
  </si>
  <si>
    <t>T-716</t>
  </si>
  <si>
    <t>T-720</t>
  </si>
  <si>
    <t>T-715</t>
  </si>
  <si>
    <t>AGI</t>
  </si>
  <si>
    <t>T-722</t>
  </si>
  <si>
    <t>T-724</t>
  </si>
  <si>
    <t>T-721</t>
  </si>
  <si>
    <t>T-727</t>
  </si>
  <si>
    <t>T-726</t>
  </si>
  <si>
    <t>T-728</t>
  </si>
  <si>
    <t>T-725</t>
  </si>
  <si>
    <t>T-723</t>
  </si>
  <si>
    <t>T-729</t>
  </si>
  <si>
    <t>T-732</t>
  </si>
  <si>
    <t>T-734</t>
  </si>
  <si>
    <t>T-737</t>
  </si>
  <si>
    <t>T-730</t>
  </si>
  <si>
    <t>T-731</t>
  </si>
  <si>
    <t>T-736</t>
  </si>
  <si>
    <t>T-735</t>
  </si>
  <si>
    <t>T-733</t>
  </si>
  <si>
    <t>T-740</t>
  </si>
  <si>
    <t>T-741</t>
  </si>
  <si>
    <t>T-742</t>
  </si>
  <si>
    <t>T-739</t>
  </si>
  <si>
    <t>T-745</t>
  </si>
  <si>
    <t>ANF</t>
  </si>
  <si>
    <t>IBKR</t>
  </si>
  <si>
    <t>T-738</t>
  </si>
  <si>
    <t>T-743</t>
  </si>
  <si>
    <t>T-744</t>
  </si>
  <si>
    <t>T-746</t>
  </si>
  <si>
    <t>T-748</t>
  </si>
  <si>
    <t>T-747</t>
  </si>
  <si>
    <t>OKTA</t>
  </si>
  <si>
    <t>T-750</t>
  </si>
  <si>
    <t>T-754</t>
  </si>
  <si>
    <t>T-752</t>
  </si>
  <si>
    <t>T-749</t>
  </si>
  <si>
    <t>T-753</t>
  </si>
  <si>
    <t>T-751</t>
  </si>
  <si>
    <t>T-756</t>
  </si>
  <si>
    <t>T-755</t>
  </si>
  <si>
    <t>T-759</t>
  </si>
  <si>
    <t>T-760</t>
  </si>
  <si>
    <t>T-758</t>
  </si>
  <si>
    <t>T-764</t>
  </si>
  <si>
    <t>T-762</t>
  </si>
  <si>
    <t>T-763</t>
  </si>
  <si>
    <t>T-761</t>
  </si>
  <si>
    <t>T-757</t>
  </si>
  <si>
    <t>T-766</t>
  </si>
  <si>
    <t>T-767</t>
  </si>
  <si>
    <t>T-769</t>
  </si>
  <si>
    <t>T-771</t>
  </si>
  <si>
    <t>T-770</t>
  </si>
  <si>
    <t>T-772</t>
  </si>
  <si>
    <t>T-773</t>
  </si>
  <si>
    <t>T-776</t>
  </si>
  <si>
    <t>T-778</t>
  </si>
  <si>
    <t>T-774</t>
  </si>
  <si>
    <t>T-779</t>
  </si>
  <si>
    <t>T-780</t>
  </si>
  <si>
    <t>T-765</t>
  </si>
  <si>
    <t>Adjusted Stop 
(After 1R)</t>
  </si>
  <si>
    <t>T-775</t>
  </si>
  <si>
    <t>T-777</t>
  </si>
  <si>
    <t>T-781</t>
  </si>
  <si>
    <t>T-785</t>
  </si>
  <si>
    <t>T-782</t>
  </si>
  <si>
    <t>T-786</t>
  </si>
  <si>
    <t>T-788</t>
  </si>
  <si>
    <t>T-787</t>
  </si>
  <si>
    <t>T-789</t>
  </si>
  <si>
    <t>T-784</t>
  </si>
  <si>
    <t>T-790</t>
  </si>
  <si>
    <t>T-783</t>
  </si>
  <si>
    <t>ALAB</t>
  </si>
  <si>
    <t>T-796</t>
  </si>
  <si>
    <t>T-792</t>
  </si>
  <si>
    <t>T-794</t>
  </si>
  <si>
    <t>T-791</t>
  </si>
  <si>
    <t>T-793</t>
  </si>
  <si>
    <t>T-798</t>
  </si>
  <si>
    <t>T-797</t>
  </si>
  <si>
    <t>A Setup</t>
  </si>
  <si>
    <t>B Setup</t>
  </si>
  <si>
    <t>T-795</t>
  </si>
  <si>
    <t>T-799</t>
  </si>
  <si>
    <t>Open</t>
  </si>
  <si>
    <t>T-801</t>
  </si>
  <si>
    <t>T-803</t>
  </si>
  <si>
    <t>T-805</t>
  </si>
  <si>
    <t>T-804</t>
  </si>
  <si>
    <t>T-802</t>
  </si>
  <si>
    <t>AMPX</t>
  </si>
  <si>
    <t>T-800</t>
  </si>
  <si>
    <t>T-806</t>
  </si>
  <si>
    <t>T-811</t>
  </si>
  <si>
    <t>T-810</t>
  </si>
  <si>
    <t>T-809</t>
  </si>
  <si>
    <t>T-808</t>
  </si>
  <si>
    <t>CMPS</t>
  </si>
  <si>
    <t>T-815</t>
  </si>
  <si>
    <t>T-814</t>
  </si>
  <si>
    <t>T-813</t>
  </si>
  <si>
    <t>T-812</t>
  </si>
  <si>
    <t>T-817</t>
  </si>
  <si>
    <t>T-820</t>
  </si>
  <si>
    <t>T-819</t>
  </si>
  <si>
    <t>T-818</t>
  </si>
  <si>
    <t>T-816</t>
  </si>
  <si>
    <t>T-821</t>
  </si>
  <si>
    <t>T-822</t>
  </si>
  <si>
    <t>NIU</t>
  </si>
  <si>
    <t>T-826</t>
  </si>
  <si>
    <t>ECHO</t>
  </si>
  <si>
    <t>T-828</t>
  </si>
  <si>
    <t>T-824</t>
  </si>
  <si>
    <t>T-829</t>
  </si>
  <si>
    <t>T-827</t>
  </si>
  <si>
    <t>T-825</t>
  </si>
  <si>
    <t>T-807</t>
  </si>
  <si>
    <t>T-831</t>
  </si>
  <si>
    <t>T-832</t>
  </si>
  <si>
    <t>T-834</t>
  </si>
  <si>
    <t>T-835</t>
  </si>
  <si>
    <t>T-836</t>
  </si>
  <si>
    <t>T-833</t>
  </si>
  <si>
    <t>T-837</t>
  </si>
  <si>
    <t>FTFT</t>
  </si>
  <si>
    <t>T-841</t>
  </si>
  <si>
    <t>T-838</t>
  </si>
  <si>
    <t>T-840</t>
  </si>
  <si>
    <t>T-843</t>
  </si>
  <si>
    <t>T-846</t>
  </si>
  <si>
    <t>T-847</t>
  </si>
  <si>
    <t>T-848</t>
  </si>
  <si>
    <t>T-849</t>
  </si>
  <si>
    <t>T-850</t>
  </si>
  <si>
    <t>T-851</t>
  </si>
  <si>
    <t>T-852</t>
  </si>
  <si>
    <t>T-853</t>
  </si>
  <si>
    <t>T-844</t>
  </si>
  <si>
    <t>T-842</t>
  </si>
  <si>
    <t>T-845</t>
  </si>
  <si>
    <t>T-839</t>
  </si>
  <si>
    <t>T-858</t>
  </si>
  <si>
    <t>T-861</t>
  </si>
  <si>
    <t>T-854</t>
  </si>
  <si>
    <t>T-855</t>
  </si>
  <si>
    <t>T-859</t>
  </si>
  <si>
    <t>T-856</t>
  </si>
  <si>
    <t>T-857</t>
  </si>
  <si>
    <t>T-860</t>
  </si>
  <si>
    <t>T-862</t>
  </si>
  <si>
    <t>T-864</t>
  </si>
  <si>
    <t>T-866</t>
  </si>
  <si>
    <t>T-863</t>
  </si>
  <si>
    <t>T-867</t>
  </si>
  <si>
    <t>T-865</t>
  </si>
  <si>
    <t>T-868</t>
  </si>
  <si>
    <t>T-869</t>
  </si>
  <si>
    <t>T-830</t>
  </si>
  <si>
    <t>T-870</t>
  </si>
  <si>
    <t>T-872</t>
  </si>
  <si>
    <t>T-874</t>
  </si>
  <si>
    <t>T-873</t>
  </si>
  <si>
    <t>T-871</t>
  </si>
  <si>
    <t>T-875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</si>
</sst>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C8C8C8"/>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Alignment="1">
      <alignment wrapText="1"/>
    </xf>
    <xf numFmtId="49" fontId="0" fillId="0" borderId="0" xfId="0" applyNumberFormat="1"/>
    <xf numFmtId="0" fontId="0" fillId="0" borderId="0" xfId="0" applyNumberFormat="1"/>
    <xf numFmtId="14" fontId="0" fillId="0" borderId="0" xfId="0" applyNumberFormat="1" applyFill="1" applyAlignment="1">
      <alignment horizontal="center" vertical="center" wrapText="1"/>
    </xf>
    <xf numFmtId="0" fontId="0" fillId="0" borderId="0" xfId="0" applyFill="1" applyAlignment="1">
      <alignment horizontal="center" vertical="center" wrapText="1"/>
    </xf>
    <xf numFmtId="0" fontId="0" fillId="0" borderId="0" xfId="0" applyFill="1"/>
    <xf numFmtId="14" fontId="0" fillId="0" borderId="0" xfId="0" applyNumberFormat="1" applyFill="1"/>
    <xf numFmtId="0" fontId="0" fillId="0" borderId="0" xfId="0" applyNumberFormat="1" applyFill="1"/>
    <xf numFmtId="0" fontId="0" fillId="2" borderId="0" xfId="0" applyFill="1"/>
    <xf numFmtId="14" fontId="0" fillId="2" borderId="0" xfId="0" applyNumberFormat="1" applyFill="1"/>
    <xf numFmtId="0" fontId="0" fillId="2" borderId="0" xfId="0" applyNumberFormat="1" applyFill="1"/>
  </cellXfs>
  <cellStyles count="1">
    <cellStyle name="Normal" xfId="0" builtinId="0"/>
  </cellStyles>
  <dxfs count="13">
    <dxf>
      <fill>
        <patternFill>
          <bgColor rgb="FFFFFF00"/>
        </patternFill>
      </fill>
    </dxf>
    <dxf>
      <font>
        <color rgb="FF006100"/>
      </font>
      <fill>
        <patternFill>
          <bgColor rgb="FFC6EFCE"/>
        </patternFill>
      </fill>
    </dxf>
    <dxf>
      <font>
        <color rgb="FF9C0006"/>
      </font>
      <fill>
        <patternFill>
          <bgColor rgb="FFFFC7CE"/>
        </patternFill>
      </fill>
    </dxf>
    <dxf>
      <fill>
        <patternFill>
          <bgColor theme="0"/>
        </patternFill>
      </fill>
    </dxf>
    <dxf>
      <numFmt numFmtId="164" formatCode="yyyy/mm/dd"/>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164" formatCode="yyyy/mm/dd"/>
    </dxf>
    <dxf>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rate per Setup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bar"/>
        <c:grouping val="stacked"/>
        <c:varyColors val="0"/>
        <c:ser>
          <c:idx val="0"/>
          <c:order val="0"/>
          <c:tx>
            <c:strRef>
              <c:f>Setups!$C$1</c:f>
              <c:strCache>
                <c:ptCount val="1"/>
                <c:pt idx="0">
                  <c:v>Wins</c:v>
                </c:pt>
              </c:strCache>
            </c:strRef>
          </c:tx>
          <c:spPr>
            <a:solidFill>
              <a:schemeClr val="accent6"/>
            </a:solidFill>
            <a:ln>
              <a:noFill/>
            </a:ln>
            <a:effectLst/>
          </c:spPr>
          <c:invertIfNegative val="0"/>
          <c:cat>
            <c:strRef>
              <c:f>Setups!$A$2:$A$15</c:f>
              <c:strCache>
                <c:ptCount val="14"/>
                <c:pt idx="0">
                  <c:v>Breakout</c:v>
                </c:pt>
                <c:pt idx="1">
                  <c:v>Pullback</c:v>
                </c:pt>
                <c:pt idx="2">
                  <c:v>Range Break</c:v>
                </c:pt>
                <c:pt idx="3">
                  <c:v>Reversal</c:v>
                </c:pt>
                <c:pt idx="4">
                  <c:v>Earning Play</c:v>
                </c:pt>
                <c:pt idx="5">
                  <c:v> A+ Setup</c:v>
                </c:pt>
                <c:pt idx="6">
                  <c:v>A Setup</c:v>
                </c:pt>
                <c:pt idx="7">
                  <c:v>B Setup</c:v>
                </c:pt>
                <c:pt idx="8">
                  <c:v>Buy the Dip</c:v>
                </c:pt>
                <c:pt idx="9">
                  <c:v>Trend Continuation</c:v>
                </c:pt>
                <c:pt idx="10">
                  <c:v>CT Reversal</c:v>
                </c:pt>
                <c:pt idx="11">
                  <c:v>Short Squeeze</c:v>
                </c:pt>
                <c:pt idx="12">
                  <c:v>Mean reversion</c:v>
                </c:pt>
                <c:pt idx="13">
                  <c:v>Other</c:v>
                </c:pt>
              </c:strCache>
            </c:strRef>
          </c:cat>
          <c:val>
            <c:numRef>
              <c:f>Setups!$C$2:$C$15</c:f>
              <c:numCache>
                <c:formatCode>General</c:formatCode>
                <c:ptCount val="14"/>
                <c:pt idx="0">
                  <c:v>2</c:v>
                </c:pt>
                <c:pt idx="1">
                  <c:v>6</c:v>
                </c:pt>
                <c:pt idx="2">
                  <c:v>2</c:v>
                </c:pt>
                <c:pt idx="3">
                  <c:v>33</c:v>
                </c:pt>
                <c:pt idx="4">
                  <c:v>15</c:v>
                </c:pt>
                <c:pt idx="5">
                  <c:v>5</c:v>
                </c:pt>
                <c:pt idx="6">
                  <c:v>0</c:v>
                </c:pt>
                <c:pt idx="7">
                  <c:v>0</c:v>
                </c:pt>
                <c:pt idx="8">
                  <c:v>1</c:v>
                </c:pt>
                <c:pt idx="9">
                  <c:v>161</c:v>
                </c:pt>
                <c:pt idx="10">
                  <c:v>5</c:v>
                </c:pt>
                <c:pt idx="11">
                  <c:v>0</c:v>
                </c:pt>
                <c:pt idx="12">
                  <c:v>76</c:v>
                </c:pt>
                <c:pt idx="13">
                  <c:v>2</c:v>
                </c:pt>
              </c:numCache>
            </c:numRef>
          </c:val>
          <c:extLst>
            <c:ext xmlns:c16="http://schemas.microsoft.com/office/drawing/2014/chart" uri="{C3380CC4-5D6E-409C-BE32-E72D297353CC}">
              <c16:uniqueId val="{00000000-1AA2-499B-B6D5-B194BF182F60}"/>
            </c:ext>
          </c:extLst>
        </c:ser>
        <c:ser>
          <c:idx val="1"/>
          <c:order val="1"/>
          <c:tx>
            <c:strRef>
              <c:f>Setups!$D$1</c:f>
              <c:strCache>
                <c:ptCount val="1"/>
                <c:pt idx="0">
                  <c:v>Losses</c:v>
                </c:pt>
              </c:strCache>
            </c:strRef>
          </c:tx>
          <c:spPr>
            <a:solidFill>
              <a:srgbClr val="FF0000"/>
            </a:solidFill>
            <a:ln>
              <a:noFill/>
            </a:ln>
            <a:effectLst/>
          </c:spPr>
          <c:invertIfNegative val="0"/>
          <c:cat>
            <c:strRef>
              <c:f>Setups!$A$2:$A$15</c:f>
              <c:strCache>
                <c:ptCount val="14"/>
                <c:pt idx="0">
                  <c:v>Breakout</c:v>
                </c:pt>
                <c:pt idx="1">
                  <c:v>Pullback</c:v>
                </c:pt>
                <c:pt idx="2">
                  <c:v>Range Break</c:v>
                </c:pt>
                <c:pt idx="3">
                  <c:v>Reversal</c:v>
                </c:pt>
                <c:pt idx="4">
                  <c:v>Earning Play</c:v>
                </c:pt>
                <c:pt idx="5">
                  <c:v> A+ Setup</c:v>
                </c:pt>
                <c:pt idx="6">
                  <c:v>A Setup</c:v>
                </c:pt>
                <c:pt idx="7">
                  <c:v>B Setup</c:v>
                </c:pt>
                <c:pt idx="8">
                  <c:v>Buy the Dip</c:v>
                </c:pt>
                <c:pt idx="9">
                  <c:v>Trend Continuation</c:v>
                </c:pt>
                <c:pt idx="10">
                  <c:v>CT Reversal</c:v>
                </c:pt>
                <c:pt idx="11">
                  <c:v>Short Squeeze</c:v>
                </c:pt>
                <c:pt idx="12">
                  <c:v>Mean reversion</c:v>
                </c:pt>
                <c:pt idx="13">
                  <c:v>Other</c:v>
                </c:pt>
              </c:strCache>
            </c:strRef>
          </c:cat>
          <c:val>
            <c:numRef>
              <c:f>Setups!$D$2:$D$15</c:f>
              <c:numCache>
                <c:formatCode>General</c:formatCode>
                <c:ptCount val="14"/>
                <c:pt idx="0">
                  <c:v>4</c:v>
                </c:pt>
                <c:pt idx="1">
                  <c:v>16</c:v>
                </c:pt>
                <c:pt idx="2">
                  <c:v>10</c:v>
                </c:pt>
                <c:pt idx="3">
                  <c:v>48</c:v>
                </c:pt>
                <c:pt idx="4">
                  <c:v>30</c:v>
                </c:pt>
                <c:pt idx="5">
                  <c:v>2</c:v>
                </c:pt>
                <c:pt idx="6">
                  <c:v>5</c:v>
                </c:pt>
                <c:pt idx="7">
                  <c:v>0</c:v>
                </c:pt>
                <c:pt idx="8">
                  <c:v>3</c:v>
                </c:pt>
                <c:pt idx="9">
                  <c:v>272</c:v>
                </c:pt>
                <c:pt idx="10">
                  <c:v>27</c:v>
                </c:pt>
                <c:pt idx="11">
                  <c:v>1</c:v>
                </c:pt>
                <c:pt idx="12">
                  <c:v>145</c:v>
                </c:pt>
                <c:pt idx="13">
                  <c:v>0</c:v>
                </c:pt>
              </c:numCache>
            </c:numRef>
          </c:val>
          <c:extLst>
            <c:ext xmlns:c16="http://schemas.microsoft.com/office/drawing/2014/chart" uri="{C3380CC4-5D6E-409C-BE32-E72D297353CC}">
              <c16:uniqueId val="{00000001-1AA2-499B-B6D5-B194BF182F60}"/>
            </c:ext>
          </c:extLst>
        </c:ser>
        <c:dLbls>
          <c:showLegendKey val="0"/>
          <c:showVal val="0"/>
          <c:showCatName val="0"/>
          <c:showSerName val="0"/>
          <c:showPercent val="0"/>
          <c:showBubbleSize val="0"/>
        </c:dLbls>
        <c:gapWidth val="150"/>
        <c:overlap val="100"/>
        <c:axId val="1360188448"/>
        <c:axId val="1360189888"/>
      </c:barChart>
      <c:catAx>
        <c:axId val="136018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60189888"/>
        <c:crosses val="autoZero"/>
        <c:auto val="1"/>
        <c:lblAlgn val="ctr"/>
        <c:lblOffset val="100"/>
        <c:noMultiLvlLbl val="0"/>
      </c:catAx>
      <c:valAx>
        <c:axId val="136018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6018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585787</xdr:colOff>
      <xdr:row>1</xdr:row>
      <xdr:rowOff>128587</xdr:rowOff>
    </xdr:from>
    <xdr:to>
      <xdr:col>15</xdr:col>
      <xdr:colOff>585787</xdr:colOff>
      <xdr:row>18</xdr:row>
      <xdr:rowOff>14287</xdr:rowOff>
    </xdr:to>
    <xdr:graphicFrame macro="">
      <xdr:nvGraphicFramePr>
        <xdr:cNvPr id="5" name="Gráfico 4">
          <a:extLst>
            <a:ext uri="{FF2B5EF4-FFF2-40B4-BE49-F238E27FC236}">
              <a16:creationId xmlns:a16="http://schemas.microsoft.com/office/drawing/2014/main" id="{968D663B-8E6D-6D98-D426-F42A7E5D4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A7E9B0-7565-4742-9A5E-71D2E4B37E95}" name="Tabla1" displayName="Tabla1" ref="A1:T876" totalsRowShown="0" headerRowDxfId="12">
  <autoFilter ref="A1:T876" xr:uid="{ADA7E9B0-7565-4742-9A5E-71D2E4B37E95}">
    <filterColumn colId="12">
      <filters>
        <filter val="Open"/>
      </filters>
    </filterColumn>
  </autoFilter>
  <tableColumns count="20">
    <tableColumn id="1" xr3:uid="{6608E607-1563-4A82-B525-062E4D7DD7A8}" name="2026-06-23">
      <calculatedColumnFormula>"T-"&amp; TEXT(ROW()-1,"000")</calculatedColumnFormula>
    </tableColumn>
    <tableColumn id="2" xr3:uid="{6163C608-8DD6-4A1B-A684-B4DA771B2C60}" name="Date Opened" dataDxfId="11"/>
    <tableColumn id="3" xr3:uid="{7F4194FA-33A3-4374-9CB7-B6FF131DD27B}" name="Ticker"/>
    <tableColumn id="4" xr3:uid="{B6182498-0A2A-443D-B55E-42D05473051C}" name="Direction"/>
    <tableColumn id="5" xr3:uid="{795499B2-2C6C-4C9C-86B2-E520AE179236}" name="Setup"/>
    <tableColumn id="6" xr3:uid="{09922F01-37FF-431E-8E79-8E5834773B0E}" name="Entry Price"/>
    <tableColumn id="7" xr3:uid="{86FC0D21-3231-4F15-9CC6-947D96741DAE}" name="Initial Stop"/>
    <tableColumn id="21" xr3:uid="{ED7484D8-C38C-48AF-B7A2-D901504E30F4}" name="Adjusted Stop _x000a_(After 1R)" dataDxfId="10">
      <calculatedColumnFormula>Tabla1[[#This Row],[Entry Price]]-(Tabla1[[#This Row],[Entry Price]]-Tabla1[[#This Row],[Initial Stop]])/2</calculatedColumnFormula>
    </tableColumn>
    <tableColumn id="8" xr3:uid="{45AE07AB-6CF7-4133-BB71-A7B499CECBEC}" name="Position Size (shares)"/>
    <tableColumn id="9" xr3:uid="{9C3D57FA-C40F-41C1-AC20-F06688C2A1B0}" name="Initial Risk $">
      <calculatedColumnFormula>IF(D2="Long",(F2-G2)*I2,(G2-F2)*0)</calculatedColumnFormula>
    </tableColumn>
    <tableColumn id="10" xr3:uid="{F9704BF7-68C8-4C9B-8BD6-4F1928AED6FA}" name="Planned R Target"/>
    <tableColumn id="11" xr3:uid="{FA1B85A9-6973-4E82-85D4-FE80223DB682}" name="Planned Profit Target">
      <calculatedColumnFormula>J2*K2</calculatedColumnFormula>
    </tableColumn>
    <tableColumn id="12" xr3:uid="{CCEF2DF0-C470-4B20-B432-11DEFC42B31E}" name="Status"/>
    <tableColumn id="13" xr3:uid="{C9447846-C8E3-48A9-B9E9-7992EA82DF12}" name="Realized P&amp;L">
      <calculatedColumnFormula>SUMIF(Executions!B:B,A2,Executions!H:H)</calculatedColumnFormula>
    </tableColumn>
    <tableColumn id="14" xr3:uid="{4E3C4426-0EC4-466D-A2C8-90CF3B54F9AE}" name="Realized R">
      <calculatedColumnFormula>N2/J2</calculatedColumnFormula>
    </tableColumn>
    <tableColumn id="15" xr3:uid="{518CCC39-99E2-446E-9AD3-3C331814D407}" name="Expected 1R" dataDxfId="9">
      <calculatedColumnFormula>Tabla1[[#This Row],[Initial Risk $]]/Tabla1[[#This Row],[Position Size (shares)]]+Tabla1[[#This Row],[Entry Price]]</calculatedColumnFormula>
    </tableColumn>
    <tableColumn id="19" xr3:uid="{A3B0A1D3-2077-4725-80F2-861BEF5828EE}" name="Expected 1.5R" dataDxfId="8">
      <calculatedColumnFormula>Tabla1[[#This Row],[Initial Risk $]]/Tabla1[[#This Row],[Position Size (shares)]]*1.5+Tabla1[[#This Row],[Entry Price]]</calculatedColumnFormula>
    </tableColumn>
    <tableColumn id="17" xr3:uid="{B2CA1E7B-807E-4235-ABD5-F27E844B5113}" name="Expected 2R" dataDxfId="7">
      <calculatedColumnFormula>Tabla1[[#This Row],[Initial Risk $]]/Tabla1[[#This Row],[Position Size (shares)]]*2+Tabla1[[#This Row],[Entry Price]]</calculatedColumnFormula>
    </tableColumn>
    <tableColumn id="18" xr3:uid="{4E9B91DA-2746-4F7D-927E-9DFB75445CFA}" name="Expected 2.5R" dataDxfId="6">
      <calculatedColumnFormula>Tabla1[[#This Row],[Initial Risk $]]/Tabla1[[#This Row],[Position Size (shares)]]*2.5+Tabla1[[#This Row],[Entry Price]]</calculatedColumnFormula>
    </tableColumn>
    <tableColumn id="16" xr3:uid="{A0175B51-0EBB-4027-ACE2-3206EDB4CC05}" name="Expected 3R" dataDxfId="5">
      <calculatedColumnFormula>Tabla1[[#This Row],[Initial Risk $]]/Tabla1[[#This Row],[Position Size (shares)]]*3+Tabla1[[#This Row],[Entry Price]]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F1F87E-CDE0-4894-9814-45ABA92CE84F}" name="Tabla2" displayName="Tabla2" ref="A1:I905" totalsRowShown="0">
  <autoFilter ref="A1:I905" xr:uid="{6FF1F87E-CDE0-4894-9814-45ABA92CE84F}"/>
  <tableColumns count="9">
    <tableColumn id="1" xr3:uid="{4538A226-7755-4CF0-8776-94B5DF70B905}" name="Exec_ID">
      <calculatedColumnFormula>ROW()-1</calculatedColumnFormula>
    </tableColumn>
    <tableColumn id="2" xr3:uid="{EABBF888-B2F0-43A2-93A8-D87F9E1EC28E}" name="Trade_ID"/>
    <tableColumn id="3" xr3:uid="{92DDDB05-17D3-47D1-9C25-64159CF23266}" name="Date" dataDxfId="4"/>
    <tableColumn id="4" xr3:uid="{3F23841D-B926-4102-B7FB-3E3B4B325829}" name="Ticker">
      <calculatedColumnFormula>VLOOKUP(B2,Trades!A$1:N100794,3,FALSE)</calculatedColumnFormula>
    </tableColumn>
    <tableColumn id="5" xr3:uid="{A4348B84-44CD-4794-BB64-1E4096042975}" name="Action"/>
    <tableColumn id="6" xr3:uid="{C0658E8F-C40A-4E3D-9E94-90C36A2676B4}" name="Execution Price"/>
    <tableColumn id="7" xr3:uid="{EB8F0820-A920-4098-A494-BF774236E207}" name="Shares Closed"/>
    <tableColumn id="8" xr3:uid="{296DCF8B-E970-4610-93A3-B6995BF4E668}" name="P&amp;L">
      <calculatedColumnFormula>IF(VLOOKUP(B2,Trades!A:N,4,FALSE)="Long",(F2-VLOOKUP(B2,Trades!A:N,6,FALSE))*G2,(VLOOKUP(B2,Trades!A:N,6,FALSE)-F2)*G2)</calculatedColumnFormula>
    </tableColumn>
    <tableColumn id="9" xr3:uid="{50B9AE5E-A0ED-4FBA-B960-02E94D5C1E1A}" name="R Contribution">
      <calculatedColumnFormula>H2/VLOOKUP(B2,Trades!A$1:$N$100794,9,FALSE)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ADA4-A6CF-4E94-AECD-A49BC2D74812}">
  <sheetPr codeName="Hoja1"/>
  <dimension ref="A1:T901"/>
  <sheetViews>
    <sheetView tabSelected="1" zoomScale="110" zoomScaleNormal="110" workbookViewId="0">
      <pane ySplit="1" topLeftCell="A824" activePane="bottomLeft" state="frozen"/>
      <selection pane="bottomLeft" activeCell="M876" sqref="M876"/>
    </sheetView>
  </sheetViews>
  <sheetFormatPr baseColWidth="10" defaultRowHeight="15" x14ac:dyDescent="0.25"/>
  <cols>
    <col min="1" max="1" width="11.42578125" style="7"/>
    <col min="2" max="2" width="12.140625" style="7" customWidth="1"/>
    <col min="3" max="3" width="10.140625" style="7" customWidth="1"/>
    <col min="4" max="4" width="11.42578125" style="7"/>
    <col min="5" max="5" width="18" style="7" bestFit="1" customWidth="1"/>
    <col min="6" max="6" width="12" style="7" customWidth="1"/>
    <col min="7" max="7" width="12.140625" style="7" customWidth="1"/>
    <col min="8" max="8" width="9.85546875" style="7" customWidth="1"/>
    <col min="9" max="9" width="16.85546875" style="7" customWidth="1"/>
    <col min="10" max="10" width="10.28515625" style="7" customWidth="1"/>
    <col min="11" max="11" width="9.140625" style="7" customWidth="1"/>
    <col min="12" max="12" width="13.140625" style="7" customWidth="1"/>
    <col min="13" max="13" width="9.28515625" style="7" customWidth="1"/>
    <col min="14" max="14" width="10.42578125" style="7" customWidth="1"/>
    <col min="15" max="15" width="9.85546875" style="7" customWidth="1"/>
    <col min="16" max="17" width="11.42578125" style="7" customWidth="1"/>
    <col min="18" max="16384" width="11.42578125" style="7"/>
  </cols>
  <sheetData>
    <row r="1" spans="1:20" s="6" customFormat="1" ht="45" x14ac:dyDescent="0.25">
      <c r="A1" s="5" t="s">
        <v>606</v>
      </c>
      <c r="B1" s="6" t="s">
        <v>33</v>
      </c>
      <c r="C1" s="6" t="s">
        <v>2</v>
      </c>
      <c r="D1" s="6" t="s">
        <v>34</v>
      </c>
      <c r="E1" s="6" t="s">
        <v>3</v>
      </c>
      <c r="F1" s="6" t="s">
        <v>35</v>
      </c>
      <c r="G1" s="6" t="s">
        <v>4</v>
      </c>
      <c r="H1" s="6" t="s">
        <v>1047</v>
      </c>
      <c r="I1" s="6" t="s">
        <v>36</v>
      </c>
      <c r="J1" s="6" t="s">
        <v>345</v>
      </c>
      <c r="K1" s="6" t="s">
        <v>37</v>
      </c>
      <c r="L1" s="6" t="s">
        <v>103</v>
      </c>
      <c r="M1" s="6" t="s">
        <v>31</v>
      </c>
      <c r="N1" s="6" t="s">
        <v>200</v>
      </c>
      <c r="O1" s="6" t="s">
        <v>201</v>
      </c>
      <c r="P1" s="6" t="s">
        <v>617</v>
      </c>
      <c r="Q1" s="6" t="s">
        <v>802</v>
      </c>
      <c r="R1" s="6" t="s">
        <v>616</v>
      </c>
      <c r="S1" s="6" t="s">
        <v>840</v>
      </c>
      <c r="T1" s="6" t="s">
        <v>547</v>
      </c>
    </row>
    <row r="2" spans="1:20" customFormat="1" hidden="1" x14ac:dyDescent="0.25">
      <c r="A2" t="str">
        <f t="shared" ref="A2:A81" si="0">"T-"&amp; TEXT(ROW()-1,"000")</f>
        <v>T-001</v>
      </c>
      <c r="B2" s="1">
        <v>46072</v>
      </c>
      <c r="C2" t="s">
        <v>59</v>
      </c>
      <c r="D2" t="s">
        <v>28</v>
      </c>
      <c r="E2" t="s">
        <v>60</v>
      </c>
      <c r="F2">
        <v>11.11</v>
      </c>
      <c r="G2">
        <v>9.81</v>
      </c>
      <c r="H2">
        <f>Tabla1[[#This Row],[Entry Price]]-(Tabla1[[#This Row],[Entry Price]]-Tabla1[[#This Row],[Initial Stop]])/2</f>
        <v>10.46</v>
      </c>
      <c r="I2">
        <v>18</v>
      </c>
      <c r="J2">
        <f t="shared" ref="J2:J16" si="1">IF(D2="Long",(F2-G2)*I2,(G2-F2)*0)</f>
        <v>23.399999999999981</v>
      </c>
      <c r="K2">
        <v>2</v>
      </c>
      <c r="L2">
        <f t="shared" ref="L2:L65" si="2">J2*K2</f>
        <v>46.799999999999962</v>
      </c>
      <c r="M2" t="s">
        <v>72</v>
      </c>
      <c r="N2">
        <f>SUMIF(Executions!B:B,A2,Executions!H:H)</f>
        <v>-23.399999999999981</v>
      </c>
      <c r="O2">
        <f t="shared" ref="O2:O65" si="3">N2/J2</f>
        <v>-1</v>
      </c>
      <c r="P2">
        <f>Tabla1[[#This Row],[Initial Risk $]]/Tabla1[[#This Row],[Position Size (shares)]]+Tabla1[[#This Row],[Entry Price]]</f>
        <v>12.409999999999998</v>
      </c>
      <c r="Q2">
        <f>Tabla1[[#This Row],[Initial Risk $]]/Tabla1[[#This Row],[Position Size (shares)]]*1.5+Tabla1[[#This Row],[Entry Price]]</f>
        <v>13.059999999999999</v>
      </c>
      <c r="R2">
        <f>Tabla1[[#This Row],[Initial Risk $]]/Tabla1[[#This Row],[Position Size (shares)]]*2+Tabla1[[#This Row],[Entry Price]]</f>
        <v>13.709999999999997</v>
      </c>
      <c r="S2">
        <f>Tabla1[[#This Row],[Initial Risk $]]/Tabla1[[#This Row],[Position Size (shares)]]*2.5+Tabla1[[#This Row],[Entry Price]]</f>
        <v>14.359999999999996</v>
      </c>
      <c r="T2">
        <f>Tabla1[[#This Row],[Initial Risk $]]/Tabla1[[#This Row],[Position Size (shares)]]*3+Tabla1[[#This Row],[Entry Price]]</f>
        <v>15.009999999999996</v>
      </c>
    </row>
    <row r="3" spans="1:20" customFormat="1" hidden="1" x14ac:dyDescent="0.25">
      <c r="A3" t="str">
        <f t="shared" si="0"/>
        <v>T-002</v>
      </c>
      <c r="B3" s="1">
        <v>46077</v>
      </c>
      <c r="C3" t="s">
        <v>71</v>
      </c>
      <c r="D3" t="s">
        <v>28</v>
      </c>
      <c r="E3" t="s">
        <v>58</v>
      </c>
      <c r="F3">
        <v>4.18</v>
      </c>
      <c r="G3">
        <v>3.82</v>
      </c>
      <c r="H3">
        <f>Tabla1[[#This Row],[Entry Price]]-(Tabla1[[#This Row],[Entry Price]]-Tabla1[[#This Row],[Initial Stop]])/2</f>
        <v>4</v>
      </c>
      <c r="I3">
        <v>61</v>
      </c>
      <c r="J3">
        <f t="shared" si="1"/>
        <v>21.959999999999994</v>
      </c>
      <c r="K3">
        <v>2</v>
      </c>
      <c r="L3">
        <f t="shared" si="2"/>
        <v>43.919999999999987</v>
      </c>
      <c r="M3" t="s">
        <v>72</v>
      </c>
      <c r="N3">
        <f>SUMIF(Executions!B:B,A3,Executions!H:H)</f>
        <v>6.7100000000000195</v>
      </c>
      <c r="O3">
        <f t="shared" si="3"/>
        <v>0.30555555555555652</v>
      </c>
      <c r="P3">
        <f>Tabla1[[#This Row],[Initial Risk $]]/Tabla1[[#This Row],[Position Size (shares)]]+Tabla1[[#This Row],[Entry Price]]</f>
        <v>4.5399999999999991</v>
      </c>
      <c r="Q3">
        <f>Tabla1[[#This Row],[Initial Risk $]]/Tabla1[[#This Row],[Position Size (shares)]]*1.5+Tabla1[[#This Row],[Entry Price]]</f>
        <v>4.72</v>
      </c>
      <c r="R3">
        <f>Tabla1[[#This Row],[Initial Risk $]]/Tabla1[[#This Row],[Position Size (shares)]]*2+Tabla1[[#This Row],[Entry Price]]</f>
        <v>4.8999999999999995</v>
      </c>
      <c r="S3">
        <f>Tabla1[[#This Row],[Initial Risk $]]/Tabla1[[#This Row],[Position Size (shares)]]*2.5+Tabla1[[#This Row],[Entry Price]]</f>
        <v>5.0799999999999992</v>
      </c>
      <c r="T3">
        <f>Tabla1[[#This Row],[Initial Risk $]]/Tabla1[[#This Row],[Position Size (shares)]]*3+Tabla1[[#This Row],[Entry Price]]</f>
        <v>5.26</v>
      </c>
    </row>
    <row r="4" spans="1:20" customFormat="1" hidden="1" x14ac:dyDescent="0.25">
      <c r="A4" t="str">
        <f t="shared" si="0"/>
        <v>T-003</v>
      </c>
      <c r="B4" s="1">
        <v>46077</v>
      </c>
      <c r="C4" t="s">
        <v>73</v>
      </c>
      <c r="D4" t="s">
        <v>28</v>
      </c>
      <c r="E4" t="s">
        <v>29</v>
      </c>
      <c r="F4">
        <v>136.94</v>
      </c>
      <c r="G4">
        <v>127.28</v>
      </c>
      <c r="H4">
        <f>Tabla1[[#This Row],[Entry Price]]-(Tabla1[[#This Row],[Entry Price]]-Tabla1[[#This Row],[Initial Stop]])/2</f>
        <v>132.11000000000001</v>
      </c>
      <c r="I4">
        <v>3</v>
      </c>
      <c r="J4">
        <f t="shared" si="1"/>
        <v>28.97999999999999</v>
      </c>
      <c r="K4">
        <v>2</v>
      </c>
      <c r="L4">
        <f t="shared" si="2"/>
        <v>57.95999999999998</v>
      </c>
      <c r="M4" t="s">
        <v>72</v>
      </c>
      <c r="N4">
        <f>SUMIF(Executions!B:B,A4,Executions!H:H)</f>
        <v>-35.010000000000005</v>
      </c>
      <c r="O4">
        <f t="shared" si="3"/>
        <v>-1.2080745341614914</v>
      </c>
      <c r="P4">
        <f>Tabla1[[#This Row],[Initial Risk $]]/Tabla1[[#This Row],[Position Size (shares)]]+Tabla1[[#This Row],[Entry Price]]</f>
        <v>146.6</v>
      </c>
      <c r="Q4">
        <f>Tabla1[[#This Row],[Initial Risk $]]/Tabla1[[#This Row],[Position Size (shares)]]*1.5+Tabla1[[#This Row],[Entry Price]]</f>
        <v>151.43</v>
      </c>
      <c r="R4">
        <f>Tabla1[[#This Row],[Initial Risk $]]/Tabla1[[#This Row],[Position Size (shares)]]*2+Tabla1[[#This Row],[Entry Price]]</f>
        <v>156.26</v>
      </c>
      <c r="S4">
        <f>Tabla1[[#This Row],[Initial Risk $]]/Tabla1[[#This Row],[Position Size (shares)]]*2.5+Tabla1[[#This Row],[Entry Price]]</f>
        <v>161.08999999999997</v>
      </c>
      <c r="T4">
        <f>Tabla1[[#This Row],[Initial Risk $]]/Tabla1[[#This Row],[Position Size (shares)]]*3+Tabla1[[#This Row],[Entry Price]]</f>
        <v>165.92</v>
      </c>
    </row>
    <row r="5" spans="1:20" customFormat="1" hidden="1" x14ac:dyDescent="0.25">
      <c r="A5" t="str">
        <f t="shared" si="0"/>
        <v>T-004</v>
      </c>
      <c r="B5" s="1">
        <v>46070</v>
      </c>
      <c r="C5" t="s">
        <v>74</v>
      </c>
      <c r="D5" t="s">
        <v>28</v>
      </c>
      <c r="E5" t="s">
        <v>29</v>
      </c>
      <c r="F5">
        <v>10.37</v>
      </c>
      <c r="G5">
        <v>9.4499999999999993</v>
      </c>
      <c r="H5">
        <f>Tabla1[[#This Row],[Entry Price]]-(Tabla1[[#This Row],[Entry Price]]-Tabla1[[#This Row],[Initial Stop]])/2</f>
        <v>9.91</v>
      </c>
      <c r="I5">
        <v>36</v>
      </c>
      <c r="J5">
        <f t="shared" si="1"/>
        <v>33.119999999999997</v>
      </c>
      <c r="K5">
        <v>1.5</v>
      </c>
      <c r="L5">
        <f t="shared" si="2"/>
        <v>49.679999999999993</v>
      </c>
      <c r="M5" t="s">
        <v>72</v>
      </c>
      <c r="N5">
        <f>SUMIF(Executions!B:B,A5,Executions!H:H)</f>
        <v>59.310000000000031</v>
      </c>
      <c r="O5">
        <f t="shared" si="3"/>
        <v>1.7907608695652184</v>
      </c>
      <c r="P5">
        <f>Tabla1[[#This Row],[Initial Risk $]]/Tabla1[[#This Row],[Position Size (shares)]]+Tabla1[[#This Row],[Entry Price]]</f>
        <v>11.29</v>
      </c>
      <c r="Q5">
        <f>Tabla1[[#This Row],[Initial Risk $]]/Tabla1[[#This Row],[Position Size (shares)]]*1.5+Tabla1[[#This Row],[Entry Price]]</f>
        <v>11.75</v>
      </c>
      <c r="R5">
        <f>Tabla1[[#This Row],[Initial Risk $]]/Tabla1[[#This Row],[Position Size (shares)]]*2+Tabla1[[#This Row],[Entry Price]]</f>
        <v>12.209999999999999</v>
      </c>
      <c r="S5">
        <f>Tabla1[[#This Row],[Initial Risk $]]/Tabla1[[#This Row],[Position Size (shares)]]*2.5+Tabla1[[#This Row],[Entry Price]]</f>
        <v>12.669999999999998</v>
      </c>
      <c r="T5">
        <f>Tabla1[[#This Row],[Initial Risk $]]/Tabla1[[#This Row],[Position Size (shares)]]*3+Tabla1[[#This Row],[Entry Price]]</f>
        <v>13.129999999999999</v>
      </c>
    </row>
    <row r="6" spans="1:20" customFormat="1" hidden="1" x14ac:dyDescent="0.25">
      <c r="A6" t="str">
        <f t="shared" si="0"/>
        <v>T-005</v>
      </c>
      <c r="B6" s="1">
        <v>46078</v>
      </c>
      <c r="C6" t="s">
        <v>76</v>
      </c>
      <c r="D6" t="s">
        <v>28</v>
      </c>
      <c r="E6" t="s">
        <v>60</v>
      </c>
      <c r="F6">
        <v>13.39</v>
      </c>
      <c r="G6">
        <v>12.39</v>
      </c>
      <c r="H6">
        <f>Tabla1[[#This Row],[Entry Price]]-(Tabla1[[#This Row],[Entry Price]]-Tabla1[[#This Row],[Initial Stop]])/2</f>
        <v>12.89</v>
      </c>
      <c r="I6">
        <v>19</v>
      </c>
      <c r="J6">
        <f t="shared" si="1"/>
        <v>19</v>
      </c>
      <c r="K6">
        <v>2</v>
      </c>
      <c r="L6">
        <f t="shared" si="2"/>
        <v>38</v>
      </c>
      <c r="M6" t="s">
        <v>72</v>
      </c>
      <c r="N6">
        <f>SUMIF(Executions!B:B,A6,Executions!H:H)</f>
        <v>-10.601999999999997</v>
      </c>
      <c r="O6">
        <f t="shared" si="3"/>
        <v>-0.55799999999999983</v>
      </c>
      <c r="P6">
        <f>Tabla1[[#This Row],[Initial Risk $]]/Tabla1[[#This Row],[Position Size (shares)]]+Tabla1[[#This Row],[Entry Price]]</f>
        <v>14.39</v>
      </c>
      <c r="Q6">
        <f>Tabla1[[#This Row],[Initial Risk $]]/Tabla1[[#This Row],[Position Size (shares)]]*1.5+Tabla1[[#This Row],[Entry Price]]</f>
        <v>14.89</v>
      </c>
      <c r="R6">
        <f>Tabla1[[#This Row],[Initial Risk $]]/Tabla1[[#This Row],[Position Size (shares)]]*2+Tabla1[[#This Row],[Entry Price]]</f>
        <v>15.39</v>
      </c>
      <c r="S6">
        <f>Tabla1[[#This Row],[Initial Risk $]]/Tabla1[[#This Row],[Position Size (shares)]]*2.5+Tabla1[[#This Row],[Entry Price]]</f>
        <v>15.89</v>
      </c>
      <c r="T6">
        <f>Tabla1[[#This Row],[Initial Risk $]]/Tabla1[[#This Row],[Position Size (shares)]]*3+Tabla1[[#This Row],[Entry Price]]</f>
        <v>16.39</v>
      </c>
    </row>
    <row r="7" spans="1:20" customFormat="1" hidden="1" x14ac:dyDescent="0.25">
      <c r="A7" t="str">
        <f t="shared" si="0"/>
        <v>T-006</v>
      </c>
      <c r="B7" s="1">
        <v>46079</v>
      </c>
      <c r="C7" t="s">
        <v>86</v>
      </c>
      <c r="D7" t="s">
        <v>28</v>
      </c>
      <c r="E7" t="s">
        <v>27</v>
      </c>
      <c r="F7">
        <v>92.49</v>
      </c>
      <c r="G7">
        <v>87.03</v>
      </c>
      <c r="H7">
        <f>Tabla1[[#This Row],[Entry Price]]-(Tabla1[[#This Row],[Entry Price]]-Tabla1[[#This Row],[Initial Stop]])/2</f>
        <v>89.759999999999991</v>
      </c>
      <c r="I7">
        <v>3</v>
      </c>
      <c r="J7">
        <f t="shared" si="1"/>
        <v>16.379999999999981</v>
      </c>
      <c r="K7">
        <v>2</v>
      </c>
      <c r="L7">
        <f t="shared" si="2"/>
        <v>32.759999999999962</v>
      </c>
      <c r="M7" t="s">
        <v>72</v>
      </c>
      <c r="N7">
        <f>SUMIF(Executions!B:B,A7,Executions!H:H)</f>
        <v>-14.309999999999988</v>
      </c>
      <c r="O7">
        <f t="shared" si="3"/>
        <v>-0.87362637362637385</v>
      </c>
      <c r="P7">
        <f>Tabla1[[#This Row],[Initial Risk $]]/Tabla1[[#This Row],[Position Size (shares)]]+Tabla1[[#This Row],[Entry Price]]</f>
        <v>97.949999999999989</v>
      </c>
      <c r="Q7">
        <f>Tabla1[[#This Row],[Initial Risk $]]/Tabla1[[#This Row],[Position Size (shares)]]*1.5+Tabla1[[#This Row],[Entry Price]]</f>
        <v>100.67999999999998</v>
      </c>
      <c r="R7">
        <f>Tabla1[[#This Row],[Initial Risk $]]/Tabla1[[#This Row],[Position Size (shares)]]*2+Tabla1[[#This Row],[Entry Price]]</f>
        <v>103.40999999999998</v>
      </c>
      <c r="S7">
        <f>Tabla1[[#This Row],[Initial Risk $]]/Tabla1[[#This Row],[Position Size (shares)]]*2.5+Tabla1[[#This Row],[Entry Price]]</f>
        <v>106.13999999999999</v>
      </c>
      <c r="T7">
        <f>Tabla1[[#This Row],[Initial Risk $]]/Tabla1[[#This Row],[Position Size (shares)]]*3+Tabla1[[#This Row],[Entry Price]]</f>
        <v>108.86999999999998</v>
      </c>
    </row>
    <row r="8" spans="1:20" customFormat="1" hidden="1" x14ac:dyDescent="0.25">
      <c r="A8" t="str">
        <f t="shared" si="0"/>
        <v>T-007</v>
      </c>
      <c r="B8" s="1">
        <v>46079</v>
      </c>
      <c r="C8" t="s">
        <v>87</v>
      </c>
      <c r="D8" t="s">
        <v>28</v>
      </c>
      <c r="E8" t="s">
        <v>60</v>
      </c>
      <c r="F8">
        <v>67.819999999999993</v>
      </c>
      <c r="G8">
        <v>58.5</v>
      </c>
      <c r="H8">
        <f>Tabla1[[#This Row],[Entry Price]]-(Tabla1[[#This Row],[Entry Price]]-Tabla1[[#This Row],[Initial Stop]])/2</f>
        <v>63.16</v>
      </c>
      <c r="I8">
        <v>3</v>
      </c>
      <c r="J8">
        <f t="shared" si="1"/>
        <v>27.95999999999998</v>
      </c>
      <c r="K8">
        <v>2</v>
      </c>
      <c r="L8">
        <f t="shared" si="2"/>
        <v>55.919999999999959</v>
      </c>
      <c r="M8" t="s">
        <v>72</v>
      </c>
      <c r="N8">
        <f>SUMIF(Executions!B:B,A8,Executions!H:H)</f>
        <v>-28.16999999999998</v>
      </c>
      <c r="O8">
        <f t="shared" si="3"/>
        <v>-1.007510729613734</v>
      </c>
      <c r="P8">
        <f>Tabla1[[#This Row],[Initial Risk $]]/Tabla1[[#This Row],[Position Size (shares)]]+Tabla1[[#This Row],[Entry Price]]</f>
        <v>77.139999999999986</v>
      </c>
      <c r="Q8">
        <f>Tabla1[[#This Row],[Initial Risk $]]/Tabla1[[#This Row],[Position Size (shares)]]*1.5+Tabla1[[#This Row],[Entry Price]]</f>
        <v>81.799999999999983</v>
      </c>
      <c r="R8">
        <f>Tabla1[[#This Row],[Initial Risk $]]/Tabla1[[#This Row],[Position Size (shares)]]*2+Tabla1[[#This Row],[Entry Price]]</f>
        <v>86.45999999999998</v>
      </c>
      <c r="S8">
        <f>Tabla1[[#This Row],[Initial Risk $]]/Tabla1[[#This Row],[Position Size (shares)]]*2.5+Tabla1[[#This Row],[Entry Price]]</f>
        <v>91.119999999999976</v>
      </c>
      <c r="T8">
        <f>Tabla1[[#This Row],[Initial Risk $]]/Tabla1[[#This Row],[Position Size (shares)]]*3+Tabla1[[#This Row],[Entry Price]]</f>
        <v>95.779999999999973</v>
      </c>
    </row>
    <row r="9" spans="1:20" customFormat="1" hidden="1" x14ac:dyDescent="0.25">
      <c r="A9" t="str">
        <f t="shared" si="0"/>
        <v>T-008</v>
      </c>
      <c r="B9" s="1">
        <v>46048</v>
      </c>
      <c r="C9" t="s">
        <v>95</v>
      </c>
      <c r="D9" t="s">
        <v>28</v>
      </c>
      <c r="E9" t="s">
        <v>58</v>
      </c>
      <c r="F9">
        <v>75.67</v>
      </c>
      <c r="G9">
        <v>73.150000000000006</v>
      </c>
      <c r="H9">
        <f>Tabla1[[#This Row],[Entry Price]]-(Tabla1[[#This Row],[Entry Price]]-Tabla1[[#This Row],[Initial Stop]])/2</f>
        <v>74.41</v>
      </c>
      <c r="I9">
        <v>12</v>
      </c>
      <c r="J9">
        <f t="shared" si="1"/>
        <v>30.239999999999952</v>
      </c>
      <c r="K9">
        <v>2</v>
      </c>
      <c r="L9">
        <f t="shared" si="2"/>
        <v>60.479999999999905</v>
      </c>
      <c r="M9" t="s">
        <v>72</v>
      </c>
      <c r="N9">
        <f>SUMIF(Executions!B:B,A9,Executions!H:H)</f>
        <v>80.400000000000034</v>
      </c>
      <c r="O9">
        <f t="shared" si="3"/>
        <v>2.6587301587301639</v>
      </c>
      <c r="P9">
        <f>Tabla1[[#This Row],[Initial Risk $]]/Tabla1[[#This Row],[Position Size (shares)]]+Tabla1[[#This Row],[Entry Price]]</f>
        <v>78.19</v>
      </c>
      <c r="Q9">
        <f>Tabla1[[#This Row],[Initial Risk $]]/Tabla1[[#This Row],[Position Size (shares)]]*1.5+Tabla1[[#This Row],[Entry Price]]</f>
        <v>79.449999999999989</v>
      </c>
      <c r="R9">
        <f>Tabla1[[#This Row],[Initial Risk $]]/Tabla1[[#This Row],[Position Size (shares)]]*2+Tabla1[[#This Row],[Entry Price]]</f>
        <v>80.709999999999994</v>
      </c>
      <c r="S9">
        <f>Tabla1[[#This Row],[Initial Risk $]]/Tabla1[[#This Row],[Position Size (shares)]]*2.5+Tabla1[[#This Row],[Entry Price]]</f>
        <v>81.97</v>
      </c>
      <c r="T9">
        <f>Tabla1[[#This Row],[Initial Risk $]]/Tabla1[[#This Row],[Position Size (shares)]]*3+Tabla1[[#This Row],[Entry Price]]</f>
        <v>83.22999999999999</v>
      </c>
    </row>
    <row r="10" spans="1:20" customFormat="1" hidden="1" x14ac:dyDescent="0.25">
      <c r="A10" t="str">
        <f t="shared" si="0"/>
        <v>T-009</v>
      </c>
      <c r="B10" s="1">
        <v>46083</v>
      </c>
      <c r="C10" t="s">
        <v>97</v>
      </c>
      <c r="D10" t="s">
        <v>28</v>
      </c>
      <c r="E10" t="s">
        <v>58</v>
      </c>
      <c r="F10">
        <v>22.46</v>
      </c>
      <c r="G10">
        <v>19.350000000000001</v>
      </c>
      <c r="H10">
        <f>Tabla1[[#This Row],[Entry Price]]-(Tabla1[[#This Row],[Entry Price]]-Tabla1[[#This Row],[Initial Stop]])/2</f>
        <v>20.905000000000001</v>
      </c>
      <c r="I10">
        <v>7</v>
      </c>
      <c r="J10">
        <f t="shared" si="1"/>
        <v>21.769999999999996</v>
      </c>
      <c r="K10">
        <v>2</v>
      </c>
      <c r="L10">
        <f t="shared" si="2"/>
        <v>43.539999999999992</v>
      </c>
      <c r="M10" t="s">
        <v>72</v>
      </c>
      <c r="N10">
        <f>SUMIF(Executions!B:B,A10,Executions!H:H)</f>
        <v>-25.445000000000011</v>
      </c>
      <c r="O10">
        <f t="shared" si="3"/>
        <v>-1.1688102893890682</v>
      </c>
      <c r="P10">
        <f>Tabla1[[#This Row],[Initial Risk $]]/Tabla1[[#This Row],[Position Size (shares)]]+Tabla1[[#This Row],[Entry Price]]</f>
        <v>25.57</v>
      </c>
      <c r="Q10">
        <f>Tabla1[[#This Row],[Initial Risk $]]/Tabla1[[#This Row],[Position Size (shares)]]*1.5+Tabla1[[#This Row],[Entry Price]]</f>
        <v>27.125</v>
      </c>
      <c r="R10">
        <f>Tabla1[[#This Row],[Initial Risk $]]/Tabla1[[#This Row],[Position Size (shares)]]*2+Tabla1[[#This Row],[Entry Price]]</f>
        <v>28.68</v>
      </c>
      <c r="S10">
        <f>Tabla1[[#This Row],[Initial Risk $]]/Tabla1[[#This Row],[Position Size (shares)]]*2.5+Tabla1[[#This Row],[Entry Price]]</f>
        <v>30.234999999999999</v>
      </c>
      <c r="T10">
        <f>Tabla1[[#This Row],[Initial Risk $]]/Tabla1[[#This Row],[Position Size (shares)]]*3+Tabla1[[#This Row],[Entry Price]]</f>
        <v>31.79</v>
      </c>
    </row>
    <row r="11" spans="1:20" customFormat="1" hidden="1" x14ac:dyDescent="0.25">
      <c r="A11" t="str">
        <f t="shared" si="0"/>
        <v>T-010</v>
      </c>
      <c r="B11" s="1">
        <v>46083</v>
      </c>
      <c r="C11" t="s">
        <v>98</v>
      </c>
      <c r="D11" t="s">
        <v>28</v>
      </c>
      <c r="E11" t="s">
        <v>58</v>
      </c>
      <c r="F11">
        <v>8.99</v>
      </c>
      <c r="G11">
        <v>8.16</v>
      </c>
      <c r="H11">
        <f>Tabla1[[#This Row],[Entry Price]]-(Tabla1[[#This Row],[Entry Price]]-Tabla1[[#This Row],[Initial Stop]])/2</f>
        <v>8.5749999999999993</v>
      </c>
      <c r="I11">
        <v>27</v>
      </c>
      <c r="J11">
        <f t="shared" si="1"/>
        <v>22.410000000000004</v>
      </c>
      <c r="K11">
        <v>2</v>
      </c>
      <c r="L11">
        <f t="shared" si="2"/>
        <v>44.820000000000007</v>
      </c>
      <c r="M11" t="s">
        <v>72</v>
      </c>
      <c r="N11">
        <f>SUMIF(Executions!B:B,A11,Executions!H:H)</f>
        <v>4.0500000000000096</v>
      </c>
      <c r="O11">
        <f t="shared" si="3"/>
        <v>0.18072289156626545</v>
      </c>
      <c r="P11">
        <f>Tabla1[[#This Row],[Initial Risk $]]/Tabla1[[#This Row],[Position Size (shares)]]+Tabla1[[#This Row],[Entry Price]]</f>
        <v>9.82</v>
      </c>
      <c r="Q11">
        <f>Tabla1[[#This Row],[Initial Risk $]]/Tabla1[[#This Row],[Position Size (shares)]]*1.5+Tabla1[[#This Row],[Entry Price]]</f>
        <v>10.235000000000001</v>
      </c>
      <c r="R11">
        <f>Tabla1[[#This Row],[Initial Risk $]]/Tabla1[[#This Row],[Position Size (shares)]]*2+Tabla1[[#This Row],[Entry Price]]</f>
        <v>10.65</v>
      </c>
      <c r="S11">
        <f>Tabla1[[#This Row],[Initial Risk $]]/Tabla1[[#This Row],[Position Size (shares)]]*2.5+Tabla1[[#This Row],[Entry Price]]</f>
        <v>11.065000000000001</v>
      </c>
      <c r="T11">
        <f>Tabla1[[#This Row],[Initial Risk $]]/Tabla1[[#This Row],[Position Size (shares)]]*3+Tabla1[[#This Row],[Entry Price]]</f>
        <v>11.48</v>
      </c>
    </row>
    <row r="12" spans="1:20" customFormat="1" hidden="1" x14ac:dyDescent="0.25">
      <c r="A12" t="str">
        <f t="shared" si="0"/>
        <v>T-011</v>
      </c>
      <c r="B12" s="1">
        <v>46084</v>
      </c>
      <c r="C12" s="1" t="s">
        <v>100</v>
      </c>
      <c r="D12" t="s">
        <v>28</v>
      </c>
      <c r="E12" t="s">
        <v>29</v>
      </c>
      <c r="F12">
        <v>152.16999999999999</v>
      </c>
      <c r="G12">
        <v>150.47999999999999</v>
      </c>
      <c r="H12">
        <f>Tabla1[[#This Row],[Entry Price]]-(Tabla1[[#This Row],[Entry Price]]-Tabla1[[#This Row],[Initial Stop]])/2</f>
        <v>151.32499999999999</v>
      </c>
      <c r="I12">
        <v>6</v>
      </c>
      <c r="J12">
        <f t="shared" si="1"/>
        <v>10.139999999999986</v>
      </c>
      <c r="K12">
        <v>2</v>
      </c>
      <c r="L12">
        <f t="shared" si="2"/>
        <v>20.279999999999973</v>
      </c>
      <c r="M12" t="s">
        <v>72</v>
      </c>
      <c r="N12">
        <f>SUMIF(Executions!B:B,A12,Executions!H:H)</f>
        <v>24.42000000000013</v>
      </c>
      <c r="O12">
        <f t="shared" si="3"/>
        <v>2.4082840236686551</v>
      </c>
      <c r="P12">
        <f>Tabla1[[#This Row],[Initial Risk $]]/Tabla1[[#This Row],[Position Size (shares)]]+Tabla1[[#This Row],[Entry Price]]</f>
        <v>153.85999999999999</v>
      </c>
      <c r="Q12">
        <f>Tabla1[[#This Row],[Initial Risk $]]/Tabla1[[#This Row],[Position Size (shares)]]*1.5+Tabla1[[#This Row],[Entry Price]]</f>
        <v>154.70499999999998</v>
      </c>
      <c r="R12">
        <f>Tabla1[[#This Row],[Initial Risk $]]/Tabla1[[#This Row],[Position Size (shares)]]*2+Tabla1[[#This Row],[Entry Price]]</f>
        <v>155.54999999999998</v>
      </c>
      <c r="S12">
        <f>Tabla1[[#This Row],[Initial Risk $]]/Tabla1[[#This Row],[Position Size (shares)]]*2.5+Tabla1[[#This Row],[Entry Price]]</f>
        <v>156.39499999999998</v>
      </c>
      <c r="T12">
        <f>Tabla1[[#This Row],[Initial Risk $]]/Tabla1[[#This Row],[Position Size (shares)]]*3+Tabla1[[#This Row],[Entry Price]]</f>
        <v>157.23999999999998</v>
      </c>
    </row>
    <row r="13" spans="1:20" customFormat="1" hidden="1" x14ac:dyDescent="0.25">
      <c r="A13" t="str">
        <f t="shared" si="0"/>
        <v>T-012</v>
      </c>
      <c r="B13" s="1">
        <v>46085</v>
      </c>
      <c r="C13" t="s">
        <v>101</v>
      </c>
      <c r="D13" t="s">
        <v>28</v>
      </c>
      <c r="E13" t="s">
        <v>60</v>
      </c>
      <c r="F13">
        <v>4.2699999999999996</v>
      </c>
      <c r="G13">
        <v>3.75</v>
      </c>
      <c r="H13">
        <f>Tabla1[[#This Row],[Entry Price]]-(Tabla1[[#This Row],[Entry Price]]-Tabla1[[#This Row],[Initial Stop]])/2</f>
        <v>4.01</v>
      </c>
      <c r="I13">
        <v>42</v>
      </c>
      <c r="J13">
        <f t="shared" si="1"/>
        <v>21.839999999999982</v>
      </c>
      <c r="K13">
        <v>2</v>
      </c>
      <c r="L13">
        <f t="shared" si="2"/>
        <v>43.679999999999964</v>
      </c>
      <c r="M13" t="s">
        <v>72</v>
      </c>
      <c r="N13">
        <f>SUMIF(Executions!B:B,A13,Executions!H:H)</f>
        <v>-24.779999999999976</v>
      </c>
      <c r="O13">
        <f t="shared" si="3"/>
        <v>-1.1346153846153844</v>
      </c>
      <c r="P13">
        <f>Tabla1[[#This Row],[Initial Risk $]]/Tabla1[[#This Row],[Position Size (shares)]]+Tabla1[[#This Row],[Entry Price]]</f>
        <v>4.7899999999999991</v>
      </c>
      <c r="Q13">
        <f>Tabla1[[#This Row],[Initial Risk $]]/Tabla1[[#This Row],[Position Size (shares)]]*1.5+Tabla1[[#This Row],[Entry Price]]</f>
        <v>5.0499999999999989</v>
      </c>
      <c r="R13">
        <f>Tabla1[[#This Row],[Initial Risk $]]/Tabla1[[#This Row],[Position Size (shares)]]*2+Tabla1[[#This Row],[Entry Price]]</f>
        <v>5.3099999999999987</v>
      </c>
      <c r="S13">
        <f>Tabla1[[#This Row],[Initial Risk $]]/Tabla1[[#This Row],[Position Size (shares)]]*2.5+Tabla1[[#This Row],[Entry Price]]</f>
        <v>5.5699999999999985</v>
      </c>
      <c r="T13">
        <f>Tabla1[[#This Row],[Initial Risk $]]/Tabla1[[#This Row],[Position Size (shares)]]*3+Tabla1[[#This Row],[Entry Price]]</f>
        <v>5.8299999999999983</v>
      </c>
    </row>
    <row r="14" spans="1:20" customFormat="1" hidden="1" x14ac:dyDescent="0.25">
      <c r="A14" t="str">
        <f t="shared" si="0"/>
        <v>T-013</v>
      </c>
      <c r="B14" s="1">
        <v>46085</v>
      </c>
      <c r="C14" t="s">
        <v>102</v>
      </c>
      <c r="D14" t="s">
        <v>28</v>
      </c>
      <c r="E14" t="s">
        <v>58</v>
      </c>
      <c r="F14">
        <v>88.58</v>
      </c>
      <c r="G14">
        <v>80.95</v>
      </c>
      <c r="H14">
        <f>Tabla1[[#This Row],[Entry Price]]-(Tabla1[[#This Row],[Entry Price]]-Tabla1[[#This Row],[Initial Stop]])/2</f>
        <v>84.765000000000001</v>
      </c>
      <c r="I14">
        <v>3</v>
      </c>
      <c r="J14">
        <f t="shared" si="1"/>
        <v>22.889999999999986</v>
      </c>
      <c r="K14">
        <v>2</v>
      </c>
      <c r="L14">
        <f t="shared" si="2"/>
        <v>45.779999999999973</v>
      </c>
      <c r="M14" t="s">
        <v>72</v>
      </c>
      <c r="N14">
        <f>SUMIF(Executions!B:B,A14,Executions!H:H)</f>
        <v>-23.430000000000007</v>
      </c>
      <c r="O14">
        <f t="shared" si="3"/>
        <v>-1.0235910878112722</v>
      </c>
      <c r="P14">
        <f>Tabla1[[#This Row],[Initial Risk $]]/Tabla1[[#This Row],[Position Size (shares)]]+Tabla1[[#This Row],[Entry Price]]</f>
        <v>96.21</v>
      </c>
      <c r="Q14">
        <f>Tabla1[[#This Row],[Initial Risk $]]/Tabla1[[#This Row],[Position Size (shares)]]*1.5+Tabla1[[#This Row],[Entry Price]]</f>
        <v>100.02499999999999</v>
      </c>
      <c r="R14">
        <f>Tabla1[[#This Row],[Initial Risk $]]/Tabla1[[#This Row],[Position Size (shares)]]*2+Tabla1[[#This Row],[Entry Price]]</f>
        <v>103.83999999999999</v>
      </c>
      <c r="S14">
        <f>Tabla1[[#This Row],[Initial Risk $]]/Tabla1[[#This Row],[Position Size (shares)]]*2.5+Tabla1[[#This Row],[Entry Price]]</f>
        <v>107.65499999999999</v>
      </c>
      <c r="T14">
        <f>Tabla1[[#This Row],[Initial Risk $]]/Tabla1[[#This Row],[Position Size (shares)]]*3+Tabla1[[#This Row],[Entry Price]]</f>
        <v>111.46999999999998</v>
      </c>
    </row>
    <row r="15" spans="1:20" customFormat="1" hidden="1" x14ac:dyDescent="0.25">
      <c r="A15" t="str">
        <f t="shared" si="0"/>
        <v>T-014</v>
      </c>
      <c r="B15" s="1">
        <v>46079</v>
      </c>
      <c r="C15" t="s">
        <v>105</v>
      </c>
      <c r="D15" t="s">
        <v>28</v>
      </c>
      <c r="E15" t="s">
        <v>60</v>
      </c>
      <c r="F15">
        <v>177.48</v>
      </c>
      <c r="G15">
        <v>166.83</v>
      </c>
      <c r="H15">
        <f>Tabla1[[#This Row],[Entry Price]]-(Tabla1[[#This Row],[Entry Price]]-Tabla1[[#This Row],[Initial Stop]])/2</f>
        <v>172.155</v>
      </c>
      <c r="I15">
        <v>2</v>
      </c>
      <c r="J15">
        <f t="shared" si="1"/>
        <v>21.299999999999955</v>
      </c>
      <c r="K15">
        <v>2</v>
      </c>
      <c r="L15">
        <f t="shared" si="2"/>
        <v>42.599999999999909</v>
      </c>
      <c r="M15" t="s">
        <v>72</v>
      </c>
      <c r="N15">
        <f>SUMIF(Executions!B:B,A15,Executions!H:H)</f>
        <v>-21.71999999999997</v>
      </c>
      <c r="O15">
        <f t="shared" si="3"/>
        <v>-1.0197183098591558</v>
      </c>
      <c r="P15">
        <f>Tabla1[[#This Row],[Initial Risk $]]/Tabla1[[#This Row],[Position Size (shares)]]+Tabla1[[#This Row],[Entry Price]]</f>
        <v>188.12999999999997</v>
      </c>
      <c r="Q15">
        <f>Tabla1[[#This Row],[Initial Risk $]]/Tabla1[[#This Row],[Position Size (shares)]]*1.5+Tabla1[[#This Row],[Entry Price]]</f>
        <v>193.45499999999996</v>
      </c>
      <c r="R15">
        <f>Tabla1[[#This Row],[Initial Risk $]]/Tabla1[[#This Row],[Position Size (shares)]]*2+Tabla1[[#This Row],[Entry Price]]</f>
        <v>198.77999999999994</v>
      </c>
      <c r="S15">
        <f>Tabla1[[#This Row],[Initial Risk $]]/Tabla1[[#This Row],[Position Size (shares)]]*2.5+Tabla1[[#This Row],[Entry Price]]</f>
        <v>204.10499999999993</v>
      </c>
      <c r="T15">
        <f>Tabla1[[#This Row],[Initial Risk $]]/Tabla1[[#This Row],[Position Size (shares)]]*3+Tabla1[[#This Row],[Entry Price]]</f>
        <v>209.42999999999992</v>
      </c>
    </row>
    <row r="16" spans="1:20" customFormat="1" hidden="1" x14ac:dyDescent="0.25">
      <c r="A16" t="str">
        <f t="shared" si="0"/>
        <v>T-015</v>
      </c>
      <c r="B16" s="1">
        <v>46090</v>
      </c>
      <c r="C16" t="s">
        <v>110</v>
      </c>
      <c r="D16" t="s">
        <v>28</v>
      </c>
      <c r="E16" t="s">
        <v>58</v>
      </c>
      <c r="F16">
        <v>8.16</v>
      </c>
      <c r="G16">
        <v>7.84</v>
      </c>
      <c r="H16">
        <f>Tabla1[[#This Row],[Entry Price]]-(Tabla1[[#This Row],[Entry Price]]-Tabla1[[#This Row],[Initial Stop]])/2</f>
        <v>8</v>
      </c>
      <c r="I16">
        <v>50</v>
      </c>
      <c r="J16">
        <f t="shared" si="1"/>
        <v>16.000000000000014</v>
      </c>
      <c r="K16">
        <v>2</v>
      </c>
      <c r="L16">
        <f t="shared" si="2"/>
        <v>32.000000000000028</v>
      </c>
      <c r="M16" t="s">
        <v>72</v>
      </c>
      <c r="N16">
        <f>SUMIF(Executions!B:B,A16,Executions!H:H)</f>
        <v>0.99999999999997868</v>
      </c>
      <c r="O16">
        <f t="shared" si="3"/>
        <v>6.2499999999998612E-2</v>
      </c>
      <c r="P16">
        <f>Tabla1[[#This Row],[Initial Risk $]]/Tabla1[[#This Row],[Position Size (shares)]]+Tabla1[[#This Row],[Entry Price]]</f>
        <v>8.48</v>
      </c>
      <c r="Q16">
        <f>Tabla1[[#This Row],[Initial Risk $]]/Tabla1[[#This Row],[Position Size (shares)]]*1.5+Tabla1[[#This Row],[Entry Price]]</f>
        <v>8.64</v>
      </c>
      <c r="R16">
        <f>Tabla1[[#This Row],[Initial Risk $]]/Tabla1[[#This Row],[Position Size (shares)]]*2+Tabla1[[#This Row],[Entry Price]]</f>
        <v>8.8000000000000007</v>
      </c>
      <c r="S16">
        <f>Tabla1[[#This Row],[Initial Risk $]]/Tabla1[[#This Row],[Position Size (shares)]]*2.5+Tabla1[[#This Row],[Entry Price]]</f>
        <v>8.9600000000000009</v>
      </c>
      <c r="T16">
        <f>Tabla1[[#This Row],[Initial Risk $]]/Tabla1[[#This Row],[Position Size (shares)]]*3+Tabla1[[#This Row],[Entry Price]]</f>
        <v>9.120000000000001</v>
      </c>
    </row>
    <row r="17" spans="1:20" customFormat="1" hidden="1" x14ac:dyDescent="0.25">
      <c r="A17" t="str">
        <f t="shared" si="0"/>
        <v>T-016</v>
      </c>
      <c r="B17" s="1">
        <v>46090</v>
      </c>
      <c r="C17" t="s">
        <v>111</v>
      </c>
      <c r="D17" t="s">
        <v>28</v>
      </c>
      <c r="E17" t="s">
        <v>112</v>
      </c>
      <c r="F17">
        <v>24.88</v>
      </c>
      <c r="G17">
        <v>22.31</v>
      </c>
      <c r="H17">
        <f>Tabla1[[#This Row],[Entry Price]]-(Tabla1[[#This Row],[Entry Price]]-Tabla1[[#This Row],[Initial Stop]])/2</f>
        <v>23.594999999999999</v>
      </c>
      <c r="I17">
        <v>4</v>
      </c>
      <c r="J17">
        <f t="shared" ref="J17:J35" si="4">IF(D17="Long",(F17-G17)*I17,(G17-F17)*0)</f>
        <v>10.280000000000001</v>
      </c>
      <c r="K17">
        <v>2</v>
      </c>
      <c r="L17">
        <f t="shared" si="2"/>
        <v>20.560000000000002</v>
      </c>
      <c r="M17" t="s">
        <v>72</v>
      </c>
      <c r="N17">
        <f>SUMIF(Executions!B:B,A17,Executions!H:H)</f>
        <v>-9.5600000000000023</v>
      </c>
      <c r="O17">
        <f t="shared" si="3"/>
        <v>-0.92996108949416356</v>
      </c>
      <c r="P17">
        <f>Tabla1[[#This Row],[Initial Risk $]]/Tabla1[[#This Row],[Position Size (shares)]]+Tabla1[[#This Row],[Entry Price]]</f>
        <v>27.45</v>
      </c>
      <c r="Q17">
        <f>Tabla1[[#This Row],[Initial Risk $]]/Tabla1[[#This Row],[Position Size (shares)]]*1.5+Tabla1[[#This Row],[Entry Price]]</f>
        <v>28.734999999999999</v>
      </c>
      <c r="R17">
        <f>Tabla1[[#This Row],[Initial Risk $]]/Tabla1[[#This Row],[Position Size (shares)]]*2+Tabla1[[#This Row],[Entry Price]]</f>
        <v>30.02</v>
      </c>
      <c r="S17">
        <f>Tabla1[[#This Row],[Initial Risk $]]/Tabla1[[#This Row],[Position Size (shares)]]*2.5+Tabla1[[#This Row],[Entry Price]]</f>
        <v>31.305</v>
      </c>
      <c r="T17">
        <f>Tabla1[[#This Row],[Initial Risk $]]/Tabla1[[#This Row],[Position Size (shares)]]*3+Tabla1[[#This Row],[Entry Price]]</f>
        <v>32.590000000000003</v>
      </c>
    </row>
    <row r="18" spans="1:20" customFormat="1" hidden="1" x14ac:dyDescent="0.25">
      <c r="A18" t="str">
        <f t="shared" si="0"/>
        <v>T-017</v>
      </c>
      <c r="B18" s="1">
        <v>46091</v>
      </c>
      <c r="C18" t="s">
        <v>95</v>
      </c>
      <c r="D18" t="s">
        <v>28</v>
      </c>
      <c r="E18" t="s">
        <v>53</v>
      </c>
      <c r="F18">
        <v>77.150000000000006</v>
      </c>
      <c r="G18">
        <v>74.31</v>
      </c>
      <c r="H18">
        <f>Tabla1[[#This Row],[Entry Price]]-(Tabla1[[#This Row],[Entry Price]]-Tabla1[[#This Row],[Initial Stop]])/2</f>
        <v>75.73</v>
      </c>
      <c r="I18">
        <v>20</v>
      </c>
      <c r="J18">
        <f t="shared" si="4"/>
        <v>56.800000000000068</v>
      </c>
      <c r="K18">
        <v>2</v>
      </c>
      <c r="L18">
        <f t="shared" si="2"/>
        <v>113.60000000000014</v>
      </c>
      <c r="M18" t="s">
        <v>72</v>
      </c>
      <c r="N18">
        <f>SUMIF(Executions!B:B,A18,Executions!H:H)</f>
        <v>-83.800000000000239</v>
      </c>
      <c r="O18">
        <f t="shared" si="3"/>
        <v>-1.4753521126760587</v>
      </c>
      <c r="P18">
        <f>Tabla1[[#This Row],[Initial Risk $]]/Tabla1[[#This Row],[Position Size (shares)]]+Tabla1[[#This Row],[Entry Price]]</f>
        <v>79.990000000000009</v>
      </c>
      <c r="Q18">
        <f>Tabla1[[#This Row],[Initial Risk $]]/Tabla1[[#This Row],[Position Size (shares)]]*1.5+Tabla1[[#This Row],[Entry Price]]</f>
        <v>81.410000000000011</v>
      </c>
      <c r="R18">
        <f>Tabla1[[#This Row],[Initial Risk $]]/Tabla1[[#This Row],[Position Size (shares)]]*2+Tabla1[[#This Row],[Entry Price]]</f>
        <v>82.830000000000013</v>
      </c>
      <c r="S18">
        <f>Tabla1[[#This Row],[Initial Risk $]]/Tabla1[[#This Row],[Position Size (shares)]]*2.5+Tabla1[[#This Row],[Entry Price]]</f>
        <v>84.250000000000014</v>
      </c>
      <c r="T18">
        <f>Tabla1[[#This Row],[Initial Risk $]]/Tabla1[[#This Row],[Position Size (shares)]]*3+Tabla1[[#This Row],[Entry Price]]</f>
        <v>85.670000000000016</v>
      </c>
    </row>
    <row r="19" spans="1:20" customFormat="1" hidden="1" x14ac:dyDescent="0.25">
      <c r="A19" t="str">
        <f t="shared" si="0"/>
        <v>T-018</v>
      </c>
      <c r="B19" s="1">
        <v>46098</v>
      </c>
      <c r="C19" t="s">
        <v>118</v>
      </c>
      <c r="D19" t="s">
        <v>28</v>
      </c>
      <c r="E19" t="s">
        <v>119</v>
      </c>
      <c r="F19">
        <v>162.47999999999999</v>
      </c>
      <c r="G19">
        <v>156.29</v>
      </c>
      <c r="H19">
        <f>Tabla1[[#This Row],[Entry Price]]-(Tabla1[[#This Row],[Entry Price]]-Tabla1[[#This Row],[Initial Stop]])/2</f>
        <v>159.38499999999999</v>
      </c>
      <c r="I19">
        <v>3</v>
      </c>
      <c r="J19">
        <f t="shared" si="4"/>
        <v>18.569999999999993</v>
      </c>
      <c r="K19">
        <v>2</v>
      </c>
      <c r="L19">
        <f t="shared" si="2"/>
        <v>37.139999999999986</v>
      </c>
      <c r="M19" t="s">
        <v>72</v>
      </c>
      <c r="N19">
        <f>SUMIF(Executions!B:B,A19,Executions!H:H)</f>
        <v>-19.70999999999998</v>
      </c>
      <c r="O19">
        <f t="shared" si="3"/>
        <v>-1.0613893376413563</v>
      </c>
      <c r="P19">
        <f>Tabla1[[#This Row],[Initial Risk $]]/Tabla1[[#This Row],[Position Size (shares)]]+Tabla1[[#This Row],[Entry Price]]</f>
        <v>168.67</v>
      </c>
      <c r="Q19">
        <f>Tabla1[[#This Row],[Initial Risk $]]/Tabla1[[#This Row],[Position Size (shares)]]*1.5+Tabla1[[#This Row],[Entry Price]]</f>
        <v>171.76499999999999</v>
      </c>
      <c r="R19">
        <f>Tabla1[[#This Row],[Initial Risk $]]/Tabla1[[#This Row],[Position Size (shares)]]*2+Tabla1[[#This Row],[Entry Price]]</f>
        <v>174.85999999999999</v>
      </c>
      <c r="S19">
        <f>Tabla1[[#This Row],[Initial Risk $]]/Tabla1[[#This Row],[Position Size (shares)]]*2.5+Tabla1[[#This Row],[Entry Price]]</f>
        <v>177.95499999999998</v>
      </c>
      <c r="T19">
        <f>Tabla1[[#This Row],[Initial Risk $]]/Tabla1[[#This Row],[Position Size (shares)]]*3+Tabla1[[#This Row],[Entry Price]]</f>
        <v>181.04999999999998</v>
      </c>
    </row>
    <row r="20" spans="1:20" customFormat="1" hidden="1" x14ac:dyDescent="0.25">
      <c r="A20" t="str">
        <f t="shared" si="0"/>
        <v>T-019</v>
      </c>
      <c r="B20" s="1">
        <v>46079</v>
      </c>
      <c r="C20" t="s">
        <v>120</v>
      </c>
      <c r="D20" t="s">
        <v>28</v>
      </c>
      <c r="E20" t="s">
        <v>60</v>
      </c>
      <c r="F20">
        <v>20.83</v>
      </c>
      <c r="G20">
        <v>16.91</v>
      </c>
      <c r="H20">
        <f>Tabla1[[#This Row],[Entry Price]]-(Tabla1[[#This Row],[Entry Price]]-Tabla1[[#This Row],[Initial Stop]])/2</f>
        <v>18.869999999999997</v>
      </c>
      <c r="I20">
        <v>8</v>
      </c>
      <c r="J20">
        <f t="shared" si="4"/>
        <v>31.359999999999985</v>
      </c>
      <c r="K20">
        <v>2</v>
      </c>
      <c r="L20">
        <f t="shared" si="2"/>
        <v>62.71999999999997</v>
      </c>
      <c r="M20" t="s">
        <v>72</v>
      </c>
      <c r="N20">
        <f>SUMIF(Executions!B:B,A20,Executions!H:H)</f>
        <v>-31.359999999999985</v>
      </c>
      <c r="O20">
        <f t="shared" si="3"/>
        <v>-1</v>
      </c>
      <c r="P20">
        <f>Tabla1[[#This Row],[Initial Risk $]]/Tabla1[[#This Row],[Position Size (shares)]]+Tabla1[[#This Row],[Entry Price]]</f>
        <v>24.749999999999996</v>
      </c>
      <c r="Q20">
        <f>Tabla1[[#This Row],[Initial Risk $]]/Tabla1[[#This Row],[Position Size (shares)]]*1.5+Tabla1[[#This Row],[Entry Price]]</f>
        <v>26.709999999999994</v>
      </c>
      <c r="R20">
        <f>Tabla1[[#This Row],[Initial Risk $]]/Tabla1[[#This Row],[Position Size (shares)]]*2+Tabla1[[#This Row],[Entry Price]]</f>
        <v>28.669999999999995</v>
      </c>
      <c r="S20">
        <f>Tabla1[[#This Row],[Initial Risk $]]/Tabla1[[#This Row],[Position Size (shares)]]*2.5+Tabla1[[#This Row],[Entry Price]]</f>
        <v>30.629999999999995</v>
      </c>
      <c r="T20">
        <f>Tabla1[[#This Row],[Initial Risk $]]/Tabla1[[#This Row],[Position Size (shares)]]*3+Tabla1[[#This Row],[Entry Price]]</f>
        <v>32.589999999999989</v>
      </c>
    </row>
    <row r="21" spans="1:20" customFormat="1" hidden="1" x14ac:dyDescent="0.25">
      <c r="A21" t="str">
        <f t="shared" si="0"/>
        <v>T-020</v>
      </c>
      <c r="B21" s="1">
        <v>46100</v>
      </c>
      <c r="C21" t="s">
        <v>123</v>
      </c>
      <c r="D21" t="s">
        <v>28</v>
      </c>
      <c r="E21" t="s">
        <v>58</v>
      </c>
      <c r="F21">
        <v>58.85</v>
      </c>
      <c r="G21">
        <v>57.24</v>
      </c>
      <c r="H21">
        <f>Tabla1[[#This Row],[Entry Price]]-(Tabla1[[#This Row],[Entry Price]]-Tabla1[[#This Row],[Initial Stop]])/2</f>
        <v>58.045000000000002</v>
      </c>
      <c r="I21">
        <v>4</v>
      </c>
      <c r="J21">
        <f t="shared" si="4"/>
        <v>6.4399999999999977</v>
      </c>
      <c r="K21">
        <v>2</v>
      </c>
      <c r="L21">
        <f t="shared" si="2"/>
        <v>12.879999999999995</v>
      </c>
      <c r="M21" t="s">
        <v>72</v>
      </c>
      <c r="N21">
        <f>SUMIF(Executions!B:B,A21,Executions!H:H)</f>
        <v>36.119999999999976</v>
      </c>
      <c r="O21">
        <f t="shared" si="3"/>
        <v>5.6086956521739113</v>
      </c>
      <c r="P21">
        <f>Tabla1[[#This Row],[Initial Risk $]]/Tabla1[[#This Row],[Position Size (shares)]]+Tabla1[[#This Row],[Entry Price]]</f>
        <v>60.46</v>
      </c>
      <c r="Q21">
        <f>Tabla1[[#This Row],[Initial Risk $]]/Tabla1[[#This Row],[Position Size (shares)]]*1.5+Tabla1[[#This Row],[Entry Price]]</f>
        <v>61.265000000000001</v>
      </c>
      <c r="R21">
        <f>Tabla1[[#This Row],[Initial Risk $]]/Tabla1[[#This Row],[Position Size (shares)]]*2+Tabla1[[#This Row],[Entry Price]]</f>
        <v>62.07</v>
      </c>
      <c r="S21">
        <f>Tabla1[[#This Row],[Initial Risk $]]/Tabla1[[#This Row],[Position Size (shares)]]*2.5+Tabla1[[#This Row],[Entry Price]]</f>
        <v>62.875</v>
      </c>
      <c r="T21">
        <f>Tabla1[[#This Row],[Initial Risk $]]/Tabla1[[#This Row],[Position Size (shares)]]*3+Tabla1[[#This Row],[Entry Price]]</f>
        <v>63.68</v>
      </c>
    </row>
    <row r="22" spans="1:20" customFormat="1" hidden="1" x14ac:dyDescent="0.25">
      <c r="A22" t="str">
        <f t="shared" si="0"/>
        <v>T-021</v>
      </c>
      <c r="B22" s="1">
        <v>46106</v>
      </c>
      <c r="C22" t="s">
        <v>128</v>
      </c>
      <c r="D22" t="s">
        <v>28</v>
      </c>
      <c r="E22" t="s">
        <v>58</v>
      </c>
      <c r="F22">
        <v>215.7</v>
      </c>
      <c r="G22">
        <v>208.95</v>
      </c>
      <c r="H22">
        <f>Tabla1[[#This Row],[Entry Price]]-(Tabla1[[#This Row],[Entry Price]]-Tabla1[[#This Row],[Initial Stop]])/2</f>
        <v>212.32499999999999</v>
      </c>
      <c r="I22">
        <v>2</v>
      </c>
      <c r="J22">
        <f t="shared" si="4"/>
        <v>13.5</v>
      </c>
      <c r="K22">
        <v>1</v>
      </c>
      <c r="L22">
        <f t="shared" si="2"/>
        <v>13.5</v>
      </c>
      <c r="M22" t="s">
        <v>72</v>
      </c>
      <c r="N22">
        <f>SUMIF(Executions!B:B,A22,Executions!H:H)</f>
        <v>15.620000000000005</v>
      </c>
      <c r="O22">
        <f t="shared" si="3"/>
        <v>1.1570370370370373</v>
      </c>
      <c r="P22">
        <f>Tabla1[[#This Row],[Initial Risk $]]/Tabla1[[#This Row],[Position Size (shares)]]+Tabla1[[#This Row],[Entry Price]]</f>
        <v>222.45</v>
      </c>
      <c r="Q22">
        <f>Tabla1[[#This Row],[Initial Risk $]]/Tabla1[[#This Row],[Position Size (shares)]]*1.5+Tabla1[[#This Row],[Entry Price]]</f>
        <v>225.82499999999999</v>
      </c>
      <c r="R22">
        <f>Tabla1[[#This Row],[Initial Risk $]]/Tabla1[[#This Row],[Position Size (shares)]]*2+Tabla1[[#This Row],[Entry Price]]</f>
        <v>229.2</v>
      </c>
      <c r="S22">
        <f>Tabla1[[#This Row],[Initial Risk $]]/Tabla1[[#This Row],[Position Size (shares)]]*2.5+Tabla1[[#This Row],[Entry Price]]</f>
        <v>232.57499999999999</v>
      </c>
      <c r="T22">
        <f>Tabla1[[#This Row],[Initial Risk $]]/Tabla1[[#This Row],[Position Size (shares)]]*3+Tabla1[[#This Row],[Entry Price]]</f>
        <v>235.95</v>
      </c>
    </row>
    <row r="23" spans="1:20" customFormat="1" hidden="1" x14ac:dyDescent="0.25">
      <c r="A23" t="str">
        <f t="shared" si="0"/>
        <v>T-022</v>
      </c>
      <c r="B23" s="1">
        <v>46106</v>
      </c>
      <c r="C23" t="s">
        <v>129</v>
      </c>
      <c r="D23" t="s">
        <v>28</v>
      </c>
      <c r="E23" t="s">
        <v>60</v>
      </c>
      <c r="F23">
        <v>46.58</v>
      </c>
      <c r="G23">
        <v>45.93</v>
      </c>
      <c r="H23">
        <f>Tabla1[[#This Row],[Entry Price]]-(Tabla1[[#This Row],[Entry Price]]-Tabla1[[#This Row],[Initial Stop]])/2</f>
        <v>46.254999999999995</v>
      </c>
      <c r="I23">
        <v>3</v>
      </c>
      <c r="J23">
        <f t="shared" si="4"/>
        <v>1.9499999999999957</v>
      </c>
      <c r="K23">
        <v>1</v>
      </c>
      <c r="L23">
        <f t="shared" si="2"/>
        <v>1.9499999999999957</v>
      </c>
      <c r="M23" t="s">
        <v>72</v>
      </c>
      <c r="N23">
        <f>SUMIF(Executions!B:B,A23,Executions!H:H)</f>
        <v>2.5799999999999983</v>
      </c>
      <c r="O23">
        <f t="shared" si="3"/>
        <v>1.323076923076925</v>
      </c>
      <c r="P23">
        <f>Tabla1[[#This Row],[Initial Risk $]]/Tabla1[[#This Row],[Position Size (shares)]]+Tabla1[[#This Row],[Entry Price]]</f>
        <v>47.23</v>
      </c>
      <c r="Q23">
        <f>Tabla1[[#This Row],[Initial Risk $]]/Tabla1[[#This Row],[Position Size (shares)]]*1.5+Tabla1[[#This Row],[Entry Price]]</f>
        <v>47.554999999999993</v>
      </c>
      <c r="R23">
        <f>Tabla1[[#This Row],[Initial Risk $]]/Tabla1[[#This Row],[Position Size (shares)]]*2+Tabla1[[#This Row],[Entry Price]]</f>
        <v>47.879999999999995</v>
      </c>
      <c r="S23">
        <f>Tabla1[[#This Row],[Initial Risk $]]/Tabla1[[#This Row],[Position Size (shares)]]*2.5+Tabla1[[#This Row],[Entry Price]]</f>
        <v>48.204999999999998</v>
      </c>
      <c r="T23">
        <f>Tabla1[[#This Row],[Initial Risk $]]/Tabla1[[#This Row],[Position Size (shares)]]*3+Tabla1[[#This Row],[Entry Price]]</f>
        <v>48.529999999999994</v>
      </c>
    </row>
    <row r="24" spans="1:20" customFormat="1" hidden="1" x14ac:dyDescent="0.25">
      <c r="A24" t="str">
        <f t="shared" si="0"/>
        <v>T-023</v>
      </c>
      <c r="B24" s="1">
        <v>46106</v>
      </c>
      <c r="C24" t="s">
        <v>130</v>
      </c>
      <c r="D24" t="s">
        <v>28</v>
      </c>
      <c r="E24" t="s">
        <v>58</v>
      </c>
      <c r="F24">
        <v>217.51</v>
      </c>
      <c r="G24">
        <v>216.51</v>
      </c>
      <c r="H24">
        <f>Tabla1[[#This Row],[Entry Price]]-(Tabla1[[#This Row],[Entry Price]]-Tabla1[[#This Row],[Initial Stop]])/2</f>
        <v>217.01</v>
      </c>
      <c r="I24">
        <v>3</v>
      </c>
      <c r="J24">
        <f t="shared" si="4"/>
        <v>3</v>
      </c>
      <c r="K24">
        <v>1</v>
      </c>
      <c r="L24">
        <f t="shared" si="2"/>
        <v>3</v>
      </c>
      <c r="M24" t="s">
        <v>72</v>
      </c>
      <c r="N24">
        <f>SUMIF(Executions!B:B,A24,Executions!H:H)</f>
        <v>3.9800000000000182</v>
      </c>
      <c r="O24">
        <f t="shared" si="3"/>
        <v>1.3266666666666727</v>
      </c>
      <c r="P24">
        <f>Tabla1[[#This Row],[Initial Risk $]]/Tabla1[[#This Row],[Position Size (shares)]]+Tabla1[[#This Row],[Entry Price]]</f>
        <v>218.51</v>
      </c>
      <c r="Q24">
        <f>Tabla1[[#This Row],[Initial Risk $]]/Tabla1[[#This Row],[Position Size (shares)]]*1.5+Tabla1[[#This Row],[Entry Price]]</f>
        <v>219.01</v>
      </c>
      <c r="R24">
        <f>Tabla1[[#This Row],[Initial Risk $]]/Tabla1[[#This Row],[Position Size (shares)]]*2+Tabla1[[#This Row],[Entry Price]]</f>
        <v>219.51</v>
      </c>
      <c r="S24">
        <f>Tabla1[[#This Row],[Initial Risk $]]/Tabla1[[#This Row],[Position Size (shares)]]*2.5+Tabla1[[#This Row],[Entry Price]]</f>
        <v>220.01</v>
      </c>
      <c r="T24">
        <f>Tabla1[[#This Row],[Initial Risk $]]/Tabla1[[#This Row],[Position Size (shares)]]*3+Tabla1[[#This Row],[Entry Price]]</f>
        <v>220.51</v>
      </c>
    </row>
    <row r="25" spans="1:20" customFormat="1" hidden="1" x14ac:dyDescent="0.25">
      <c r="A25" t="str">
        <f t="shared" si="0"/>
        <v>T-024</v>
      </c>
      <c r="B25" s="1">
        <v>46107</v>
      </c>
      <c r="C25" t="s">
        <v>133</v>
      </c>
      <c r="D25" t="s">
        <v>28</v>
      </c>
      <c r="E25" t="s">
        <v>58</v>
      </c>
      <c r="F25">
        <v>64.56</v>
      </c>
      <c r="G25">
        <v>63.69</v>
      </c>
      <c r="H25">
        <f>Tabla1[[#This Row],[Entry Price]]-(Tabla1[[#This Row],[Entry Price]]-Tabla1[[#This Row],[Initial Stop]])/2</f>
        <v>64.125</v>
      </c>
      <c r="I25">
        <v>3</v>
      </c>
      <c r="J25">
        <f t="shared" si="4"/>
        <v>2.6100000000000136</v>
      </c>
      <c r="K25">
        <v>2</v>
      </c>
      <c r="L25">
        <f t="shared" si="2"/>
        <v>5.2200000000000273</v>
      </c>
      <c r="M25" t="s">
        <v>72</v>
      </c>
      <c r="N25">
        <f>SUMIF(Executions!B:B,A25,Executions!H:H)</f>
        <v>-2.5500000000000043</v>
      </c>
      <c r="O25">
        <f t="shared" si="3"/>
        <v>-0.97701149425287004</v>
      </c>
      <c r="P25">
        <f>Tabla1[[#This Row],[Initial Risk $]]/Tabla1[[#This Row],[Position Size (shares)]]+Tabla1[[#This Row],[Entry Price]]</f>
        <v>65.430000000000007</v>
      </c>
      <c r="Q25">
        <f>Tabla1[[#This Row],[Initial Risk $]]/Tabla1[[#This Row],[Position Size (shares)]]*1.5+Tabla1[[#This Row],[Entry Price]]</f>
        <v>65.865000000000009</v>
      </c>
      <c r="R25">
        <f>Tabla1[[#This Row],[Initial Risk $]]/Tabla1[[#This Row],[Position Size (shares)]]*2+Tabla1[[#This Row],[Entry Price]]</f>
        <v>66.300000000000011</v>
      </c>
      <c r="S25">
        <f>Tabla1[[#This Row],[Initial Risk $]]/Tabla1[[#This Row],[Position Size (shares)]]*2.5+Tabla1[[#This Row],[Entry Price]]</f>
        <v>66.735000000000014</v>
      </c>
      <c r="T25">
        <f>Tabla1[[#This Row],[Initial Risk $]]/Tabla1[[#This Row],[Position Size (shares)]]*3+Tabla1[[#This Row],[Entry Price]]</f>
        <v>67.170000000000016</v>
      </c>
    </row>
    <row r="26" spans="1:20" customFormat="1" hidden="1" x14ac:dyDescent="0.25">
      <c r="A26" t="str">
        <f t="shared" si="0"/>
        <v>T-025</v>
      </c>
      <c r="B26" s="1">
        <v>46107</v>
      </c>
      <c r="C26" t="s">
        <v>135</v>
      </c>
      <c r="D26" t="s">
        <v>28</v>
      </c>
      <c r="E26" t="s">
        <v>58</v>
      </c>
      <c r="F26">
        <v>159.59</v>
      </c>
      <c r="G26">
        <v>157.08000000000001</v>
      </c>
      <c r="H26">
        <f>Tabla1[[#This Row],[Entry Price]]-(Tabla1[[#This Row],[Entry Price]]-Tabla1[[#This Row],[Initial Stop]])/2</f>
        <v>158.33500000000001</v>
      </c>
      <c r="I26">
        <v>2</v>
      </c>
      <c r="J26">
        <f t="shared" si="4"/>
        <v>5.0199999999999818</v>
      </c>
      <c r="K26">
        <v>2</v>
      </c>
      <c r="L26">
        <f t="shared" si="2"/>
        <v>10.039999999999964</v>
      </c>
      <c r="M26" t="s">
        <v>72</v>
      </c>
      <c r="N26">
        <f>SUMIF(Executions!B:B,A26,Executions!H:H)</f>
        <v>-4.8799999999999955</v>
      </c>
      <c r="O26">
        <f t="shared" si="3"/>
        <v>-0.97211155378486314</v>
      </c>
      <c r="P26">
        <f>Tabla1[[#This Row],[Initial Risk $]]/Tabla1[[#This Row],[Position Size (shares)]]+Tabla1[[#This Row],[Entry Price]]</f>
        <v>162.1</v>
      </c>
      <c r="Q26">
        <f>Tabla1[[#This Row],[Initial Risk $]]/Tabla1[[#This Row],[Position Size (shares)]]*1.5+Tabla1[[#This Row],[Entry Price]]</f>
        <v>163.35499999999999</v>
      </c>
      <c r="R26">
        <f>Tabla1[[#This Row],[Initial Risk $]]/Tabla1[[#This Row],[Position Size (shares)]]*2+Tabla1[[#This Row],[Entry Price]]</f>
        <v>164.60999999999999</v>
      </c>
      <c r="S26">
        <f>Tabla1[[#This Row],[Initial Risk $]]/Tabla1[[#This Row],[Position Size (shares)]]*2.5+Tabla1[[#This Row],[Entry Price]]</f>
        <v>165.86499999999998</v>
      </c>
      <c r="T26">
        <f>Tabla1[[#This Row],[Initial Risk $]]/Tabla1[[#This Row],[Position Size (shares)]]*3+Tabla1[[#This Row],[Entry Price]]</f>
        <v>167.11999999999998</v>
      </c>
    </row>
    <row r="27" spans="1:20" customFormat="1" hidden="1" x14ac:dyDescent="0.25">
      <c r="A27" t="str">
        <f t="shared" si="0"/>
        <v>T-026</v>
      </c>
      <c r="B27" s="1">
        <v>46107</v>
      </c>
      <c r="C27" t="s">
        <v>136</v>
      </c>
      <c r="D27" t="s">
        <v>28</v>
      </c>
      <c r="E27" t="s">
        <v>58</v>
      </c>
      <c r="F27">
        <v>63.01</v>
      </c>
      <c r="G27">
        <v>61.7</v>
      </c>
      <c r="H27">
        <f>Tabla1[[#This Row],[Entry Price]]-(Tabla1[[#This Row],[Entry Price]]-Tabla1[[#This Row],[Initial Stop]])/2</f>
        <v>62.355000000000004</v>
      </c>
      <c r="I27">
        <v>3</v>
      </c>
      <c r="J27">
        <f t="shared" si="4"/>
        <v>3.9299999999999855</v>
      </c>
      <c r="K27">
        <v>1</v>
      </c>
      <c r="L27">
        <f t="shared" si="2"/>
        <v>3.9299999999999855</v>
      </c>
      <c r="M27" t="s">
        <v>72</v>
      </c>
      <c r="N27">
        <f>SUMIF(Executions!B:B,A27,Executions!H:H)</f>
        <v>3.1500000000000128</v>
      </c>
      <c r="O27">
        <f t="shared" si="3"/>
        <v>0.80152671755725813</v>
      </c>
      <c r="P27">
        <f>Tabla1[[#This Row],[Initial Risk $]]/Tabla1[[#This Row],[Position Size (shares)]]+Tabla1[[#This Row],[Entry Price]]</f>
        <v>64.319999999999993</v>
      </c>
      <c r="Q27">
        <f>Tabla1[[#This Row],[Initial Risk $]]/Tabla1[[#This Row],[Position Size (shares)]]*1.5+Tabla1[[#This Row],[Entry Price]]</f>
        <v>64.974999999999994</v>
      </c>
      <c r="R27">
        <f>Tabla1[[#This Row],[Initial Risk $]]/Tabla1[[#This Row],[Position Size (shares)]]*2+Tabla1[[#This Row],[Entry Price]]</f>
        <v>65.63</v>
      </c>
      <c r="S27">
        <f>Tabla1[[#This Row],[Initial Risk $]]/Tabla1[[#This Row],[Position Size (shares)]]*2.5+Tabla1[[#This Row],[Entry Price]]</f>
        <v>66.284999999999982</v>
      </c>
      <c r="T27">
        <f>Tabla1[[#This Row],[Initial Risk $]]/Tabla1[[#This Row],[Position Size (shares)]]*3+Tabla1[[#This Row],[Entry Price]]</f>
        <v>66.939999999999984</v>
      </c>
    </row>
    <row r="28" spans="1:20" customFormat="1" hidden="1" x14ac:dyDescent="0.25">
      <c r="A28" t="str">
        <f t="shared" si="0"/>
        <v>T-027</v>
      </c>
      <c r="B28" s="1">
        <v>46107</v>
      </c>
      <c r="C28" t="s">
        <v>138</v>
      </c>
      <c r="D28" t="s">
        <v>28</v>
      </c>
      <c r="E28" t="s">
        <v>58</v>
      </c>
      <c r="F28">
        <v>166.95</v>
      </c>
      <c r="G28">
        <v>159.75</v>
      </c>
      <c r="H28">
        <f>Tabla1[[#This Row],[Entry Price]]-(Tabla1[[#This Row],[Entry Price]]-Tabla1[[#This Row],[Initial Stop]])/2</f>
        <v>163.35</v>
      </c>
      <c r="I28">
        <v>2</v>
      </c>
      <c r="J28">
        <f t="shared" si="4"/>
        <v>14.399999999999977</v>
      </c>
      <c r="K28">
        <v>2</v>
      </c>
      <c r="L28">
        <f t="shared" si="2"/>
        <v>28.799999999999955</v>
      </c>
      <c r="M28" t="s">
        <v>72</v>
      </c>
      <c r="N28">
        <f>SUMIF(Executions!B:B,A28,Executions!H:H)</f>
        <v>45.740000000000009</v>
      </c>
      <c r="O28">
        <f t="shared" si="3"/>
        <v>3.1763888888888947</v>
      </c>
      <c r="P28">
        <f>Tabla1[[#This Row],[Initial Risk $]]/Tabla1[[#This Row],[Position Size (shares)]]+Tabla1[[#This Row],[Entry Price]]</f>
        <v>174.14999999999998</v>
      </c>
      <c r="Q28">
        <f>Tabla1[[#This Row],[Initial Risk $]]/Tabla1[[#This Row],[Position Size (shares)]]*1.5+Tabla1[[#This Row],[Entry Price]]</f>
        <v>177.74999999999997</v>
      </c>
      <c r="R28">
        <f>Tabla1[[#This Row],[Initial Risk $]]/Tabla1[[#This Row],[Position Size (shares)]]*2+Tabla1[[#This Row],[Entry Price]]</f>
        <v>181.34999999999997</v>
      </c>
      <c r="S28">
        <f>Tabla1[[#This Row],[Initial Risk $]]/Tabla1[[#This Row],[Position Size (shares)]]*2.5+Tabla1[[#This Row],[Entry Price]]</f>
        <v>184.94999999999996</v>
      </c>
      <c r="T28">
        <f>Tabla1[[#This Row],[Initial Risk $]]/Tabla1[[#This Row],[Position Size (shares)]]*3+Tabla1[[#This Row],[Entry Price]]</f>
        <v>188.54999999999995</v>
      </c>
    </row>
    <row r="29" spans="1:20" customFormat="1" hidden="1" x14ac:dyDescent="0.25">
      <c r="A29" t="str">
        <f t="shared" si="0"/>
        <v>T-028</v>
      </c>
      <c r="B29" s="1">
        <v>46107</v>
      </c>
      <c r="C29" t="s">
        <v>135</v>
      </c>
      <c r="D29" t="s">
        <v>28</v>
      </c>
      <c r="E29" t="s">
        <v>58</v>
      </c>
      <c r="F29">
        <v>157.47</v>
      </c>
      <c r="G29">
        <v>155.03</v>
      </c>
      <c r="H29">
        <f>Tabla1[[#This Row],[Entry Price]]-(Tabla1[[#This Row],[Entry Price]]-Tabla1[[#This Row],[Initial Stop]])/2</f>
        <v>156.25</v>
      </c>
      <c r="I29">
        <v>2</v>
      </c>
      <c r="J29">
        <f t="shared" si="4"/>
        <v>4.8799999999999955</v>
      </c>
      <c r="K29">
        <v>1</v>
      </c>
      <c r="L29">
        <f t="shared" si="2"/>
        <v>4.8799999999999955</v>
      </c>
      <c r="M29" t="s">
        <v>72</v>
      </c>
      <c r="N29">
        <f>SUMIF(Executions!B:B,A29,Executions!H:H)</f>
        <v>-3.3799999999999955</v>
      </c>
      <c r="O29">
        <f t="shared" si="3"/>
        <v>-0.69262295081967185</v>
      </c>
      <c r="P29">
        <f>Tabla1[[#This Row],[Initial Risk $]]/Tabla1[[#This Row],[Position Size (shares)]]+Tabla1[[#This Row],[Entry Price]]</f>
        <v>159.91</v>
      </c>
      <c r="Q29">
        <f>Tabla1[[#This Row],[Initial Risk $]]/Tabla1[[#This Row],[Position Size (shares)]]*1.5+Tabla1[[#This Row],[Entry Price]]</f>
        <v>161.13</v>
      </c>
      <c r="R29">
        <f>Tabla1[[#This Row],[Initial Risk $]]/Tabla1[[#This Row],[Position Size (shares)]]*2+Tabla1[[#This Row],[Entry Price]]</f>
        <v>162.35</v>
      </c>
      <c r="S29">
        <f>Tabla1[[#This Row],[Initial Risk $]]/Tabla1[[#This Row],[Position Size (shares)]]*2.5+Tabla1[[#This Row],[Entry Price]]</f>
        <v>163.57</v>
      </c>
      <c r="T29">
        <f>Tabla1[[#This Row],[Initial Risk $]]/Tabla1[[#This Row],[Position Size (shares)]]*3+Tabla1[[#This Row],[Entry Price]]</f>
        <v>164.79</v>
      </c>
    </row>
    <row r="30" spans="1:20" customFormat="1" hidden="1" x14ac:dyDescent="0.25">
      <c r="A30" t="str">
        <f t="shared" si="0"/>
        <v>T-029</v>
      </c>
      <c r="B30" s="1">
        <v>46108</v>
      </c>
      <c r="C30" t="s">
        <v>141</v>
      </c>
      <c r="D30" t="s">
        <v>28</v>
      </c>
      <c r="E30" t="s">
        <v>58</v>
      </c>
      <c r="F30">
        <v>54.44</v>
      </c>
      <c r="G30">
        <v>53.43</v>
      </c>
      <c r="H30">
        <f>Tabla1[[#This Row],[Entry Price]]-(Tabla1[[#This Row],[Entry Price]]-Tabla1[[#This Row],[Initial Stop]])/2</f>
        <v>53.935000000000002</v>
      </c>
      <c r="I30">
        <v>4</v>
      </c>
      <c r="J30">
        <f t="shared" si="4"/>
        <v>4.039999999999992</v>
      </c>
      <c r="K30">
        <v>1</v>
      </c>
      <c r="L30">
        <f t="shared" si="2"/>
        <v>4.039999999999992</v>
      </c>
      <c r="M30" t="s">
        <v>72</v>
      </c>
      <c r="N30">
        <f>SUMIF(Executions!B:B,A30,Executions!H:H)</f>
        <v>-4.7199999999999989</v>
      </c>
      <c r="O30">
        <f t="shared" si="3"/>
        <v>-1.1683168316831702</v>
      </c>
      <c r="P30">
        <f>Tabla1[[#This Row],[Initial Risk $]]/Tabla1[[#This Row],[Position Size (shares)]]+Tabla1[[#This Row],[Entry Price]]</f>
        <v>55.449999999999996</v>
      </c>
      <c r="Q30">
        <f>Tabla1[[#This Row],[Initial Risk $]]/Tabla1[[#This Row],[Position Size (shares)]]*1.5+Tabla1[[#This Row],[Entry Price]]</f>
        <v>55.954999999999998</v>
      </c>
      <c r="R30">
        <f>Tabla1[[#This Row],[Initial Risk $]]/Tabla1[[#This Row],[Position Size (shares)]]*2+Tabla1[[#This Row],[Entry Price]]</f>
        <v>56.459999999999994</v>
      </c>
      <c r="S30">
        <f>Tabla1[[#This Row],[Initial Risk $]]/Tabla1[[#This Row],[Position Size (shares)]]*2.5+Tabla1[[#This Row],[Entry Price]]</f>
        <v>56.964999999999989</v>
      </c>
      <c r="T30">
        <f>Tabla1[[#This Row],[Initial Risk $]]/Tabla1[[#This Row],[Position Size (shares)]]*3+Tabla1[[#This Row],[Entry Price]]</f>
        <v>57.469999999999992</v>
      </c>
    </row>
    <row r="31" spans="1:20" customFormat="1" hidden="1" x14ac:dyDescent="0.25">
      <c r="A31" t="str">
        <f t="shared" si="0"/>
        <v>T-030</v>
      </c>
      <c r="B31" s="1">
        <v>46108</v>
      </c>
      <c r="C31" t="s">
        <v>143</v>
      </c>
      <c r="D31" t="s">
        <v>28</v>
      </c>
      <c r="E31" t="s">
        <v>50</v>
      </c>
      <c r="F31">
        <v>544.05999999999995</v>
      </c>
      <c r="G31">
        <v>535.73</v>
      </c>
      <c r="H31">
        <f>Tabla1[[#This Row],[Entry Price]]-(Tabla1[[#This Row],[Entry Price]]-Tabla1[[#This Row],[Initial Stop]])/2</f>
        <v>539.89499999999998</v>
      </c>
      <c r="I31">
        <v>2</v>
      </c>
      <c r="J31">
        <f t="shared" si="4"/>
        <v>16.659999999999854</v>
      </c>
      <c r="K31">
        <v>1</v>
      </c>
      <c r="L31">
        <f t="shared" si="2"/>
        <v>16.659999999999854</v>
      </c>
      <c r="M31" t="s">
        <v>72</v>
      </c>
      <c r="N31">
        <f>SUMIF(Executions!B:B,A31,Executions!H:H)</f>
        <v>-26.839999999999918</v>
      </c>
      <c r="O31">
        <f t="shared" si="3"/>
        <v>-1.6110444177671159</v>
      </c>
      <c r="P31">
        <f>Tabla1[[#This Row],[Initial Risk $]]/Tabla1[[#This Row],[Position Size (shares)]]+Tabla1[[#This Row],[Entry Price]]</f>
        <v>552.38999999999987</v>
      </c>
      <c r="Q31">
        <f>Tabla1[[#This Row],[Initial Risk $]]/Tabla1[[#This Row],[Position Size (shares)]]*1.5+Tabla1[[#This Row],[Entry Price]]</f>
        <v>556.55499999999984</v>
      </c>
      <c r="R31">
        <f>Tabla1[[#This Row],[Initial Risk $]]/Tabla1[[#This Row],[Position Size (shares)]]*2+Tabla1[[#This Row],[Entry Price]]</f>
        <v>560.7199999999998</v>
      </c>
      <c r="S31">
        <f>Tabla1[[#This Row],[Initial Risk $]]/Tabla1[[#This Row],[Position Size (shares)]]*2.5+Tabla1[[#This Row],[Entry Price]]</f>
        <v>564.88499999999976</v>
      </c>
      <c r="T31">
        <f>Tabla1[[#This Row],[Initial Risk $]]/Tabla1[[#This Row],[Position Size (shares)]]*3+Tabla1[[#This Row],[Entry Price]]</f>
        <v>569.04999999999973</v>
      </c>
    </row>
    <row r="32" spans="1:20" customFormat="1" hidden="1" x14ac:dyDescent="0.25">
      <c r="A32" t="str">
        <f t="shared" si="0"/>
        <v>T-031</v>
      </c>
      <c r="B32" s="1">
        <v>46108</v>
      </c>
      <c r="C32" t="s">
        <v>145</v>
      </c>
      <c r="D32" t="s">
        <v>28</v>
      </c>
      <c r="E32" t="s">
        <v>58</v>
      </c>
      <c r="F32">
        <v>123.25</v>
      </c>
      <c r="G32">
        <v>120.99</v>
      </c>
      <c r="H32">
        <f>Tabla1[[#This Row],[Entry Price]]-(Tabla1[[#This Row],[Entry Price]]-Tabla1[[#This Row],[Initial Stop]])/2</f>
        <v>122.12</v>
      </c>
      <c r="I32">
        <v>3</v>
      </c>
      <c r="J32">
        <f t="shared" si="4"/>
        <v>6.7800000000000153</v>
      </c>
      <c r="K32">
        <v>1.5</v>
      </c>
      <c r="L32">
        <f t="shared" si="2"/>
        <v>10.170000000000023</v>
      </c>
      <c r="M32" t="s">
        <v>72</v>
      </c>
      <c r="N32">
        <f>SUMIF(Executions!B:B,A32,Executions!H:H)</f>
        <v>3.1800000000000068</v>
      </c>
      <c r="O32">
        <f t="shared" si="3"/>
        <v>0.46902654867256632</v>
      </c>
      <c r="P32">
        <f>Tabla1[[#This Row],[Initial Risk $]]/Tabla1[[#This Row],[Position Size (shares)]]+Tabla1[[#This Row],[Entry Price]]</f>
        <v>125.51</v>
      </c>
      <c r="Q32">
        <f>Tabla1[[#This Row],[Initial Risk $]]/Tabla1[[#This Row],[Position Size (shares)]]*1.5+Tabla1[[#This Row],[Entry Price]]</f>
        <v>126.64000000000001</v>
      </c>
      <c r="R32">
        <f>Tabla1[[#This Row],[Initial Risk $]]/Tabla1[[#This Row],[Position Size (shares)]]*2+Tabla1[[#This Row],[Entry Price]]</f>
        <v>127.77000000000001</v>
      </c>
      <c r="S32">
        <f>Tabla1[[#This Row],[Initial Risk $]]/Tabla1[[#This Row],[Position Size (shares)]]*2.5+Tabla1[[#This Row],[Entry Price]]</f>
        <v>128.9</v>
      </c>
      <c r="T32">
        <f>Tabla1[[#This Row],[Initial Risk $]]/Tabla1[[#This Row],[Position Size (shares)]]*3+Tabla1[[#This Row],[Entry Price]]</f>
        <v>130.03000000000003</v>
      </c>
    </row>
    <row r="33" spans="1:20" customFormat="1" hidden="1" x14ac:dyDescent="0.25">
      <c r="A33" t="str">
        <f t="shared" si="0"/>
        <v>T-032</v>
      </c>
      <c r="B33" s="1">
        <v>46108</v>
      </c>
      <c r="C33" t="s">
        <v>147</v>
      </c>
      <c r="D33" t="s">
        <v>28</v>
      </c>
      <c r="E33" t="s">
        <v>27</v>
      </c>
      <c r="F33">
        <v>62.92</v>
      </c>
      <c r="G33">
        <v>61.92</v>
      </c>
      <c r="H33">
        <f>Tabla1[[#This Row],[Entry Price]]-(Tabla1[[#This Row],[Entry Price]]-Tabla1[[#This Row],[Initial Stop]])/2</f>
        <v>62.42</v>
      </c>
      <c r="I33">
        <v>3</v>
      </c>
      <c r="J33">
        <f t="shared" si="4"/>
        <v>3</v>
      </c>
      <c r="K33">
        <v>2</v>
      </c>
      <c r="L33">
        <f t="shared" si="2"/>
        <v>6</v>
      </c>
      <c r="M33" t="s">
        <v>72</v>
      </c>
      <c r="N33">
        <f>SUMIF(Executions!B:B,A33,Executions!H:H)</f>
        <v>7.9799999999999898</v>
      </c>
      <c r="O33">
        <f t="shared" si="3"/>
        <v>2.6599999999999966</v>
      </c>
      <c r="P33">
        <f>Tabla1[[#This Row],[Initial Risk $]]/Tabla1[[#This Row],[Position Size (shares)]]+Tabla1[[#This Row],[Entry Price]]</f>
        <v>63.92</v>
      </c>
      <c r="Q33">
        <f>Tabla1[[#This Row],[Initial Risk $]]/Tabla1[[#This Row],[Position Size (shares)]]*1.5+Tabla1[[#This Row],[Entry Price]]</f>
        <v>64.42</v>
      </c>
      <c r="R33">
        <f>Tabla1[[#This Row],[Initial Risk $]]/Tabla1[[#This Row],[Position Size (shares)]]*2+Tabla1[[#This Row],[Entry Price]]</f>
        <v>64.92</v>
      </c>
      <c r="S33">
        <f>Tabla1[[#This Row],[Initial Risk $]]/Tabla1[[#This Row],[Position Size (shares)]]*2.5+Tabla1[[#This Row],[Entry Price]]</f>
        <v>65.42</v>
      </c>
      <c r="T33">
        <f>Tabla1[[#This Row],[Initial Risk $]]/Tabla1[[#This Row],[Position Size (shares)]]*3+Tabla1[[#This Row],[Entry Price]]</f>
        <v>65.92</v>
      </c>
    </row>
    <row r="34" spans="1:20" customFormat="1" hidden="1" x14ac:dyDescent="0.25">
      <c r="A34" t="str">
        <f t="shared" si="0"/>
        <v>T-033</v>
      </c>
      <c r="B34" s="1">
        <v>46112</v>
      </c>
      <c r="C34" t="s">
        <v>150</v>
      </c>
      <c r="D34" t="s">
        <v>28</v>
      </c>
      <c r="E34" t="s">
        <v>119</v>
      </c>
      <c r="F34">
        <v>13.07</v>
      </c>
      <c r="G34">
        <v>12.24</v>
      </c>
      <c r="H34">
        <f>Tabla1[[#This Row],[Entry Price]]-(Tabla1[[#This Row],[Entry Price]]-Tabla1[[#This Row],[Initial Stop]])/2</f>
        <v>12.655000000000001</v>
      </c>
      <c r="I34">
        <v>14</v>
      </c>
      <c r="J34">
        <f t="shared" si="4"/>
        <v>11.620000000000001</v>
      </c>
      <c r="K34">
        <v>1</v>
      </c>
      <c r="L34">
        <f t="shared" si="2"/>
        <v>11.620000000000001</v>
      </c>
      <c r="M34" t="s">
        <v>72</v>
      </c>
      <c r="N34">
        <f>SUMIF(Executions!B:B,A34,Executions!H:H)</f>
        <v>27.93</v>
      </c>
      <c r="O34">
        <f t="shared" si="3"/>
        <v>2.403614457831325</v>
      </c>
      <c r="P34">
        <f>Tabla1[[#This Row],[Initial Risk $]]/Tabla1[[#This Row],[Position Size (shares)]]+Tabla1[[#This Row],[Entry Price]]</f>
        <v>13.9</v>
      </c>
      <c r="Q34">
        <f>Tabla1[[#This Row],[Initial Risk $]]/Tabla1[[#This Row],[Position Size (shares)]]*1.5+Tabla1[[#This Row],[Entry Price]]</f>
        <v>14.315000000000001</v>
      </c>
      <c r="R34">
        <f>Tabla1[[#This Row],[Initial Risk $]]/Tabla1[[#This Row],[Position Size (shares)]]*2+Tabla1[[#This Row],[Entry Price]]</f>
        <v>14.73</v>
      </c>
      <c r="S34">
        <f>Tabla1[[#This Row],[Initial Risk $]]/Tabla1[[#This Row],[Position Size (shares)]]*2.5+Tabla1[[#This Row],[Entry Price]]</f>
        <v>15.145</v>
      </c>
      <c r="T34">
        <f>Tabla1[[#This Row],[Initial Risk $]]/Tabla1[[#This Row],[Position Size (shares)]]*3+Tabla1[[#This Row],[Entry Price]]</f>
        <v>15.56</v>
      </c>
    </row>
    <row r="35" spans="1:20" customFormat="1" hidden="1" x14ac:dyDescent="0.25">
      <c r="A35" t="str">
        <f t="shared" si="0"/>
        <v>T-034</v>
      </c>
      <c r="B35" s="1">
        <v>46112</v>
      </c>
      <c r="C35" t="s">
        <v>151</v>
      </c>
      <c r="D35" t="s">
        <v>28</v>
      </c>
      <c r="E35" t="s">
        <v>58</v>
      </c>
      <c r="F35">
        <v>58.53</v>
      </c>
      <c r="G35">
        <v>57.53</v>
      </c>
      <c r="H35">
        <f>Tabla1[[#This Row],[Entry Price]]-(Tabla1[[#This Row],[Entry Price]]-Tabla1[[#This Row],[Initial Stop]])/2</f>
        <v>58.03</v>
      </c>
      <c r="I35">
        <v>4</v>
      </c>
      <c r="J35">
        <f t="shared" si="4"/>
        <v>4</v>
      </c>
      <c r="K35">
        <v>1</v>
      </c>
      <c r="L35">
        <f t="shared" si="2"/>
        <v>4</v>
      </c>
      <c r="M35" t="s">
        <v>72</v>
      </c>
      <c r="N35">
        <f>SUMIF(Executions!B:B,A35,Executions!H:H)</f>
        <v>-3.9200000000000159</v>
      </c>
      <c r="O35">
        <f t="shared" si="3"/>
        <v>-0.98000000000000398</v>
      </c>
      <c r="P35">
        <f>Tabla1[[#This Row],[Initial Risk $]]/Tabla1[[#This Row],[Position Size (shares)]]+Tabla1[[#This Row],[Entry Price]]</f>
        <v>59.53</v>
      </c>
      <c r="Q35">
        <f>Tabla1[[#This Row],[Initial Risk $]]/Tabla1[[#This Row],[Position Size (shares)]]*1.5+Tabla1[[#This Row],[Entry Price]]</f>
        <v>60.03</v>
      </c>
      <c r="R35">
        <f>Tabla1[[#This Row],[Initial Risk $]]/Tabla1[[#This Row],[Position Size (shares)]]*2+Tabla1[[#This Row],[Entry Price]]</f>
        <v>60.53</v>
      </c>
      <c r="S35">
        <f>Tabla1[[#This Row],[Initial Risk $]]/Tabla1[[#This Row],[Position Size (shares)]]*2.5+Tabla1[[#This Row],[Entry Price]]</f>
        <v>61.03</v>
      </c>
      <c r="T35">
        <f>Tabla1[[#This Row],[Initial Risk $]]/Tabla1[[#This Row],[Position Size (shares)]]*3+Tabla1[[#This Row],[Entry Price]]</f>
        <v>61.53</v>
      </c>
    </row>
    <row r="36" spans="1:20" customFormat="1" hidden="1" x14ac:dyDescent="0.25">
      <c r="A36" t="str">
        <f t="shared" si="0"/>
        <v>T-035</v>
      </c>
      <c r="B36" s="1">
        <v>46112</v>
      </c>
      <c r="C36" t="s">
        <v>118</v>
      </c>
      <c r="D36" t="s">
        <v>28</v>
      </c>
      <c r="E36" t="s">
        <v>119</v>
      </c>
      <c r="F36">
        <v>156.61000000000001</v>
      </c>
      <c r="G36">
        <v>153.01</v>
      </c>
      <c r="H36">
        <f>Tabla1[[#This Row],[Entry Price]]-(Tabla1[[#This Row],[Entry Price]]-Tabla1[[#This Row],[Initial Stop]])/2</f>
        <v>154.81</v>
      </c>
      <c r="I36">
        <v>3</v>
      </c>
      <c r="J36">
        <f t="shared" ref="J36:J65" si="5">IF(D36="Long",(F36-G36)*I36,(G36-F36)*0)</f>
        <v>10.800000000000068</v>
      </c>
      <c r="K36">
        <v>1</v>
      </c>
      <c r="L36">
        <f t="shared" si="2"/>
        <v>10.800000000000068</v>
      </c>
      <c r="M36" t="s">
        <v>72</v>
      </c>
      <c r="N36">
        <f>SUMIF(Executions!B:B,A36,Executions!H:H)</f>
        <v>-11.04000000000002</v>
      </c>
      <c r="O36">
        <f t="shared" si="3"/>
        <v>-1.0222222222222177</v>
      </c>
      <c r="P36">
        <f>Tabla1[[#This Row],[Initial Risk $]]/Tabla1[[#This Row],[Position Size (shares)]]+Tabla1[[#This Row],[Entry Price]]</f>
        <v>160.21000000000004</v>
      </c>
      <c r="Q36">
        <f>Tabla1[[#This Row],[Initial Risk $]]/Tabla1[[#This Row],[Position Size (shares)]]*1.5+Tabla1[[#This Row],[Entry Price]]</f>
        <v>162.01000000000005</v>
      </c>
      <c r="R36">
        <f>Tabla1[[#This Row],[Initial Risk $]]/Tabla1[[#This Row],[Position Size (shares)]]*2+Tabla1[[#This Row],[Entry Price]]</f>
        <v>163.81000000000006</v>
      </c>
      <c r="S36">
        <f>Tabla1[[#This Row],[Initial Risk $]]/Tabla1[[#This Row],[Position Size (shares)]]*2.5+Tabla1[[#This Row],[Entry Price]]</f>
        <v>165.61000000000007</v>
      </c>
      <c r="T36">
        <f>Tabla1[[#This Row],[Initial Risk $]]/Tabla1[[#This Row],[Position Size (shares)]]*3+Tabla1[[#This Row],[Entry Price]]</f>
        <v>167.41000000000008</v>
      </c>
    </row>
    <row r="37" spans="1:20" customFormat="1" hidden="1" x14ac:dyDescent="0.25">
      <c r="A37" t="str">
        <f t="shared" si="0"/>
        <v>T-036</v>
      </c>
      <c r="B37" s="1">
        <v>46113</v>
      </c>
      <c r="C37" t="s">
        <v>153</v>
      </c>
      <c r="D37" t="s">
        <v>28</v>
      </c>
      <c r="E37" t="s">
        <v>119</v>
      </c>
      <c r="F37">
        <v>1.69</v>
      </c>
      <c r="G37">
        <v>1.58</v>
      </c>
      <c r="H37">
        <f>Tabla1[[#This Row],[Entry Price]]-(Tabla1[[#This Row],[Entry Price]]-Tabla1[[#This Row],[Initial Stop]])/2</f>
        <v>1.635</v>
      </c>
      <c r="I37">
        <v>100</v>
      </c>
      <c r="J37">
        <f t="shared" si="5"/>
        <v>10.999999999999988</v>
      </c>
      <c r="K37">
        <v>1</v>
      </c>
      <c r="L37">
        <f t="shared" si="2"/>
        <v>10.999999999999988</v>
      </c>
      <c r="M37" t="s">
        <v>72</v>
      </c>
      <c r="N37">
        <f>SUMIF(Executions!B:B,A37,Executions!H:H)</f>
        <v>-10.999999999999988</v>
      </c>
      <c r="O37">
        <f t="shared" si="3"/>
        <v>-1</v>
      </c>
      <c r="P37">
        <f>Tabla1[[#This Row],[Initial Risk $]]/Tabla1[[#This Row],[Position Size (shares)]]+Tabla1[[#This Row],[Entry Price]]</f>
        <v>1.7999999999999998</v>
      </c>
      <c r="Q37">
        <f>Tabla1[[#This Row],[Initial Risk $]]/Tabla1[[#This Row],[Position Size (shares)]]*1.5+Tabla1[[#This Row],[Entry Price]]</f>
        <v>1.8549999999999998</v>
      </c>
      <c r="R37">
        <f>Tabla1[[#This Row],[Initial Risk $]]/Tabla1[[#This Row],[Position Size (shares)]]*2+Tabla1[[#This Row],[Entry Price]]</f>
        <v>1.9099999999999997</v>
      </c>
      <c r="S37">
        <f>Tabla1[[#This Row],[Initial Risk $]]/Tabla1[[#This Row],[Position Size (shares)]]*2.5+Tabla1[[#This Row],[Entry Price]]</f>
        <v>1.9649999999999996</v>
      </c>
      <c r="T37">
        <f>Tabla1[[#This Row],[Initial Risk $]]/Tabla1[[#This Row],[Position Size (shares)]]*3+Tabla1[[#This Row],[Entry Price]]</f>
        <v>2.0199999999999996</v>
      </c>
    </row>
    <row r="38" spans="1:20" customFormat="1" hidden="1" x14ac:dyDescent="0.25">
      <c r="A38" t="str">
        <f t="shared" si="0"/>
        <v>T-037</v>
      </c>
      <c r="B38" s="1">
        <v>46113</v>
      </c>
      <c r="C38" t="s">
        <v>154</v>
      </c>
      <c r="D38" t="s">
        <v>28</v>
      </c>
      <c r="E38" t="s">
        <v>119</v>
      </c>
      <c r="F38">
        <v>292.51</v>
      </c>
      <c r="G38">
        <v>291.02</v>
      </c>
      <c r="H38">
        <f>Tabla1[[#This Row],[Entry Price]]-(Tabla1[[#This Row],[Entry Price]]-Tabla1[[#This Row],[Initial Stop]])/2</f>
        <v>291.76499999999999</v>
      </c>
      <c r="I38">
        <v>2</v>
      </c>
      <c r="J38">
        <f t="shared" si="5"/>
        <v>2.9800000000000182</v>
      </c>
      <c r="K38">
        <v>1</v>
      </c>
      <c r="L38">
        <f t="shared" si="2"/>
        <v>2.9800000000000182</v>
      </c>
      <c r="M38" t="s">
        <v>72</v>
      </c>
      <c r="N38">
        <f>SUMIF(Executions!B:B,A38,Executions!H:H)</f>
        <v>4.32000000000005</v>
      </c>
      <c r="O38">
        <f t="shared" si="3"/>
        <v>1.4496644295302092</v>
      </c>
      <c r="P38">
        <f>Tabla1[[#This Row],[Initial Risk $]]/Tabla1[[#This Row],[Position Size (shares)]]+Tabla1[[#This Row],[Entry Price]]</f>
        <v>294</v>
      </c>
      <c r="Q38">
        <f>Tabla1[[#This Row],[Initial Risk $]]/Tabla1[[#This Row],[Position Size (shares)]]*1.5+Tabla1[[#This Row],[Entry Price]]</f>
        <v>294.745</v>
      </c>
      <c r="R38">
        <f>Tabla1[[#This Row],[Initial Risk $]]/Tabla1[[#This Row],[Position Size (shares)]]*2+Tabla1[[#This Row],[Entry Price]]</f>
        <v>295.49</v>
      </c>
      <c r="S38">
        <f>Tabla1[[#This Row],[Initial Risk $]]/Tabla1[[#This Row],[Position Size (shares)]]*2.5+Tabla1[[#This Row],[Entry Price]]</f>
        <v>296.23500000000001</v>
      </c>
      <c r="T38">
        <f>Tabla1[[#This Row],[Initial Risk $]]/Tabla1[[#This Row],[Position Size (shares)]]*3+Tabla1[[#This Row],[Entry Price]]</f>
        <v>296.98</v>
      </c>
    </row>
    <row r="39" spans="1:20" customFormat="1" hidden="1" x14ac:dyDescent="0.25">
      <c r="A39" t="str">
        <f t="shared" si="0"/>
        <v>T-038</v>
      </c>
      <c r="B39" s="1">
        <v>46114</v>
      </c>
      <c r="C39" t="s">
        <v>157</v>
      </c>
      <c r="D39" t="s">
        <v>28</v>
      </c>
      <c r="E39" t="s">
        <v>119</v>
      </c>
      <c r="F39">
        <v>165.58</v>
      </c>
      <c r="G39">
        <v>163.58000000000001</v>
      </c>
      <c r="H39">
        <f>Tabla1[[#This Row],[Entry Price]]-(Tabla1[[#This Row],[Entry Price]]-Tabla1[[#This Row],[Initial Stop]])/2</f>
        <v>164.58</v>
      </c>
      <c r="I39">
        <v>2</v>
      </c>
      <c r="J39">
        <f t="shared" si="5"/>
        <v>4</v>
      </c>
      <c r="K39">
        <v>1</v>
      </c>
      <c r="L39">
        <f t="shared" si="2"/>
        <v>4</v>
      </c>
      <c r="M39" t="s">
        <v>72</v>
      </c>
      <c r="N39">
        <f>SUMIF(Executions!B:B,A39,Executions!H:H)</f>
        <v>-4</v>
      </c>
      <c r="O39">
        <f t="shared" si="3"/>
        <v>-1</v>
      </c>
      <c r="P39">
        <f>Tabla1[[#This Row],[Initial Risk $]]/Tabla1[[#This Row],[Position Size (shares)]]+Tabla1[[#This Row],[Entry Price]]</f>
        <v>167.58</v>
      </c>
      <c r="Q39">
        <f>Tabla1[[#This Row],[Initial Risk $]]/Tabla1[[#This Row],[Position Size (shares)]]*1.5+Tabla1[[#This Row],[Entry Price]]</f>
        <v>168.58</v>
      </c>
      <c r="R39">
        <f>Tabla1[[#This Row],[Initial Risk $]]/Tabla1[[#This Row],[Position Size (shares)]]*2+Tabla1[[#This Row],[Entry Price]]</f>
        <v>169.58</v>
      </c>
      <c r="S39">
        <f>Tabla1[[#This Row],[Initial Risk $]]/Tabla1[[#This Row],[Position Size (shares)]]*2.5+Tabla1[[#This Row],[Entry Price]]</f>
        <v>170.58</v>
      </c>
      <c r="T39">
        <f>Tabla1[[#This Row],[Initial Risk $]]/Tabla1[[#This Row],[Position Size (shares)]]*3+Tabla1[[#This Row],[Entry Price]]</f>
        <v>171.58</v>
      </c>
    </row>
    <row r="40" spans="1:20" customFormat="1" hidden="1" x14ac:dyDescent="0.25">
      <c r="A40" t="str">
        <f t="shared" si="0"/>
        <v>T-039</v>
      </c>
      <c r="B40" s="1">
        <v>46114</v>
      </c>
      <c r="C40" t="s">
        <v>159</v>
      </c>
      <c r="D40" t="s">
        <v>28</v>
      </c>
      <c r="E40" t="s">
        <v>58</v>
      </c>
      <c r="F40">
        <v>1</v>
      </c>
      <c r="G40">
        <v>0.89339999999999997</v>
      </c>
      <c r="H40">
        <f>Tabla1[[#This Row],[Entry Price]]-(Tabla1[[#This Row],[Entry Price]]-Tabla1[[#This Row],[Initial Stop]])/2</f>
        <v>0.94669999999999999</v>
      </c>
      <c r="I40">
        <v>50</v>
      </c>
      <c r="J40">
        <f t="shared" si="5"/>
        <v>5.3300000000000018</v>
      </c>
      <c r="K40">
        <v>1</v>
      </c>
      <c r="L40">
        <f t="shared" si="2"/>
        <v>5.3300000000000018</v>
      </c>
      <c r="M40" t="s">
        <v>72</v>
      </c>
      <c r="N40">
        <f>SUMIF(Executions!B:B,A40,Executions!H:H)</f>
        <v>-6</v>
      </c>
      <c r="O40">
        <f t="shared" si="3"/>
        <v>-1.1257035647279545</v>
      </c>
      <c r="P40">
        <f>Tabla1[[#This Row],[Initial Risk $]]/Tabla1[[#This Row],[Position Size (shares)]]+Tabla1[[#This Row],[Entry Price]]</f>
        <v>1.1066</v>
      </c>
      <c r="Q40">
        <f>Tabla1[[#This Row],[Initial Risk $]]/Tabla1[[#This Row],[Position Size (shares)]]*1.5+Tabla1[[#This Row],[Entry Price]]</f>
        <v>1.1599000000000002</v>
      </c>
      <c r="R40">
        <f>Tabla1[[#This Row],[Initial Risk $]]/Tabla1[[#This Row],[Position Size (shares)]]*2+Tabla1[[#This Row],[Entry Price]]</f>
        <v>1.2132000000000001</v>
      </c>
      <c r="S40">
        <f>Tabla1[[#This Row],[Initial Risk $]]/Tabla1[[#This Row],[Position Size (shares)]]*2.5+Tabla1[[#This Row],[Entry Price]]</f>
        <v>1.2665000000000002</v>
      </c>
      <c r="T40">
        <f>Tabla1[[#This Row],[Initial Risk $]]/Tabla1[[#This Row],[Position Size (shares)]]*3+Tabla1[[#This Row],[Entry Price]]</f>
        <v>1.3198000000000001</v>
      </c>
    </row>
    <row r="41" spans="1:20" customFormat="1" hidden="1" x14ac:dyDescent="0.25">
      <c r="A41" t="str">
        <f t="shared" si="0"/>
        <v>T-040</v>
      </c>
      <c r="B41" s="1">
        <v>46114</v>
      </c>
      <c r="C41" t="s">
        <v>95</v>
      </c>
      <c r="D41" t="s">
        <v>28</v>
      </c>
      <c r="E41" t="s">
        <v>119</v>
      </c>
      <c r="F41">
        <v>72.180000000000007</v>
      </c>
      <c r="G41">
        <v>70.77</v>
      </c>
      <c r="H41">
        <f>Tabla1[[#This Row],[Entry Price]]-(Tabla1[[#This Row],[Entry Price]]-Tabla1[[#This Row],[Initial Stop]])/2</f>
        <v>71.474999999999994</v>
      </c>
      <c r="I41">
        <v>6</v>
      </c>
      <c r="J41">
        <f t="shared" si="5"/>
        <v>8.4600000000000648</v>
      </c>
      <c r="K41">
        <v>2</v>
      </c>
      <c r="L41">
        <f t="shared" si="2"/>
        <v>16.92000000000013</v>
      </c>
      <c r="M41" t="s">
        <v>72</v>
      </c>
      <c r="N41">
        <f>SUMIF(Executions!B:B,A41,Executions!H:H)</f>
        <v>22.599999999999966</v>
      </c>
      <c r="O41">
        <f t="shared" si="3"/>
        <v>2.6713947990543492</v>
      </c>
      <c r="P41">
        <f>Tabla1[[#This Row],[Initial Risk $]]/Tabla1[[#This Row],[Position Size (shares)]]+Tabla1[[#This Row],[Entry Price]]</f>
        <v>73.590000000000018</v>
      </c>
      <c r="Q41">
        <f>Tabla1[[#This Row],[Initial Risk $]]/Tabla1[[#This Row],[Position Size (shares)]]*1.5+Tabla1[[#This Row],[Entry Price]]</f>
        <v>74.295000000000016</v>
      </c>
      <c r="R41">
        <f>Tabla1[[#This Row],[Initial Risk $]]/Tabla1[[#This Row],[Position Size (shares)]]*2+Tabla1[[#This Row],[Entry Price]]</f>
        <v>75.000000000000028</v>
      </c>
      <c r="S41">
        <f>Tabla1[[#This Row],[Initial Risk $]]/Tabla1[[#This Row],[Position Size (shares)]]*2.5+Tabla1[[#This Row],[Entry Price]]</f>
        <v>75.705000000000041</v>
      </c>
      <c r="T41">
        <f>Tabla1[[#This Row],[Initial Risk $]]/Tabla1[[#This Row],[Position Size (shares)]]*3+Tabla1[[#This Row],[Entry Price]]</f>
        <v>76.410000000000039</v>
      </c>
    </row>
    <row r="42" spans="1:20" customFormat="1" hidden="1" x14ac:dyDescent="0.25">
      <c r="A42" t="str">
        <f t="shared" si="0"/>
        <v>T-041</v>
      </c>
      <c r="B42" s="1">
        <v>46118</v>
      </c>
      <c r="C42" t="s">
        <v>161</v>
      </c>
      <c r="D42" t="s">
        <v>28</v>
      </c>
      <c r="E42" t="s">
        <v>58</v>
      </c>
      <c r="F42">
        <v>51.72</v>
      </c>
      <c r="G42">
        <v>50.62</v>
      </c>
      <c r="H42">
        <f>Tabla1[[#This Row],[Entry Price]]-(Tabla1[[#This Row],[Entry Price]]-Tabla1[[#This Row],[Initial Stop]])/2</f>
        <v>51.17</v>
      </c>
      <c r="I42">
        <v>4</v>
      </c>
      <c r="J42">
        <f t="shared" si="5"/>
        <v>4.4000000000000057</v>
      </c>
      <c r="K42">
        <v>1</v>
      </c>
      <c r="L42">
        <f t="shared" si="2"/>
        <v>4.4000000000000057</v>
      </c>
      <c r="M42" t="s">
        <v>72</v>
      </c>
      <c r="N42">
        <f>SUMIF(Executions!B:B,A42,Executions!H:H)</f>
        <v>-4.4000000000000057</v>
      </c>
      <c r="O42">
        <f t="shared" si="3"/>
        <v>-1</v>
      </c>
      <c r="P42">
        <f>Tabla1[[#This Row],[Initial Risk $]]/Tabla1[[#This Row],[Position Size (shares)]]+Tabla1[[#This Row],[Entry Price]]</f>
        <v>52.82</v>
      </c>
      <c r="Q42">
        <f>Tabla1[[#This Row],[Initial Risk $]]/Tabla1[[#This Row],[Position Size (shares)]]*1.5+Tabla1[[#This Row],[Entry Price]]</f>
        <v>53.370000000000005</v>
      </c>
      <c r="R42">
        <f>Tabla1[[#This Row],[Initial Risk $]]/Tabla1[[#This Row],[Position Size (shares)]]*2+Tabla1[[#This Row],[Entry Price]]</f>
        <v>53.92</v>
      </c>
      <c r="S42">
        <f>Tabla1[[#This Row],[Initial Risk $]]/Tabla1[[#This Row],[Position Size (shares)]]*2.5+Tabla1[[#This Row],[Entry Price]]</f>
        <v>54.47</v>
      </c>
      <c r="T42">
        <f>Tabla1[[#This Row],[Initial Risk $]]/Tabla1[[#This Row],[Position Size (shares)]]*3+Tabla1[[#This Row],[Entry Price]]</f>
        <v>55.02</v>
      </c>
    </row>
    <row r="43" spans="1:20" customFormat="1" hidden="1" x14ac:dyDescent="0.25">
      <c r="A43" t="str">
        <f t="shared" si="0"/>
        <v>T-042</v>
      </c>
      <c r="B43" s="1">
        <v>46118</v>
      </c>
      <c r="C43" t="s">
        <v>161</v>
      </c>
      <c r="D43" t="s">
        <v>28</v>
      </c>
      <c r="E43" t="s">
        <v>58</v>
      </c>
      <c r="F43">
        <v>50.72</v>
      </c>
      <c r="G43">
        <v>50.01</v>
      </c>
      <c r="H43">
        <f>Tabla1[[#This Row],[Entry Price]]-(Tabla1[[#This Row],[Entry Price]]-Tabla1[[#This Row],[Initial Stop]])/2</f>
        <v>50.364999999999995</v>
      </c>
      <c r="I43">
        <v>4</v>
      </c>
      <c r="J43">
        <f t="shared" si="5"/>
        <v>2.8400000000000034</v>
      </c>
      <c r="K43">
        <v>2</v>
      </c>
      <c r="L43">
        <f t="shared" si="2"/>
        <v>5.6800000000000068</v>
      </c>
      <c r="M43" t="s">
        <v>72</v>
      </c>
      <c r="N43">
        <f>SUMIF(Executions!B:B,A43,Executions!H:H)</f>
        <v>-2.960000000000008</v>
      </c>
      <c r="O43">
        <f t="shared" si="3"/>
        <v>-1.0422535211267621</v>
      </c>
      <c r="P43">
        <f>Tabla1[[#This Row],[Initial Risk $]]/Tabla1[[#This Row],[Position Size (shares)]]+Tabla1[[#This Row],[Entry Price]]</f>
        <v>51.43</v>
      </c>
      <c r="Q43">
        <f>Tabla1[[#This Row],[Initial Risk $]]/Tabla1[[#This Row],[Position Size (shares)]]*1.5+Tabla1[[#This Row],[Entry Price]]</f>
        <v>51.784999999999997</v>
      </c>
      <c r="R43">
        <f>Tabla1[[#This Row],[Initial Risk $]]/Tabla1[[#This Row],[Position Size (shares)]]*2+Tabla1[[#This Row],[Entry Price]]</f>
        <v>52.14</v>
      </c>
      <c r="S43">
        <f>Tabla1[[#This Row],[Initial Risk $]]/Tabla1[[#This Row],[Position Size (shares)]]*2.5+Tabla1[[#This Row],[Entry Price]]</f>
        <v>52.495000000000005</v>
      </c>
      <c r="T43">
        <f>Tabla1[[#This Row],[Initial Risk $]]/Tabla1[[#This Row],[Position Size (shares)]]*3+Tabla1[[#This Row],[Entry Price]]</f>
        <v>52.85</v>
      </c>
    </row>
    <row r="44" spans="1:20" customFormat="1" hidden="1" x14ac:dyDescent="0.25">
      <c r="A44" t="str">
        <f t="shared" si="0"/>
        <v>T-043</v>
      </c>
      <c r="B44" s="1">
        <v>46120</v>
      </c>
      <c r="C44" t="s">
        <v>164</v>
      </c>
      <c r="D44" t="s">
        <v>28</v>
      </c>
      <c r="E44" t="s">
        <v>119</v>
      </c>
      <c r="F44">
        <v>184.69</v>
      </c>
      <c r="G44">
        <v>181.69</v>
      </c>
      <c r="H44">
        <f>Tabla1[[#This Row],[Entry Price]]-(Tabla1[[#This Row],[Entry Price]]-Tabla1[[#This Row],[Initial Stop]])/2</f>
        <v>183.19</v>
      </c>
      <c r="I44">
        <v>3</v>
      </c>
      <c r="J44">
        <f t="shared" si="5"/>
        <v>9</v>
      </c>
      <c r="K44">
        <v>1</v>
      </c>
      <c r="L44">
        <f t="shared" si="2"/>
        <v>9</v>
      </c>
      <c r="M44" t="s">
        <v>72</v>
      </c>
      <c r="N44">
        <f>SUMIF(Executions!B:B,A44,Executions!H:H)</f>
        <v>-9.0299999999999727</v>
      </c>
      <c r="O44">
        <f t="shared" si="3"/>
        <v>-1.0033333333333303</v>
      </c>
      <c r="P44">
        <f>Tabla1[[#This Row],[Initial Risk $]]/Tabla1[[#This Row],[Position Size (shares)]]+Tabla1[[#This Row],[Entry Price]]</f>
        <v>187.69</v>
      </c>
      <c r="Q44">
        <f>Tabla1[[#This Row],[Initial Risk $]]/Tabla1[[#This Row],[Position Size (shares)]]*1.5+Tabla1[[#This Row],[Entry Price]]</f>
        <v>189.19</v>
      </c>
      <c r="R44">
        <f>Tabla1[[#This Row],[Initial Risk $]]/Tabla1[[#This Row],[Position Size (shares)]]*2+Tabla1[[#This Row],[Entry Price]]</f>
        <v>190.69</v>
      </c>
      <c r="S44">
        <f>Tabla1[[#This Row],[Initial Risk $]]/Tabla1[[#This Row],[Position Size (shares)]]*2.5+Tabla1[[#This Row],[Entry Price]]</f>
        <v>192.19</v>
      </c>
      <c r="T44">
        <f>Tabla1[[#This Row],[Initial Risk $]]/Tabla1[[#This Row],[Position Size (shares)]]*3+Tabla1[[#This Row],[Entry Price]]</f>
        <v>193.69</v>
      </c>
    </row>
    <row r="45" spans="1:20" customFormat="1" hidden="1" x14ac:dyDescent="0.25">
      <c r="A45" t="str">
        <f t="shared" si="0"/>
        <v>T-044</v>
      </c>
      <c r="B45" s="1">
        <v>46120</v>
      </c>
      <c r="C45" t="s">
        <v>164</v>
      </c>
      <c r="D45" t="s">
        <v>28</v>
      </c>
      <c r="E45" t="s">
        <v>119</v>
      </c>
      <c r="F45">
        <v>182.13</v>
      </c>
      <c r="G45">
        <v>181.09</v>
      </c>
      <c r="H45">
        <f>Tabla1[[#This Row],[Entry Price]]-(Tabla1[[#This Row],[Entry Price]]-Tabla1[[#This Row],[Initial Stop]])/2</f>
        <v>181.61</v>
      </c>
      <c r="I45">
        <v>3</v>
      </c>
      <c r="J45">
        <f t="shared" si="5"/>
        <v>3.1199999999999761</v>
      </c>
      <c r="K45">
        <v>1</v>
      </c>
      <c r="L45">
        <f t="shared" si="2"/>
        <v>3.1199999999999761</v>
      </c>
      <c r="M45" t="s">
        <v>72</v>
      </c>
      <c r="N45">
        <f>SUMIF(Executions!B:B,A45,Executions!H:H)</f>
        <v>-3.1499999999999488</v>
      </c>
      <c r="O45">
        <f t="shared" si="3"/>
        <v>-1.0096153846153759</v>
      </c>
      <c r="P45">
        <f>Tabla1[[#This Row],[Initial Risk $]]/Tabla1[[#This Row],[Position Size (shares)]]+Tabla1[[#This Row],[Entry Price]]</f>
        <v>183.17</v>
      </c>
      <c r="Q45">
        <f>Tabla1[[#This Row],[Initial Risk $]]/Tabla1[[#This Row],[Position Size (shares)]]*1.5+Tabla1[[#This Row],[Entry Price]]</f>
        <v>183.69</v>
      </c>
      <c r="R45">
        <f>Tabla1[[#This Row],[Initial Risk $]]/Tabla1[[#This Row],[Position Size (shares)]]*2+Tabla1[[#This Row],[Entry Price]]</f>
        <v>184.20999999999998</v>
      </c>
      <c r="S45">
        <f>Tabla1[[#This Row],[Initial Risk $]]/Tabla1[[#This Row],[Position Size (shares)]]*2.5+Tabla1[[#This Row],[Entry Price]]</f>
        <v>184.72999999999996</v>
      </c>
      <c r="T45">
        <f>Tabla1[[#This Row],[Initial Risk $]]/Tabla1[[#This Row],[Position Size (shares)]]*3+Tabla1[[#This Row],[Entry Price]]</f>
        <v>185.24999999999997</v>
      </c>
    </row>
    <row r="46" spans="1:20" customFormat="1" hidden="1" x14ac:dyDescent="0.25">
      <c r="A46" t="str">
        <f t="shared" si="0"/>
        <v>T-045</v>
      </c>
      <c r="B46" s="1">
        <v>46120</v>
      </c>
      <c r="C46" t="s">
        <v>164</v>
      </c>
      <c r="D46" t="s">
        <v>28</v>
      </c>
      <c r="E46" t="s">
        <v>119</v>
      </c>
      <c r="F46">
        <v>181.57</v>
      </c>
      <c r="G46">
        <v>180.17</v>
      </c>
      <c r="H46">
        <f>Tabla1[[#This Row],[Entry Price]]-(Tabla1[[#This Row],[Entry Price]]-Tabla1[[#This Row],[Initial Stop]])/2</f>
        <v>180.87</v>
      </c>
      <c r="I46">
        <v>3</v>
      </c>
      <c r="J46">
        <f t="shared" si="5"/>
        <v>4.2000000000000171</v>
      </c>
      <c r="K46">
        <v>2</v>
      </c>
      <c r="L46">
        <f t="shared" si="2"/>
        <v>8.4000000000000341</v>
      </c>
      <c r="M46" t="s">
        <v>72</v>
      </c>
      <c r="N46">
        <f>SUMIF(Executions!B:B,A46,Executions!H:H)</f>
        <v>20.670000000000044</v>
      </c>
      <c r="O46">
        <f t="shared" si="3"/>
        <v>4.9214285714285619</v>
      </c>
      <c r="P46">
        <f>Tabla1[[#This Row],[Initial Risk $]]/Tabla1[[#This Row],[Position Size (shares)]]+Tabla1[[#This Row],[Entry Price]]</f>
        <v>182.97</v>
      </c>
      <c r="Q46">
        <f>Tabla1[[#This Row],[Initial Risk $]]/Tabla1[[#This Row],[Position Size (shares)]]*1.5+Tabla1[[#This Row],[Entry Price]]</f>
        <v>183.67000000000002</v>
      </c>
      <c r="R46">
        <f>Tabla1[[#This Row],[Initial Risk $]]/Tabla1[[#This Row],[Position Size (shares)]]*2+Tabla1[[#This Row],[Entry Price]]</f>
        <v>184.37</v>
      </c>
      <c r="S46">
        <f>Tabla1[[#This Row],[Initial Risk $]]/Tabla1[[#This Row],[Position Size (shares)]]*2.5+Tabla1[[#This Row],[Entry Price]]</f>
        <v>185.07</v>
      </c>
      <c r="T46">
        <f>Tabla1[[#This Row],[Initial Risk $]]/Tabla1[[#This Row],[Position Size (shares)]]*3+Tabla1[[#This Row],[Entry Price]]</f>
        <v>185.77</v>
      </c>
    </row>
    <row r="47" spans="1:20" customFormat="1" hidden="1" x14ac:dyDescent="0.25">
      <c r="A47" t="str">
        <f t="shared" si="0"/>
        <v>T-046</v>
      </c>
      <c r="B47" s="1">
        <v>46121</v>
      </c>
      <c r="C47" t="s">
        <v>167</v>
      </c>
      <c r="D47" t="s">
        <v>28</v>
      </c>
      <c r="E47" t="s">
        <v>119</v>
      </c>
      <c r="F47">
        <v>30.82</v>
      </c>
      <c r="G47">
        <v>30.34</v>
      </c>
      <c r="H47">
        <f>Tabla1[[#This Row],[Entry Price]]-(Tabla1[[#This Row],[Entry Price]]-Tabla1[[#This Row],[Initial Stop]])/2</f>
        <v>30.58</v>
      </c>
      <c r="I47">
        <v>40</v>
      </c>
      <c r="J47">
        <f t="shared" si="5"/>
        <v>19.200000000000017</v>
      </c>
      <c r="K47">
        <v>1</v>
      </c>
      <c r="L47">
        <f t="shared" si="2"/>
        <v>19.200000000000017</v>
      </c>
      <c r="M47" t="s">
        <v>72</v>
      </c>
      <c r="N47">
        <f>SUMIF(Executions!B:B,A47,Executions!H:H)</f>
        <v>28.499999999999979</v>
      </c>
      <c r="O47">
        <f t="shared" si="3"/>
        <v>1.4843749999999976</v>
      </c>
      <c r="P47">
        <f>Tabla1[[#This Row],[Initial Risk $]]/Tabla1[[#This Row],[Position Size (shares)]]+Tabla1[[#This Row],[Entry Price]]</f>
        <v>31.3</v>
      </c>
      <c r="Q47">
        <f>Tabla1[[#This Row],[Initial Risk $]]/Tabla1[[#This Row],[Position Size (shares)]]*1.5+Tabla1[[#This Row],[Entry Price]]</f>
        <v>31.54</v>
      </c>
      <c r="R47">
        <f>Tabla1[[#This Row],[Initial Risk $]]/Tabla1[[#This Row],[Position Size (shares)]]*2+Tabla1[[#This Row],[Entry Price]]</f>
        <v>31.78</v>
      </c>
      <c r="S47">
        <f>Tabla1[[#This Row],[Initial Risk $]]/Tabla1[[#This Row],[Position Size (shares)]]*2.5+Tabla1[[#This Row],[Entry Price]]</f>
        <v>32.020000000000003</v>
      </c>
      <c r="T47">
        <f>Tabla1[[#This Row],[Initial Risk $]]/Tabla1[[#This Row],[Position Size (shares)]]*3+Tabla1[[#This Row],[Entry Price]]</f>
        <v>32.260000000000005</v>
      </c>
    </row>
    <row r="48" spans="1:20" customFormat="1" hidden="1" x14ac:dyDescent="0.25">
      <c r="A48" t="str">
        <f t="shared" si="0"/>
        <v>T-047</v>
      </c>
      <c r="B48" s="1">
        <v>46121</v>
      </c>
      <c r="C48" t="s">
        <v>169</v>
      </c>
      <c r="D48" t="s">
        <v>28</v>
      </c>
      <c r="E48" t="s">
        <v>119</v>
      </c>
      <c r="F48">
        <v>27.18</v>
      </c>
      <c r="G48">
        <v>24.95</v>
      </c>
      <c r="H48">
        <f>Tabla1[[#This Row],[Entry Price]]-(Tabla1[[#This Row],[Entry Price]]-Tabla1[[#This Row],[Initial Stop]])/2</f>
        <v>26.064999999999998</v>
      </c>
      <c r="I48">
        <v>6</v>
      </c>
      <c r="J48">
        <f t="shared" si="5"/>
        <v>13.380000000000003</v>
      </c>
      <c r="K48">
        <v>1</v>
      </c>
      <c r="L48">
        <f t="shared" si="2"/>
        <v>13.380000000000003</v>
      </c>
      <c r="M48" t="s">
        <v>72</v>
      </c>
      <c r="N48">
        <f>SUMIF(Executions!B:B,A48,Executions!H:H)</f>
        <v>22.5</v>
      </c>
      <c r="O48">
        <f t="shared" si="3"/>
        <v>1.6816143497757845</v>
      </c>
      <c r="P48">
        <f>Tabla1[[#This Row],[Initial Risk $]]/Tabla1[[#This Row],[Position Size (shares)]]+Tabla1[[#This Row],[Entry Price]]</f>
        <v>29.41</v>
      </c>
      <c r="Q48">
        <f>Tabla1[[#This Row],[Initial Risk $]]/Tabla1[[#This Row],[Position Size (shares)]]*1.5+Tabla1[[#This Row],[Entry Price]]</f>
        <v>30.524999999999999</v>
      </c>
      <c r="R48">
        <f>Tabla1[[#This Row],[Initial Risk $]]/Tabla1[[#This Row],[Position Size (shares)]]*2+Tabla1[[#This Row],[Entry Price]]</f>
        <v>31.64</v>
      </c>
      <c r="S48">
        <f>Tabla1[[#This Row],[Initial Risk $]]/Tabla1[[#This Row],[Position Size (shares)]]*2.5+Tabla1[[#This Row],[Entry Price]]</f>
        <v>32.755000000000003</v>
      </c>
      <c r="T48">
        <f>Tabla1[[#This Row],[Initial Risk $]]/Tabla1[[#This Row],[Position Size (shares)]]*3+Tabla1[[#This Row],[Entry Price]]</f>
        <v>33.870000000000005</v>
      </c>
    </row>
    <row r="49" spans="1:20" customFormat="1" hidden="1" x14ac:dyDescent="0.25">
      <c r="A49" t="str">
        <f t="shared" si="0"/>
        <v>T-048</v>
      </c>
      <c r="B49" s="1">
        <v>46121</v>
      </c>
      <c r="C49" t="s">
        <v>130</v>
      </c>
      <c r="D49" t="s">
        <v>28</v>
      </c>
      <c r="E49" t="s">
        <v>58</v>
      </c>
      <c r="F49">
        <v>246.05</v>
      </c>
      <c r="G49">
        <v>243.05</v>
      </c>
      <c r="H49">
        <f>Tabla1[[#This Row],[Entry Price]]-(Tabla1[[#This Row],[Entry Price]]-Tabla1[[#This Row],[Initial Stop]])/2</f>
        <v>244.55</v>
      </c>
      <c r="I49">
        <v>2</v>
      </c>
      <c r="J49">
        <f t="shared" si="5"/>
        <v>6</v>
      </c>
      <c r="K49">
        <v>1</v>
      </c>
      <c r="L49">
        <f t="shared" si="2"/>
        <v>6</v>
      </c>
      <c r="M49" t="s">
        <v>72</v>
      </c>
      <c r="N49">
        <f>SUMIF(Executions!B:B,A49,Executions!H:H)</f>
        <v>-6.0600000000000023</v>
      </c>
      <c r="O49">
        <f t="shared" si="3"/>
        <v>-1.0100000000000005</v>
      </c>
      <c r="P49">
        <f>Tabla1[[#This Row],[Initial Risk $]]/Tabla1[[#This Row],[Position Size (shares)]]+Tabla1[[#This Row],[Entry Price]]</f>
        <v>249.05</v>
      </c>
      <c r="Q49">
        <f>Tabla1[[#This Row],[Initial Risk $]]/Tabla1[[#This Row],[Position Size (shares)]]*1.5+Tabla1[[#This Row],[Entry Price]]</f>
        <v>250.55</v>
      </c>
      <c r="R49">
        <f>Tabla1[[#This Row],[Initial Risk $]]/Tabla1[[#This Row],[Position Size (shares)]]*2+Tabla1[[#This Row],[Entry Price]]</f>
        <v>252.05</v>
      </c>
      <c r="S49">
        <f>Tabla1[[#This Row],[Initial Risk $]]/Tabla1[[#This Row],[Position Size (shares)]]*2.5+Tabla1[[#This Row],[Entry Price]]</f>
        <v>253.55</v>
      </c>
      <c r="T49">
        <f>Tabla1[[#This Row],[Initial Risk $]]/Tabla1[[#This Row],[Position Size (shares)]]*3+Tabla1[[#This Row],[Entry Price]]</f>
        <v>255.05</v>
      </c>
    </row>
    <row r="50" spans="1:20" customFormat="1" hidden="1" x14ac:dyDescent="0.25">
      <c r="A50" t="str">
        <f t="shared" si="0"/>
        <v>T-049</v>
      </c>
      <c r="B50" s="1">
        <v>46125</v>
      </c>
      <c r="C50" t="s">
        <v>101</v>
      </c>
      <c r="D50" t="s">
        <v>28</v>
      </c>
      <c r="E50" t="s">
        <v>60</v>
      </c>
      <c r="F50">
        <v>2.91</v>
      </c>
      <c r="G50">
        <v>2.72</v>
      </c>
      <c r="H50">
        <f>Tabla1[[#This Row],[Entry Price]]-(Tabla1[[#This Row],[Entry Price]]-Tabla1[[#This Row],[Initial Stop]])/2</f>
        <v>2.8150000000000004</v>
      </c>
      <c r="I50">
        <v>30</v>
      </c>
      <c r="J50">
        <f t="shared" si="5"/>
        <v>5.6999999999999984</v>
      </c>
      <c r="K50">
        <v>1</v>
      </c>
      <c r="L50">
        <f t="shared" si="2"/>
        <v>5.6999999999999984</v>
      </c>
      <c r="M50" t="s">
        <v>72</v>
      </c>
      <c r="N50">
        <f>SUMIF(Executions!B:B,A50,Executions!H:H)</f>
        <v>22.799999999999994</v>
      </c>
      <c r="O50">
        <f t="shared" si="3"/>
        <v>4</v>
      </c>
      <c r="P50">
        <f>Tabla1[[#This Row],[Initial Risk $]]/Tabla1[[#This Row],[Position Size (shares)]]+Tabla1[[#This Row],[Entry Price]]</f>
        <v>3.1</v>
      </c>
      <c r="Q50">
        <f>Tabla1[[#This Row],[Initial Risk $]]/Tabla1[[#This Row],[Position Size (shares)]]*1.5+Tabla1[[#This Row],[Entry Price]]</f>
        <v>3.1950000000000003</v>
      </c>
      <c r="R50">
        <f>Tabla1[[#This Row],[Initial Risk $]]/Tabla1[[#This Row],[Position Size (shares)]]*2+Tabla1[[#This Row],[Entry Price]]</f>
        <v>3.29</v>
      </c>
      <c r="S50">
        <f>Tabla1[[#This Row],[Initial Risk $]]/Tabla1[[#This Row],[Position Size (shares)]]*2.5+Tabla1[[#This Row],[Entry Price]]</f>
        <v>3.3849999999999998</v>
      </c>
      <c r="T50">
        <f>Tabla1[[#This Row],[Initial Risk $]]/Tabla1[[#This Row],[Position Size (shares)]]*3+Tabla1[[#This Row],[Entry Price]]</f>
        <v>3.48</v>
      </c>
    </row>
    <row r="51" spans="1:20" customFormat="1" hidden="1" x14ac:dyDescent="0.25">
      <c r="A51" t="str">
        <f t="shared" si="0"/>
        <v>T-050</v>
      </c>
      <c r="B51" s="1">
        <v>46125</v>
      </c>
      <c r="C51" t="s">
        <v>118</v>
      </c>
      <c r="D51" t="s">
        <v>28</v>
      </c>
      <c r="E51" t="s">
        <v>119</v>
      </c>
      <c r="F51">
        <v>154.47</v>
      </c>
      <c r="G51">
        <v>152.47</v>
      </c>
      <c r="H51">
        <f>Tabla1[[#This Row],[Entry Price]]-(Tabla1[[#This Row],[Entry Price]]-Tabla1[[#This Row],[Initial Stop]])/2</f>
        <v>153.47</v>
      </c>
      <c r="I51">
        <v>2</v>
      </c>
      <c r="J51">
        <f t="shared" si="5"/>
        <v>4</v>
      </c>
      <c r="K51">
        <v>2</v>
      </c>
      <c r="L51">
        <f t="shared" si="2"/>
        <v>8</v>
      </c>
      <c r="M51" t="s">
        <v>72</v>
      </c>
      <c r="N51">
        <f>SUMIF(Executions!B:B,A51,Executions!H:H)</f>
        <v>-4</v>
      </c>
      <c r="O51">
        <f t="shared" si="3"/>
        <v>-1</v>
      </c>
      <c r="P51">
        <f>Tabla1[[#This Row],[Initial Risk $]]/Tabla1[[#This Row],[Position Size (shares)]]+Tabla1[[#This Row],[Entry Price]]</f>
        <v>156.47</v>
      </c>
      <c r="Q51">
        <f>Tabla1[[#This Row],[Initial Risk $]]/Tabla1[[#This Row],[Position Size (shares)]]*1.5+Tabla1[[#This Row],[Entry Price]]</f>
        <v>157.47</v>
      </c>
      <c r="R51">
        <f>Tabla1[[#This Row],[Initial Risk $]]/Tabla1[[#This Row],[Position Size (shares)]]*2+Tabla1[[#This Row],[Entry Price]]</f>
        <v>158.47</v>
      </c>
      <c r="S51">
        <f>Tabla1[[#This Row],[Initial Risk $]]/Tabla1[[#This Row],[Position Size (shares)]]*2.5+Tabla1[[#This Row],[Entry Price]]</f>
        <v>159.47</v>
      </c>
      <c r="T51">
        <f>Tabla1[[#This Row],[Initial Risk $]]/Tabla1[[#This Row],[Position Size (shares)]]*3+Tabla1[[#This Row],[Entry Price]]</f>
        <v>160.47</v>
      </c>
    </row>
    <row r="52" spans="1:20" customFormat="1" hidden="1" x14ac:dyDescent="0.25">
      <c r="A52" t="str">
        <f t="shared" si="0"/>
        <v>T-051</v>
      </c>
      <c r="B52" s="1">
        <v>46125</v>
      </c>
      <c r="C52" t="s">
        <v>173</v>
      </c>
      <c r="D52" t="s">
        <v>28</v>
      </c>
      <c r="E52" t="s">
        <v>119</v>
      </c>
      <c r="F52">
        <v>132.5</v>
      </c>
      <c r="G52">
        <v>128.16999999999999</v>
      </c>
      <c r="H52">
        <f>Tabla1[[#This Row],[Entry Price]]-(Tabla1[[#This Row],[Entry Price]]-Tabla1[[#This Row],[Initial Stop]])/2</f>
        <v>130.33499999999998</v>
      </c>
      <c r="I52">
        <v>2</v>
      </c>
      <c r="J52">
        <f t="shared" si="5"/>
        <v>8.660000000000025</v>
      </c>
      <c r="K52">
        <v>1</v>
      </c>
      <c r="L52">
        <f t="shared" si="2"/>
        <v>8.660000000000025</v>
      </c>
      <c r="M52" t="s">
        <v>72</v>
      </c>
      <c r="N52">
        <f>SUMIF(Executions!B:B,A52,Executions!H:H)</f>
        <v>38.47</v>
      </c>
      <c r="O52">
        <f t="shared" si="3"/>
        <v>4.4422632794457142</v>
      </c>
      <c r="P52">
        <f>Tabla1[[#This Row],[Initial Risk $]]/Tabla1[[#This Row],[Position Size (shares)]]+Tabla1[[#This Row],[Entry Price]]</f>
        <v>136.83000000000001</v>
      </c>
      <c r="Q52">
        <f>Tabla1[[#This Row],[Initial Risk $]]/Tabla1[[#This Row],[Position Size (shares)]]*1.5+Tabla1[[#This Row],[Entry Price]]</f>
        <v>138.995</v>
      </c>
      <c r="R52">
        <f>Tabla1[[#This Row],[Initial Risk $]]/Tabla1[[#This Row],[Position Size (shares)]]*2+Tabla1[[#This Row],[Entry Price]]</f>
        <v>141.16000000000003</v>
      </c>
      <c r="S52">
        <f>Tabla1[[#This Row],[Initial Risk $]]/Tabla1[[#This Row],[Position Size (shares)]]*2.5+Tabla1[[#This Row],[Entry Price]]</f>
        <v>143.32500000000005</v>
      </c>
      <c r="T52">
        <f>Tabla1[[#This Row],[Initial Risk $]]/Tabla1[[#This Row],[Position Size (shares)]]*3+Tabla1[[#This Row],[Entry Price]]</f>
        <v>145.49000000000004</v>
      </c>
    </row>
    <row r="53" spans="1:20" customFormat="1" hidden="1" x14ac:dyDescent="0.25">
      <c r="A53" t="str">
        <f t="shared" si="0"/>
        <v>T-052</v>
      </c>
      <c r="B53" s="1">
        <v>46126</v>
      </c>
      <c r="C53" t="s">
        <v>59</v>
      </c>
      <c r="D53" t="s">
        <v>28</v>
      </c>
      <c r="E53" t="s">
        <v>119</v>
      </c>
      <c r="F53">
        <v>9.64</v>
      </c>
      <c r="G53">
        <v>9.17</v>
      </c>
      <c r="H53">
        <f>Tabla1[[#This Row],[Entry Price]]-(Tabla1[[#This Row],[Entry Price]]-Tabla1[[#This Row],[Initial Stop]])/2</f>
        <v>9.4050000000000011</v>
      </c>
      <c r="I53">
        <v>10</v>
      </c>
      <c r="J53">
        <f t="shared" si="5"/>
        <v>4.7000000000000064</v>
      </c>
      <c r="K53">
        <v>1</v>
      </c>
      <c r="L53">
        <f t="shared" si="2"/>
        <v>4.7000000000000064</v>
      </c>
      <c r="M53" t="s">
        <v>72</v>
      </c>
      <c r="N53">
        <f>SUMIF(Executions!B:B,A53,Executions!H:H)</f>
        <v>8.0999999999999872</v>
      </c>
      <c r="O53">
        <f t="shared" si="3"/>
        <v>1.7234042553191438</v>
      </c>
      <c r="P53">
        <f>Tabla1[[#This Row],[Initial Risk $]]/Tabla1[[#This Row],[Position Size (shares)]]+Tabla1[[#This Row],[Entry Price]]</f>
        <v>10.110000000000001</v>
      </c>
      <c r="Q53">
        <f>Tabla1[[#This Row],[Initial Risk $]]/Tabla1[[#This Row],[Position Size (shares)]]*1.5+Tabla1[[#This Row],[Entry Price]]</f>
        <v>10.345000000000002</v>
      </c>
      <c r="R53">
        <f>Tabla1[[#This Row],[Initial Risk $]]/Tabla1[[#This Row],[Position Size (shares)]]*2+Tabla1[[#This Row],[Entry Price]]</f>
        <v>10.580000000000002</v>
      </c>
      <c r="S53">
        <f>Tabla1[[#This Row],[Initial Risk $]]/Tabla1[[#This Row],[Position Size (shares)]]*2.5+Tabla1[[#This Row],[Entry Price]]</f>
        <v>10.815000000000001</v>
      </c>
      <c r="T53">
        <f>Tabla1[[#This Row],[Initial Risk $]]/Tabla1[[#This Row],[Position Size (shares)]]*3+Tabla1[[#This Row],[Entry Price]]</f>
        <v>11.050000000000002</v>
      </c>
    </row>
    <row r="54" spans="1:20" customFormat="1" hidden="1" x14ac:dyDescent="0.25">
      <c r="A54" t="str">
        <f t="shared" si="0"/>
        <v>T-053</v>
      </c>
      <c r="B54" s="1">
        <v>46118</v>
      </c>
      <c r="C54" t="s">
        <v>174</v>
      </c>
      <c r="D54" t="s">
        <v>28</v>
      </c>
      <c r="E54" t="s">
        <v>119</v>
      </c>
      <c r="F54">
        <v>140.15</v>
      </c>
      <c r="G54">
        <v>136.91999999999999</v>
      </c>
      <c r="H54">
        <f>Tabla1[[#This Row],[Entry Price]]-(Tabla1[[#This Row],[Entry Price]]-Tabla1[[#This Row],[Initial Stop]])/2</f>
        <v>138.535</v>
      </c>
      <c r="I54">
        <v>4</v>
      </c>
      <c r="J54">
        <f t="shared" si="5"/>
        <v>12.920000000000073</v>
      </c>
      <c r="K54">
        <v>1</v>
      </c>
      <c r="L54">
        <f t="shared" si="2"/>
        <v>12.920000000000073</v>
      </c>
      <c r="M54" t="s">
        <v>72</v>
      </c>
      <c r="N54">
        <f>SUMIF(Executions!B:B,A54,Executions!H:H)</f>
        <v>-12.960000000000036</v>
      </c>
      <c r="O54">
        <f t="shared" si="3"/>
        <v>-1.0030959752321953</v>
      </c>
      <c r="P54">
        <f>Tabla1[[#This Row],[Initial Risk $]]/Tabla1[[#This Row],[Position Size (shares)]]+Tabla1[[#This Row],[Entry Price]]</f>
        <v>143.38000000000002</v>
      </c>
      <c r="Q54">
        <f>Tabla1[[#This Row],[Initial Risk $]]/Tabla1[[#This Row],[Position Size (shares)]]*1.5+Tabla1[[#This Row],[Entry Price]]</f>
        <v>144.99500000000003</v>
      </c>
      <c r="R54">
        <f>Tabla1[[#This Row],[Initial Risk $]]/Tabla1[[#This Row],[Position Size (shares)]]*2+Tabla1[[#This Row],[Entry Price]]</f>
        <v>146.61000000000004</v>
      </c>
      <c r="S54">
        <f>Tabla1[[#This Row],[Initial Risk $]]/Tabla1[[#This Row],[Position Size (shares)]]*2.5+Tabla1[[#This Row],[Entry Price]]</f>
        <v>148.22500000000005</v>
      </c>
      <c r="T54">
        <f>Tabla1[[#This Row],[Initial Risk $]]/Tabla1[[#This Row],[Position Size (shares)]]*3+Tabla1[[#This Row],[Entry Price]]</f>
        <v>149.84000000000006</v>
      </c>
    </row>
    <row r="55" spans="1:20" customFormat="1" hidden="1" x14ac:dyDescent="0.25">
      <c r="A55" t="str">
        <f t="shared" si="0"/>
        <v>T-054</v>
      </c>
      <c r="B55" s="1">
        <v>46126</v>
      </c>
      <c r="C55" t="s">
        <v>164</v>
      </c>
      <c r="D55" t="s">
        <v>28</v>
      </c>
      <c r="E55" t="s">
        <v>58</v>
      </c>
      <c r="F55">
        <v>190.87</v>
      </c>
      <c r="G55">
        <v>189.38</v>
      </c>
      <c r="H55">
        <f>Tabla1[[#This Row],[Entry Price]]-(Tabla1[[#This Row],[Entry Price]]-Tabla1[[#This Row],[Initial Stop]])/2</f>
        <v>190.125</v>
      </c>
      <c r="I55">
        <v>2</v>
      </c>
      <c r="J55">
        <f t="shared" si="5"/>
        <v>2.9800000000000182</v>
      </c>
      <c r="K55">
        <v>1</v>
      </c>
      <c r="L55">
        <f t="shared" si="2"/>
        <v>2.9800000000000182</v>
      </c>
      <c r="M55" t="s">
        <v>72</v>
      </c>
      <c r="N55">
        <f>SUMIF(Executions!B:B,A55,Executions!H:H)</f>
        <v>5.2799999999999727</v>
      </c>
      <c r="O55">
        <f t="shared" si="3"/>
        <v>1.7718120805368929</v>
      </c>
      <c r="P55">
        <f>Tabla1[[#This Row],[Initial Risk $]]/Tabla1[[#This Row],[Position Size (shares)]]+Tabla1[[#This Row],[Entry Price]]</f>
        <v>192.36</v>
      </c>
      <c r="Q55">
        <f>Tabla1[[#This Row],[Initial Risk $]]/Tabla1[[#This Row],[Position Size (shares)]]*1.5+Tabla1[[#This Row],[Entry Price]]</f>
        <v>193.10500000000002</v>
      </c>
      <c r="R55">
        <f>Tabla1[[#This Row],[Initial Risk $]]/Tabla1[[#This Row],[Position Size (shares)]]*2+Tabla1[[#This Row],[Entry Price]]</f>
        <v>193.85000000000002</v>
      </c>
      <c r="S55">
        <f>Tabla1[[#This Row],[Initial Risk $]]/Tabla1[[#This Row],[Position Size (shares)]]*2.5+Tabla1[[#This Row],[Entry Price]]</f>
        <v>194.59500000000003</v>
      </c>
      <c r="T55">
        <f>Tabla1[[#This Row],[Initial Risk $]]/Tabla1[[#This Row],[Position Size (shares)]]*3+Tabla1[[#This Row],[Entry Price]]</f>
        <v>195.34000000000003</v>
      </c>
    </row>
    <row r="56" spans="1:20" customFormat="1" hidden="1" x14ac:dyDescent="0.25">
      <c r="A56" t="str">
        <f t="shared" si="0"/>
        <v>T-055</v>
      </c>
      <c r="B56" s="1">
        <v>46127</v>
      </c>
      <c r="C56" t="s">
        <v>177</v>
      </c>
      <c r="D56" t="s">
        <v>28</v>
      </c>
      <c r="E56" t="s">
        <v>60</v>
      </c>
      <c r="F56">
        <v>35.18</v>
      </c>
      <c r="G56">
        <v>33.08</v>
      </c>
      <c r="H56">
        <f>Tabla1[[#This Row],[Entry Price]]-(Tabla1[[#This Row],[Entry Price]]-Tabla1[[#This Row],[Initial Stop]])/2</f>
        <v>34.129999999999995</v>
      </c>
      <c r="I56">
        <v>3</v>
      </c>
      <c r="J56">
        <f t="shared" si="5"/>
        <v>6.3000000000000043</v>
      </c>
      <c r="K56">
        <v>1</v>
      </c>
      <c r="L56">
        <f t="shared" si="2"/>
        <v>6.3000000000000043</v>
      </c>
      <c r="M56" t="s">
        <v>72</v>
      </c>
      <c r="N56">
        <f>SUMIF(Executions!B:B,A56,Executions!H:H)</f>
        <v>-5.6400000000000077</v>
      </c>
      <c r="O56">
        <f t="shared" si="3"/>
        <v>-0.89523809523809583</v>
      </c>
      <c r="P56">
        <f>Tabla1[[#This Row],[Initial Risk $]]/Tabla1[[#This Row],[Position Size (shares)]]+Tabla1[[#This Row],[Entry Price]]</f>
        <v>37.28</v>
      </c>
      <c r="Q56">
        <f>Tabla1[[#This Row],[Initial Risk $]]/Tabla1[[#This Row],[Position Size (shares)]]*1.5+Tabla1[[#This Row],[Entry Price]]</f>
        <v>38.33</v>
      </c>
      <c r="R56">
        <f>Tabla1[[#This Row],[Initial Risk $]]/Tabla1[[#This Row],[Position Size (shares)]]*2+Tabla1[[#This Row],[Entry Price]]</f>
        <v>39.380000000000003</v>
      </c>
      <c r="S56">
        <f>Tabla1[[#This Row],[Initial Risk $]]/Tabla1[[#This Row],[Position Size (shares)]]*2.5+Tabla1[[#This Row],[Entry Price]]</f>
        <v>40.430000000000007</v>
      </c>
      <c r="T56">
        <f>Tabla1[[#This Row],[Initial Risk $]]/Tabla1[[#This Row],[Position Size (shares)]]*3+Tabla1[[#This Row],[Entry Price]]</f>
        <v>41.480000000000004</v>
      </c>
    </row>
    <row r="57" spans="1:20" customFormat="1" hidden="1" x14ac:dyDescent="0.25">
      <c r="A57" t="str">
        <f t="shared" si="0"/>
        <v>T-056</v>
      </c>
      <c r="B57" s="1">
        <v>46127</v>
      </c>
      <c r="C57" t="s">
        <v>164</v>
      </c>
      <c r="D57" t="s">
        <v>28</v>
      </c>
      <c r="E57" t="s">
        <v>58</v>
      </c>
      <c r="F57">
        <v>197.71</v>
      </c>
      <c r="G57">
        <v>196.24</v>
      </c>
      <c r="H57">
        <f>Tabla1[[#This Row],[Entry Price]]-(Tabla1[[#This Row],[Entry Price]]-Tabla1[[#This Row],[Initial Stop]])/2</f>
        <v>196.97500000000002</v>
      </c>
      <c r="I57">
        <v>2</v>
      </c>
      <c r="J57">
        <f t="shared" si="5"/>
        <v>2.9399999999999977</v>
      </c>
      <c r="K57">
        <v>1</v>
      </c>
      <c r="L57">
        <f t="shared" si="2"/>
        <v>2.9399999999999977</v>
      </c>
      <c r="M57" t="s">
        <v>72</v>
      </c>
      <c r="N57">
        <f>SUMIF(Executions!B:B,A57,Executions!H:H)</f>
        <v>-3.0200000000000387</v>
      </c>
      <c r="O57">
        <f t="shared" si="3"/>
        <v>-1.0272108843537555</v>
      </c>
      <c r="P57">
        <f>Tabla1[[#This Row],[Initial Risk $]]/Tabla1[[#This Row],[Position Size (shares)]]+Tabla1[[#This Row],[Entry Price]]</f>
        <v>199.18</v>
      </c>
      <c r="Q57">
        <f>Tabla1[[#This Row],[Initial Risk $]]/Tabla1[[#This Row],[Position Size (shares)]]*1.5+Tabla1[[#This Row],[Entry Price]]</f>
        <v>199.91500000000002</v>
      </c>
      <c r="R57">
        <f>Tabla1[[#This Row],[Initial Risk $]]/Tabla1[[#This Row],[Position Size (shares)]]*2+Tabla1[[#This Row],[Entry Price]]</f>
        <v>200.65</v>
      </c>
      <c r="S57">
        <f>Tabla1[[#This Row],[Initial Risk $]]/Tabla1[[#This Row],[Position Size (shares)]]*2.5+Tabla1[[#This Row],[Entry Price]]</f>
        <v>201.38499999999999</v>
      </c>
      <c r="T57">
        <f>Tabla1[[#This Row],[Initial Risk $]]/Tabla1[[#This Row],[Position Size (shares)]]*3+Tabla1[[#This Row],[Entry Price]]</f>
        <v>202.12</v>
      </c>
    </row>
    <row r="58" spans="1:20" customFormat="1" hidden="1" x14ac:dyDescent="0.25">
      <c r="A58" t="str">
        <f t="shared" si="0"/>
        <v>T-057</v>
      </c>
      <c r="B58" s="1">
        <v>46128</v>
      </c>
      <c r="C58" t="s">
        <v>76</v>
      </c>
      <c r="D58" t="s">
        <v>28</v>
      </c>
      <c r="E58" t="s">
        <v>60</v>
      </c>
      <c r="F58">
        <v>11.42</v>
      </c>
      <c r="G58">
        <v>11.11</v>
      </c>
      <c r="H58">
        <f>Tabla1[[#This Row],[Entry Price]]-(Tabla1[[#This Row],[Entry Price]]-Tabla1[[#This Row],[Initial Stop]])/2</f>
        <v>11.265000000000001</v>
      </c>
      <c r="I58">
        <v>30</v>
      </c>
      <c r="J58">
        <f t="shared" si="5"/>
        <v>9.3000000000000149</v>
      </c>
      <c r="K58">
        <v>1</v>
      </c>
      <c r="L58">
        <f t="shared" si="2"/>
        <v>9.3000000000000149</v>
      </c>
      <c r="M58" t="s">
        <v>72</v>
      </c>
      <c r="N58">
        <f>SUMIF(Executions!B:B,A58,Executions!H:H)</f>
        <v>-9.3000000000000149</v>
      </c>
      <c r="O58">
        <f t="shared" si="3"/>
        <v>-1</v>
      </c>
      <c r="P58">
        <f>Tabla1[[#This Row],[Initial Risk $]]/Tabla1[[#This Row],[Position Size (shares)]]+Tabla1[[#This Row],[Entry Price]]</f>
        <v>11.73</v>
      </c>
      <c r="Q58">
        <f>Tabla1[[#This Row],[Initial Risk $]]/Tabla1[[#This Row],[Position Size (shares)]]*1.5+Tabla1[[#This Row],[Entry Price]]</f>
        <v>11.885000000000002</v>
      </c>
      <c r="R58">
        <f>Tabla1[[#This Row],[Initial Risk $]]/Tabla1[[#This Row],[Position Size (shares)]]*2+Tabla1[[#This Row],[Entry Price]]</f>
        <v>12.040000000000001</v>
      </c>
      <c r="S58">
        <f>Tabla1[[#This Row],[Initial Risk $]]/Tabla1[[#This Row],[Position Size (shares)]]*2.5+Tabla1[[#This Row],[Entry Price]]</f>
        <v>12.195</v>
      </c>
      <c r="T58">
        <f>Tabla1[[#This Row],[Initial Risk $]]/Tabla1[[#This Row],[Position Size (shares)]]*3+Tabla1[[#This Row],[Entry Price]]</f>
        <v>12.350000000000001</v>
      </c>
    </row>
    <row r="59" spans="1:20" customFormat="1" hidden="1" x14ac:dyDescent="0.25">
      <c r="A59" t="str">
        <f t="shared" si="0"/>
        <v>T-058</v>
      </c>
      <c r="B59" s="1">
        <v>46128</v>
      </c>
      <c r="C59" t="s">
        <v>179</v>
      </c>
      <c r="D59" t="s">
        <v>28</v>
      </c>
      <c r="E59" t="s">
        <v>60</v>
      </c>
      <c r="F59">
        <v>148.79</v>
      </c>
      <c r="G59">
        <v>146.69</v>
      </c>
      <c r="H59">
        <f>Tabla1[[#This Row],[Entry Price]]-(Tabla1[[#This Row],[Entry Price]]-Tabla1[[#This Row],[Initial Stop]])/2</f>
        <v>147.74</v>
      </c>
      <c r="I59">
        <v>3</v>
      </c>
      <c r="J59">
        <f t="shared" si="5"/>
        <v>6.2999999999999829</v>
      </c>
      <c r="K59">
        <v>1</v>
      </c>
      <c r="L59">
        <f t="shared" si="2"/>
        <v>6.2999999999999829</v>
      </c>
      <c r="M59" t="s">
        <v>72</v>
      </c>
      <c r="N59">
        <f>SUMIF(Executions!B:B,A59,Executions!H:H)</f>
        <v>-4.1999999999999886</v>
      </c>
      <c r="O59">
        <f t="shared" si="3"/>
        <v>-0.66666666666666663</v>
      </c>
      <c r="P59">
        <f>Tabla1[[#This Row],[Initial Risk $]]/Tabla1[[#This Row],[Position Size (shares)]]+Tabla1[[#This Row],[Entry Price]]</f>
        <v>150.88999999999999</v>
      </c>
      <c r="Q59">
        <f>Tabla1[[#This Row],[Initial Risk $]]/Tabla1[[#This Row],[Position Size (shares)]]*1.5+Tabla1[[#This Row],[Entry Price]]</f>
        <v>151.94</v>
      </c>
      <c r="R59">
        <f>Tabla1[[#This Row],[Initial Risk $]]/Tabla1[[#This Row],[Position Size (shares)]]*2+Tabla1[[#This Row],[Entry Price]]</f>
        <v>152.98999999999998</v>
      </c>
      <c r="S59">
        <f>Tabla1[[#This Row],[Initial Risk $]]/Tabla1[[#This Row],[Position Size (shares)]]*2.5+Tabla1[[#This Row],[Entry Price]]</f>
        <v>154.03999999999996</v>
      </c>
      <c r="T59">
        <f>Tabla1[[#This Row],[Initial Risk $]]/Tabla1[[#This Row],[Position Size (shares)]]*3+Tabla1[[#This Row],[Entry Price]]</f>
        <v>155.08999999999997</v>
      </c>
    </row>
    <row r="60" spans="1:20" customFormat="1" hidden="1" x14ac:dyDescent="0.25">
      <c r="A60" t="str">
        <f t="shared" si="0"/>
        <v>T-059</v>
      </c>
      <c r="B60" s="1">
        <v>46128</v>
      </c>
      <c r="C60" t="s">
        <v>181</v>
      </c>
      <c r="D60" t="s">
        <v>28</v>
      </c>
      <c r="E60" t="s">
        <v>60</v>
      </c>
      <c r="F60">
        <v>10.85</v>
      </c>
      <c r="G60">
        <v>10.39</v>
      </c>
      <c r="H60">
        <f>Tabla1[[#This Row],[Entry Price]]-(Tabla1[[#This Row],[Entry Price]]-Tabla1[[#This Row],[Initial Stop]])/2</f>
        <v>10.620000000000001</v>
      </c>
      <c r="I60">
        <v>30</v>
      </c>
      <c r="J60">
        <f t="shared" si="5"/>
        <v>13.799999999999972</v>
      </c>
      <c r="K60">
        <v>1</v>
      </c>
      <c r="L60">
        <f t="shared" si="2"/>
        <v>13.799999999999972</v>
      </c>
      <c r="M60" t="s">
        <v>72</v>
      </c>
      <c r="N60">
        <f>SUMIF(Executions!B:B,A60,Executions!H:H)</f>
        <v>-13.799999999999972</v>
      </c>
      <c r="O60">
        <f t="shared" si="3"/>
        <v>-1</v>
      </c>
      <c r="P60">
        <f>Tabla1[[#This Row],[Initial Risk $]]/Tabla1[[#This Row],[Position Size (shares)]]+Tabla1[[#This Row],[Entry Price]]</f>
        <v>11.309999999999999</v>
      </c>
      <c r="Q60">
        <f>Tabla1[[#This Row],[Initial Risk $]]/Tabla1[[#This Row],[Position Size (shares)]]*1.5+Tabla1[[#This Row],[Entry Price]]</f>
        <v>11.54</v>
      </c>
      <c r="R60">
        <f>Tabla1[[#This Row],[Initial Risk $]]/Tabla1[[#This Row],[Position Size (shares)]]*2+Tabla1[[#This Row],[Entry Price]]</f>
        <v>11.769999999999998</v>
      </c>
      <c r="S60">
        <f>Tabla1[[#This Row],[Initial Risk $]]/Tabla1[[#This Row],[Position Size (shares)]]*2.5+Tabla1[[#This Row],[Entry Price]]</f>
        <v>11.999999999999996</v>
      </c>
      <c r="T60">
        <f>Tabla1[[#This Row],[Initial Risk $]]/Tabla1[[#This Row],[Position Size (shares)]]*3+Tabla1[[#This Row],[Entry Price]]</f>
        <v>12.229999999999997</v>
      </c>
    </row>
    <row r="61" spans="1:20" customFormat="1" hidden="1" x14ac:dyDescent="0.25">
      <c r="A61" t="str">
        <f t="shared" si="0"/>
        <v>T-060</v>
      </c>
      <c r="B61" s="1">
        <v>46129</v>
      </c>
      <c r="C61" t="s">
        <v>186</v>
      </c>
      <c r="D61" t="s">
        <v>28</v>
      </c>
      <c r="E61" t="s">
        <v>58</v>
      </c>
      <c r="F61">
        <v>253.99</v>
      </c>
      <c r="G61">
        <v>251.49</v>
      </c>
      <c r="H61">
        <f>Tabla1[[#This Row],[Entry Price]]-(Tabla1[[#This Row],[Entry Price]]-Tabla1[[#This Row],[Initial Stop]])/2</f>
        <v>252.74</v>
      </c>
      <c r="I61">
        <v>4</v>
      </c>
      <c r="J61">
        <f t="shared" si="5"/>
        <v>10</v>
      </c>
      <c r="K61">
        <v>1</v>
      </c>
      <c r="L61">
        <f t="shared" si="2"/>
        <v>10</v>
      </c>
      <c r="M61" t="s">
        <v>72</v>
      </c>
      <c r="N61">
        <f>SUMIF(Executions!B:B,A61,Executions!H:H)</f>
        <v>-8.6399999999999864</v>
      </c>
      <c r="O61">
        <f t="shared" si="3"/>
        <v>-0.86399999999999866</v>
      </c>
      <c r="P61">
        <f>Tabla1[[#This Row],[Initial Risk $]]/Tabla1[[#This Row],[Position Size (shares)]]+Tabla1[[#This Row],[Entry Price]]</f>
        <v>256.49</v>
      </c>
      <c r="Q61">
        <f>Tabla1[[#This Row],[Initial Risk $]]/Tabla1[[#This Row],[Position Size (shares)]]*1.5+Tabla1[[#This Row],[Entry Price]]</f>
        <v>257.74</v>
      </c>
      <c r="R61">
        <f>Tabla1[[#This Row],[Initial Risk $]]/Tabla1[[#This Row],[Position Size (shares)]]*2+Tabla1[[#This Row],[Entry Price]]</f>
        <v>258.99</v>
      </c>
      <c r="S61">
        <f>Tabla1[[#This Row],[Initial Risk $]]/Tabla1[[#This Row],[Position Size (shares)]]*2.5+Tabla1[[#This Row],[Entry Price]]</f>
        <v>260.24</v>
      </c>
      <c r="T61">
        <f>Tabla1[[#This Row],[Initial Risk $]]/Tabla1[[#This Row],[Position Size (shares)]]*3+Tabla1[[#This Row],[Entry Price]]</f>
        <v>261.49</v>
      </c>
    </row>
    <row r="62" spans="1:20" customFormat="1" hidden="1" x14ac:dyDescent="0.25">
      <c r="A62" t="str">
        <f t="shared" si="0"/>
        <v>T-061</v>
      </c>
      <c r="B62" s="1">
        <v>46129</v>
      </c>
      <c r="C62" t="s">
        <v>187</v>
      </c>
      <c r="D62" t="s">
        <v>28</v>
      </c>
      <c r="E62" t="s">
        <v>119</v>
      </c>
      <c r="F62">
        <v>105.18</v>
      </c>
      <c r="G62">
        <v>102.95</v>
      </c>
      <c r="H62">
        <f>Tabla1[[#This Row],[Entry Price]]-(Tabla1[[#This Row],[Entry Price]]-Tabla1[[#This Row],[Initial Stop]])/2</f>
        <v>104.065</v>
      </c>
      <c r="I62">
        <v>6</v>
      </c>
      <c r="J62">
        <f t="shared" si="5"/>
        <v>13.380000000000024</v>
      </c>
      <c r="K62">
        <v>1</v>
      </c>
      <c r="L62">
        <f t="shared" si="2"/>
        <v>13.380000000000024</v>
      </c>
      <c r="M62" t="s">
        <v>72</v>
      </c>
      <c r="N62">
        <f>SUMIF(Executions!B:B,A62,Executions!H:H)</f>
        <v>-13.380000000000024</v>
      </c>
      <c r="O62">
        <f t="shared" si="3"/>
        <v>-1</v>
      </c>
      <c r="P62">
        <f>Tabla1[[#This Row],[Initial Risk $]]/Tabla1[[#This Row],[Position Size (shares)]]+Tabla1[[#This Row],[Entry Price]]</f>
        <v>107.41000000000001</v>
      </c>
      <c r="Q62">
        <f>Tabla1[[#This Row],[Initial Risk $]]/Tabla1[[#This Row],[Position Size (shares)]]*1.5+Tabla1[[#This Row],[Entry Price]]</f>
        <v>108.52500000000001</v>
      </c>
      <c r="R62">
        <f>Tabla1[[#This Row],[Initial Risk $]]/Tabla1[[#This Row],[Position Size (shares)]]*2+Tabla1[[#This Row],[Entry Price]]</f>
        <v>109.64000000000001</v>
      </c>
      <c r="S62">
        <f>Tabla1[[#This Row],[Initial Risk $]]/Tabla1[[#This Row],[Position Size (shares)]]*2.5+Tabla1[[#This Row],[Entry Price]]</f>
        <v>110.75500000000002</v>
      </c>
      <c r="T62">
        <f>Tabla1[[#This Row],[Initial Risk $]]/Tabla1[[#This Row],[Position Size (shares)]]*3+Tabla1[[#This Row],[Entry Price]]</f>
        <v>111.87000000000002</v>
      </c>
    </row>
    <row r="63" spans="1:20" customFormat="1" hidden="1" x14ac:dyDescent="0.25">
      <c r="A63" t="str">
        <f t="shared" si="0"/>
        <v>T-062</v>
      </c>
      <c r="B63" s="1">
        <v>46132</v>
      </c>
      <c r="C63" t="s">
        <v>193</v>
      </c>
      <c r="D63" t="s">
        <v>28</v>
      </c>
      <c r="E63" t="s">
        <v>58</v>
      </c>
      <c r="F63">
        <v>145.87</v>
      </c>
      <c r="G63">
        <v>144.79</v>
      </c>
      <c r="H63">
        <f>Tabla1[[#This Row],[Entry Price]]-(Tabla1[[#This Row],[Entry Price]]-Tabla1[[#This Row],[Initial Stop]])/2</f>
        <v>145.32999999999998</v>
      </c>
      <c r="I63">
        <v>6</v>
      </c>
      <c r="J63">
        <f t="shared" si="5"/>
        <v>6.480000000000075</v>
      </c>
      <c r="K63">
        <v>1</v>
      </c>
      <c r="L63">
        <f t="shared" si="2"/>
        <v>6.480000000000075</v>
      </c>
      <c r="M63" t="s">
        <v>72</v>
      </c>
      <c r="N63">
        <f>SUMIF(Executions!B:B,A63,Executions!H:H)</f>
        <v>-6.6600000000000819</v>
      </c>
      <c r="O63">
        <f t="shared" si="3"/>
        <v>-1.0277777777777786</v>
      </c>
      <c r="P63">
        <f>Tabla1[[#This Row],[Initial Risk $]]/Tabla1[[#This Row],[Position Size (shares)]]+Tabla1[[#This Row],[Entry Price]]</f>
        <v>146.95000000000002</v>
      </c>
      <c r="Q63">
        <f>Tabla1[[#This Row],[Initial Risk $]]/Tabla1[[#This Row],[Position Size (shares)]]*1.5+Tabla1[[#This Row],[Entry Price]]</f>
        <v>147.49</v>
      </c>
      <c r="R63">
        <f>Tabla1[[#This Row],[Initial Risk $]]/Tabla1[[#This Row],[Position Size (shares)]]*2+Tabla1[[#This Row],[Entry Price]]</f>
        <v>148.03000000000003</v>
      </c>
      <c r="S63">
        <f>Tabla1[[#This Row],[Initial Risk $]]/Tabla1[[#This Row],[Position Size (shares)]]*2.5+Tabla1[[#This Row],[Entry Price]]</f>
        <v>148.57000000000005</v>
      </c>
      <c r="T63">
        <f>Tabla1[[#This Row],[Initial Risk $]]/Tabla1[[#This Row],[Position Size (shares)]]*3+Tabla1[[#This Row],[Entry Price]]</f>
        <v>149.11000000000004</v>
      </c>
    </row>
    <row r="64" spans="1:20" customFormat="1" hidden="1" x14ac:dyDescent="0.25">
      <c r="A64" t="str">
        <f t="shared" si="0"/>
        <v>T-063</v>
      </c>
      <c r="B64" s="1">
        <v>46132</v>
      </c>
      <c r="C64" t="s">
        <v>193</v>
      </c>
      <c r="D64" t="s">
        <v>28</v>
      </c>
      <c r="E64" t="s">
        <v>58</v>
      </c>
      <c r="F64">
        <v>145.55000000000001</v>
      </c>
      <c r="G64">
        <v>144.51</v>
      </c>
      <c r="H64">
        <f>Tabla1[[#This Row],[Entry Price]]-(Tabla1[[#This Row],[Entry Price]]-Tabla1[[#This Row],[Initial Stop]])/2</f>
        <v>145.03</v>
      </c>
      <c r="I64">
        <v>6</v>
      </c>
      <c r="J64">
        <f t="shared" si="5"/>
        <v>6.2400000000001228</v>
      </c>
      <c r="K64">
        <v>1</v>
      </c>
      <c r="L64">
        <f t="shared" si="2"/>
        <v>6.2400000000001228</v>
      </c>
      <c r="M64" t="s">
        <v>72</v>
      </c>
      <c r="N64">
        <f>SUMIF(Executions!B:B,A64,Executions!H:H)</f>
        <v>-7.2000000000001023</v>
      </c>
      <c r="O64">
        <f t="shared" si="3"/>
        <v>-1.1538461538461475</v>
      </c>
      <c r="P64">
        <f>Tabla1[[#This Row],[Initial Risk $]]/Tabla1[[#This Row],[Position Size (shares)]]+Tabla1[[#This Row],[Entry Price]]</f>
        <v>146.59000000000003</v>
      </c>
      <c r="Q64">
        <f>Tabla1[[#This Row],[Initial Risk $]]/Tabla1[[#This Row],[Position Size (shares)]]*1.5+Tabla1[[#This Row],[Entry Price]]</f>
        <v>147.11000000000004</v>
      </c>
      <c r="R64">
        <f>Tabla1[[#This Row],[Initial Risk $]]/Tabla1[[#This Row],[Position Size (shares)]]*2+Tabla1[[#This Row],[Entry Price]]</f>
        <v>147.63000000000005</v>
      </c>
      <c r="S64">
        <f>Tabla1[[#This Row],[Initial Risk $]]/Tabla1[[#This Row],[Position Size (shares)]]*2.5+Tabla1[[#This Row],[Entry Price]]</f>
        <v>148.15000000000006</v>
      </c>
      <c r="T64">
        <f>Tabla1[[#This Row],[Initial Risk $]]/Tabla1[[#This Row],[Position Size (shares)]]*3+Tabla1[[#This Row],[Entry Price]]</f>
        <v>148.67000000000007</v>
      </c>
    </row>
    <row r="65" spans="1:20" customFormat="1" hidden="1" x14ac:dyDescent="0.25">
      <c r="A65" t="str">
        <f t="shared" si="0"/>
        <v>T-064</v>
      </c>
      <c r="B65" s="1">
        <v>46132</v>
      </c>
      <c r="C65" t="s">
        <v>197</v>
      </c>
      <c r="D65" t="s">
        <v>28</v>
      </c>
      <c r="E65" t="s">
        <v>60</v>
      </c>
      <c r="F65">
        <v>86.67</v>
      </c>
      <c r="G65">
        <v>85.18</v>
      </c>
      <c r="H65">
        <f>Tabla1[[#This Row],[Entry Price]]-(Tabla1[[#This Row],[Entry Price]]-Tabla1[[#This Row],[Initial Stop]])/2</f>
        <v>85.925000000000011</v>
      </c>
      <c r="I65">
        <v>6</v>
      </c>
      <c r="J65">
        <f t="shared" si="5"/>
        <v>8.9399999999999693</v>
      </c>
      <c r="K65">
        <v>1</v>
      </c>
      <c r="L65">
        <f t="shared" si="2"/>
        <v>8.9399999999999693</v>
      </c>
      <c r="M65" t="s">
        <v>72</v>
      </c>
      <c r="N65">
        <f>SUMIF(Executions!B:B,A65,Executions!H:H)</f>
        <v>-8.9399999999999693</v>
      </c>
      <c r="O65">
        <f t="shared" si="3"/>
        <v>-1</v>
      </c>
      <c r="P65">
        <f>Tabla1[[#This Row],[Initial Risk $]]/Tabla1[[#This Row],[Position Size (shares)]]+Tabla1[[#This Row],[Entry Price]]</f>
        <v>88.16</v>
      </c>
      <c r="Q65">
        <f>Tabla1[[#This Row],[Initial Risk $]]/Tabla1[[#This Row],[Position Size (shares)]]*1.5+Tabla1[[#This Row],[Entry Price]]</f>
        <v>88.905000000000001</v>
      </c>
      <c r="R65">
        <f>Tabla1[[#This Row],[Initial Risk $]]/Tabla1[[#This Row],[Position Size (shares)]]*2+Tabla1[[#This Row],[Entry Price]]</f>
        <v>89.649999999999991</v>
      </c>
      <c r="S65">
        <f>Tabla1[[#This Row],[Initial Risk $]]/Tabla1[[#This Row],[Position Size (shares)]]*2.5+Tabla1[[#This Row],[Entry Price]]</f>
        <v>90.394999999999982</v>
      </c>
      <c r="T65">
        <f>Tabla1[[#This Row],[Initial Risk $]]/Tabla1[[#This Row],[Position Size (shares)]]*3+Tabla1[[#This Row],[Entry Price]]</f>
        <v>91.139999999999986</v>
      </c>
    </row>
    <row r="66" spans="1:20" customFormat="1" hidden="1" x14ac:dyDescent="0.25">
      <c r="A66" t="str">
        <f t="shared" si="0"/>
        <v>T-065</v>
      </c>
      <c r="B66" s="1">
        <v>46132</v>
      </c>
      <c r="C66" t="s">
        <v>198</v>
      </c>
      <c r="D66" t="s">
        <v>28</v>
      </c>
      <c r="E66" t="s">
        <v>119</v>
      </c>
      <c r="F66">
        <v>75.680000000000007</v>
      </c>
      <c r="G66">
        <v>74.989999999999995</v>
      </c>
      <c r="H66">
        <f>Tabla1[[#This Row],[Entry Price]]-(Tabla1[[#This Row],[Entry Price]]-Tabla1[[#This Row],[Initial Stop]])/2</f>
        <v>75.335000000000008</v>
      </c>
      <c r="I66">
        <v>10</v>
      </c>
      <c r="J66">
        <f t="shared" ref="J66:J72" si="6">IF(D66="Long",(F66-G66)*I66,(G66-F66)*0)</f>
        <v>6.9000000000001194</v>
      </c>
      <c r="K66">
        <v>1</v>
      </c>
      <c r="L66">
        <f t="shared" ref="L66:L129" si="7">J66*K66</f>
        <v>6.9000000000001194</v>
      </c>
      <c r="M66" t="s">
        <v>72</v>
      </c>
      <c r="N66">
        <f>SUMIF(Executions!B:B,A66,Executions!H:H)</f>
        <v>-6.9000000000001194</v>
      </c>
      <c r="O66">
        <f t="shared" ref="O66:O129" si="8">N66/J66</f>
        <v>-1</v>
      </c>
      <c r="P66">
        <f>Tabla1[[#This Row],[Initial Risk $]]/Tabla1[[#This Row],[Position Size (shares)]]+Tabla1[[#This Row],[Entry Price]]</f>
        <v>76.370000000000019</v>
      </c>
      <c r="Q66">
        <f>Tabla1[[#This Row],[Initial Risk $]]/Tabla1[[#This Row],[Position Size (shares)]]*1.5+Tabla1[[#This Row],[Entry Price]]</f>
        <v>76.715000000000032</v>
      </c>
      <c r="R66">
        <f>Tabla1[[#This Row],[Initial Risk $]]/Tabla1[[#This Row],[Position Size (shares)]]*2+Tabla1[[#This Row],[Entry Price]]</f>
        <v>77.060000000000031</v>
      </c>
      <c r="S66">
        <f>Tabla1[[#This Row],[Initial Risk $]]/Tabla1[[#This Row],[Position Size (shares)]]*2.5+Tabla1[[#This Row],[Entry Price]]</f>
        <v>77.40500000000003</v>
      </c>
      <c r="T66">
        <f>Tabla1[[#This Row],[Initial Risk $]]/Tabla1[[#This Row],[Position Size (shares)]]*3+Tabla1[[#This Row],[Entry Price]]</f>
        <v>77.750000000000043</v>
      </c>
    </row>
    <row r="67" spans="1:20" customFormat="1" hidden="1" x14ac:dyDescent="0.25">
      <c r="A67" t="str">
        <f t="shared" si="0"/>
        <v>T-066</v>
      </c>
      <c r="B67" s="1">
        <v>46132</v>
      </c>
      <c r="C67" t="s">
        <v>181</v>
      </c>
      <c r="D67" t="s">
        <v>28</v>
      </c>
      <c r="E67" t="s">
        <v>119</v>
      </c>
      <c r="F67">
        <v>10.58</v>
      </c>
      <c r="G67">
        <v>10.16</v>
      </c>
      <c r="H67">
        <f>Tabla1[[#This Row],[Entry Price]]-(Tabla1[[#This Row],[Entry Price]]-Tabla1[[#This Row],[Initial Stop]])/2</f>
        <v>10.370000000000001</v>
      </c>
      <c r="I67">
        <v>10</v>
      </c>
      <c r="J67">
        <f t="shared" si="6"/>
        <v>4.1999999999999993</v>
      </c>
      <c r="K67">
        <v>1</v>
      </c>
      <c r="L67">
        <f t="shared" si="7"/>
        <v>4.1999999999999993</v>
      </c>
      <c r="M67" t="s">
        <v>72</v>
      </c>
      <c r="N67">
        <f>SUMIF(Executions!B:B,A67,Executions!H:H)</f>
        <v>-4.2999999999999972</v>
      </c>
      <c r="O67">
        <f t="shared" si="8"/>
        <v>-1.0238095238095233</v>
      </c>
      <c r="P67">
        <f>Tabla1[[#This Row],[Initial Risk $]]/Tabla1[[#This Row],[Position Size (shares)]]+Tabla1[[#This Row],[Entry Price]]</f>
        <v>11</v>
      </c>
      <c r="Q67">
        <f>Tabla1[[#This Row],[Initial Risk $]]/Tabla1[[#This Row],[Position Size (shares)]]*1.5+Tabla1[[#This Row],[Entry Price]]</f>
        <v>11.21</v>
      </c>
      <c r="R67">
        <f>Tabla1[[#This Row],[Initial Risk $]]/Tabla1[[#This Row],[Position Size (shares)]]*2+Tabla1[[#This Row],[Entry Price]]</f>
        <v>11.42</v>
      </c>
      <c r="S67">
        <f>Tabla1[[#This Row],[Initial Risk $]]/Tabla1[[#This Row],[Position Size (shares)]]*2.5+Tabla1[[#This Row],[Entry Price]]</f>
        <v>11.629999999999999</v>
      </c>
      <c r="T67">
        <f>Tabla1[[#This Row],[Initial Risk $]]/Tabla1[[#This Row],[Position Size (shares)]]*3+Tabla1[[#This Row],[Entry Price]]</f>
        <v>11.84</v>
      </c>
    </row>
    <row r="68" spans="1:20" customFormat="1" hidden="1" x14ac:dyDescent="0.25">
      <c r="A68" t="str">
        <f t="shared" si="0"/>
        <v>T-067</v>
      </c>
      <c r="B68" s="1">
        <v>46133</v>
      </c>
      <c r="C68" t="s">
        <v>101</v>
      </c>
      <c r="D68" t="s">
        <v>28</v>
      </c>
      <c r="E68" t="s">
        <v>58</v>
      </c>
      <c r="F68">
        <v>3.81</v>
      </c>
      <c r="G68">
        <v>3.49</v>
      </c>
      <c r="H68">
        <f>Tabla1[[#This Row],[Entry Price]]-(Tabla1[[#This Row],[Entry Price]]-Tabla1[[#This Row],[Initial Stop]])/2</f>
        <v>3.6500000000000004</v>
      </c>
      <c r="I68">
        <v>20</v>
      </c>
      <c r="J68">
        <f t="shared" si="6"/>
        <v>6.3999999999999968</v>
      </c>
      <c r="K68">
        <v>1</v>
      </c>
      <c r="L68">
        <f t="shared" si="7"/>
        <v>6.3999999999999968</v>
      </c>
      <c r="M68" t="s">
        <v>72</v>
      </c>
      <c r="N68">
        <f>SUMIF(Executions!B:B,A68,Executions!H:H)</f>
        <v>-8.3999999999999986</v>
      </c>
      <c r="O68">
        <f t="shared" si="8"/>
        <v>-1.3125000000000004</v>
      </c>
      <c r="P68">
        <f>Tabla1[[#This Row],[Initial Risk $]]/Tabla1[[#This Row],[Position Size (shares)]]+Tabla1[[#This Row],[Entry Price]]</f>
        <v>4.13</v>
      </c>
      <c r="Q68">
        <f>Tabla1[[#This Row],[Initial Risk $]]/Tabla1[[#This Row],[Position Size (shares)]]*1.5+Tabla1[[#This Row],[Entry Price]]</f>
        <v>4.29</v>
      </c>
      <c r="R68">
        <f>Tabla1[[#This Row],[Initial Risk $]]/Tabla1[[#This Row],[Position Size (shares)]]*2+Tabla1[[#This Row],[Entry Price]]</f>
        <v>4.4499999999999993</v>
      </c>
      <c r="S68">
        <f>Tabla1[[#This Row],[Initial Risk $]]/Tabla1[[#This Row],[Position Size (shares)]]*2.5+Tabla1[[#This Row],[Entry Price]]</f>
        <v>4.6099999999999994</v>
      </c>
      <c r="T68">
        <f>Tabla1[[#This Row],[Initial Risk $]]/Tabla1[[#This Row],[Position Size (shares)]]*3+Tabla1[[#This Row],[Entry Price]]</f>
        <v>4.7699999999999996</v>
      </c>
    </row>
    <row r="69" spans="1:20" customFormat="1" hidden="1" x14ac:dyDescent="0.25">
      <c r="A69" t="str">
        <f t="shared" si="0"/>
        <v>T-068</v>
      </c>
      <c r="B69" s="1">
        <v>46133</v>
      </c>
      <c r="C69" t="s">
        <v>76</v>
      </c>
      <c r="D69" t="s">
        <v>28</v>
      </c>
      <c r="E69" t="s">
        <v>60</v>
      </c>
      <c r="F69">
        <v>11.57</v>
      </c>
      <c r="G69">
        <v>10.93</v>
      </c>
      <c r="H69">
        <f>Tabla1[[#This Row],[Entry Price]]-(Tabla1[[#This Row],[Entry Price]]-Tabla1[[#This Row],[Initial Stop]])/2</f>
        <v>11.25</v>
      </c>
      <c r="I69">
        <v>10</v>
      </c>
      <c r="J69">
        <f t="shared" si="6"/>
        <v>6.4000000000000057</v>
      </c>
      <c r="K69">
        <v>1</v>
      </c>
      <c r="L69">
        <f t="shared" si="7"/>
        <v>6.4000000000000057</v>
      </c>
      <c r="M69" t="s">
        <v>72</v>
      </c>
      <c r="N69">
        <f>SUMIF(Executions!B:B,A69,Executions!H:H)</f>
        <v>-7.5999999999999979</v>
      </c>
      <c r="O69">
        <f t="shared" si="8"/>
        <v>-1.1874999999999987</v>
      </c>
      <c r="P69">
        <f>Tabla1[[#This Row],[Initial Risk $]]/Tabla1[[#This Row],[Position Size (shares)]]+Tabla1[[#This Row],[Entry Price]]</f>
        <v>12.21</v>
      </c>
      <c r="Q69">
        <f>Tabla1[[#This Row],[Initial Risk $]]/Tabla1[[#This Row],[Position Size (shares)]]*1.5+Tabla1[[#This Row],[Entry Price]]</f>
        <v>12.530000000000001</v>
      </c>
      <c r="R69">
        <f>Tabla1[[#This Row],[Initial Risk $]]/Tabla1[[#This Row],[Position Size (shares)]]*2+Tabla1[[#This Row],[Entry Price]]</f>
        <v>12.850000000000001</v>
      </c>
      <c r="S69">
        <f>Tabla1[[#This Row],[Initial Risk $]]/Tabla1[[#This Row],[Position Size (shares)]]*2.5+Tabla1[[#This Row],[Entry Price]]</f>
        <v>13.170000000000002</v>
      </c>
      <c r="T69">
        <f>Tabla1[[#This Row],[Initial Risk $]]/Tabla1[[#This Row],[Position Size (shares)]]*3+Tabla1[[#This Row],[Entry Price]]</f>
        <v>13.490000000000002</v>
      </c>
    </row>
    <row r="70" spans="1:20" customFormat="1" hidden="1" x14ac:dyDescent="0.25">
      <c r="A70" t="str">
        <f t="shared" si="0"/>
        <v>T-069</v>
      </c>
      <c r="B70" s="1">
        <v>46133</v>
      </c>
      <c r="C70" t="s">
        <v>161</v>
      </c>
      <c r="D70" t="s">
        <v>28</v>
      </c>
      <c r="E70" t="s">
        <v>52</v>
      </c>
      <c r="F70">
        <v>67.010000000000005</v>
      </c>
      <c r="G70">
        <v>62.94</v>
      </c>
      <c r="H70">
        <f>Tabla1[[#This Row],[Entry Price]]-(Tabla1[[#This Row],[Entry Price]]-Tabla1[[#This Row],[Initial Stop]])/2</f>
        <v>64.974999999999994</v>
      </c>
      <c r="I70">
        <v>3</v>
      </c>
      <c r="J70">
        <f>IF(D70="Long",(F70-G70)*I70,(G70-F70)*0)</f>
        <v>12.210000000000022</v>
      </c>
      <c r="K70">
        <v>1</v>
      </c>
      <c r="L70">
        <f t="shared" si="7"/>
        <v>12.210000000000022</v>
      </c>
      <c r="M70" t="s">
        <v>72</v>
      </c>
      <c r="N70">
        <f>SUMIF(Executions!B:B,A70,Executions!H:H)</f>
        <v>98.36</v>
      </c>
      <c r="O70">
        <f t="shared" si="8"/>
        <v>8.0556920556920417</v>
      </c>
      <c r="P70">
        <f>Tabla1[[#This Row],[Initial Risk $]]/Tabla1[[#This Row],[Position Size (shares)]]+Tabla1[[#This Row],[Entry Price]]</f>
        <v>71.080000000000013</v>
      </c>
      <c r="Q70">
        <f>Tabla1[[#This Row],[Initial Risk $]]/Tabla1[[#This Row],[Position Size (shares)]]*1.5+Tabla1[[#This Row],[Entry Price]]</f>
        <v>73.115000000000009</v>
      </c>
      <c r="R70">
        <f>Tabla1[[#This Row],[Initial Risk $]]/Tabla1[[#This Row],[Position Size (shares)]]*2+Tabla1[[#This Row],[Entry Price]]</f>
        <v>75.15000000000002</v>
      </c>
      <c r="S70">
        <f>Tabla1[[#This Row],[Initial Risk $]]/Tabla1[[#This Row],[Position Size (shares)]]*2.5+Tabla1[[#This Row],[Entry Price]]</f>
        <v>77.185000000000031</v>
      </c>
      <c r="T70">
        <f>Tabla1[[#This Row],[Initial Risk $]]/Tabla1[[#This Row],[Position Size (shares)]]*3+Tabla1[[#This Row],[Entry Price]]</f>
        <v>79.220000000000027</v>
      </c>
    </row>
    <row r="71" spans="1:20" customFormat="1" hidden="1" x14ac:dyDescent="0.25">
      <c r="A71" t="str">
        <f t="shared" si="0"/>
        <v>T-070</v>
      </c>
      <c r="B71" s="1">
        <v>46133</v>
      </c>
      <c r="C71" t="s">
        <v>202</v>
      </c>
      <c r="D71" t="s">
        <v>28</v>
      </c>
      <c r="E71" t="s">
        <v>58</v>
      </c>
      <c r="F71">
        <v>8.7799999999999994</v>
      </c>
      <c r="G71">
        <v>8.07</v>
      </c>
      <c r="H71">
        <f>Tabla1[[#This Row],[Entry Price]]-(Tabla1[[#This Row],[Entry Price]]-Tabla1[[#This Row],[Initial Stop]])/2</f>
        <v>8.4250000000000007</v>
      </c>
      <c r="I71">
        <v>10</v>
      </c>
      <c r="J71">
        <f t="shared" si="6"/>
        <v>7.0999999999999908</v>
      </c>
      <c r="K71">
        <v>1</v>
      </c>
      <c r="L71">
        <f t="shared" si="7"/>
        <v>7.0999999999999908</v>
      </c>
      <c r="M71" t="s">
        <v>72</v>
      </c>
      <c r="N71">
        <f>SUMIF(Executions!B:B,A71,Executions!H:H)</f>
        <v>-7.0999999999999908</v>
      </c>
      <c r="O71">
        <f t="shared" si="8"/>
        <v>-1</v>
      </c>
      <c r="P71">
        <f>Tabla1[[#This Row],[Initial Risk $]]/Tabla1[[#This Row],[Position Size (shares)]]+Tabla1[[#This Row],[Entry Price]]</f>
        <v>9.4899999999999984</v>
      </c>
      <c r="Q71">
        <f>Tabla1[[#This Row],[Initial Risk $]]/Tabla1[[#This Row],[Position Size (shares)]]*1.5+Tabla1[[#This Row],[Entry Price]]</f>
        <v>9.8449999999999989</v>
      </c>
      <c r="R71">
        <f>Tabla1[[#This Row],[Initial Risk $]]/Tabla1[[#This Row],[Position Size (shares)]]*2+Tabla1[[#This Row],[Entry Price]]</f>
        <v>10.199999999999998</v>
      </c>
      <c r="S71">
        <f>Tabla1[[#This Row],[Initial Risk $]]/Tabla1[[#This Row],[Position Size (shares)]]*2.5+Tabla1[[#This Row],[Entry Price]]</f>
        <v>10.554999999999996</v>
      </c>
      <c r="T71">
        <f>Tabla1[[#This Row],[Initial Risk $]]/Tabla1[[#This Row],[Position Size (shares)]]*3+Tabla1[[#This Row],[Entry Price]]</f>
        <v>10.909999999999997</v>
      </c>
    </row>
    <row r="72" spans="1:20" customFormat="1" hidden="1" x14ac:dyDescent="0.25">
      <c r="A72" t="str">
        <f t="shared" si="0"/>
        <v>T-071</v>
      </c>
      <c r="B72" s="1">
        <v>46134</v>
      </c>
      <c r="C72" t="s">
        <v>206</v>
      </c>
      <c r="D72" t="s">
        <v>28</v>
      </c>
      <c r="E72" t="s">
        <v>119</v>
      </c>
      <c r="F72">
        <v>5.55</v>
      </c>
      <c r="G72">
        <v>5.05</v>
      </c>
      <c r="H72">
        <f>Tabla1[[#This Row],[Entry Price]]-(Tabla1[[#This Row],[Entry Price]]-Tabla1[[#This Row],[Initial Stop]])/2</f>
        <v>5.3</v>
      </c>
      <c r="I72">
        <v>10</v>
      </c>
      <c r="J72">
        <f t="shared" si="6"/>
        <v>5</v>
      </c>
      <c r="K72">
        <v>1</v>
      </c>
      <c r="L72">
        <f t="shared" si="7"/>
        <v>5</v>
      </c>
      <c r="M72" t="s">
        <v>72</v>
      </c>
      <c r="N72">
        <f>SUMIF(Executions!B:B,A72,Executions!H:H)</f>
        <v>1.5000000000000036</v>
      </c>
      <c r="O72">
        <f t="shared" si="8"/>
        <v>0.30000000000000071</v>
      </c>
      <c r="P72">
        <f>Tabla1[[#This Row],[Initial Risk $]]/Tabla1[[#This Row],[Position Size (shares)]]+Tabla1[[#This Row],[Entry Price]]</f>
        <v>6.05</v>
      </c>
      <c r="Q72">
        <f>Tabla1[[#This Row],[Initial Risk $]]/Tabla1[[#This Row],[Position Size (shares)]]*1.5+Tabla1[[#This Row],[Entry Price]]</f>
        <v>6.3</v>
      </c>
      <c r="R72">
        <f>Tabla1[[#This Row],[Initial Risk $]]/Tabla1[[#This Row],[Position Size (shares)]]*2+Tabla1[[#This Row],[Entry Price]]</f>
        <v>6.55</v>
      </c>
      <c r="S72">
        <f>Tabla1[[#This Row],[Initial Risk $]]/Tabla1[[#This Row],[Position Size (shares)]]*2.5+Tabla1[[#This Row],[Entry Price]]</f>
        <v>6.8</v>
      </c>
      <c r="T72">
        <f>Tabla1[[#This Row],[Initial Risk $]]/Tabla1[[#This Row],[Position Size (shares)]]*3+Tabla1[[#This Row],[Entry Price]]</f>
        <v>7.05</v>
      </c>
    </row>
    <row r="73" spans="1:20" customFormat="1" hidden="1" x14ac:dyDescent="0.25">
      <c r="A73" t="str">
        <f t="shared" si="0"/>
        <v>T-072</v>
      </c>
      <c r="B73" s="1">
        <v>46134</v>
      </c>
      <c r="C73" t="s">
        <v>207</v>
      </c>
      <c r="D73" t="s">
        <v>28</v>
      </c>
      <c r="E73" t="s">
        <v>60</v>
      </c>
      <c r="F73">
        <v>29.15</v>
      </c>
      <c r="G73">
        <v>28.15</v>
      </c>
      <c r="H73">
        <f>Tabla1[[#This Row],[Entry Price]]-(Tabla1[[#This Row],[Entry Price]]-Tabla1[[#This Row],[Initial Stop]])/2</f>
        <v>28.65</v>
      </c>
      <c r="I73">
        <v>10</v>
      </c>
      <c r="J73">
        <f t="shared" ref="J73:J81" si="9">IF(D73="Long",(F73-G73)*I73,(G73-F73)*0)</f>
        <v>10</v>
      </c>
      <c r="K73">
        <v>1</v>
      </c>
      <c r="L73">
        <f t="shared" si="7"/>
        <v>10</v>
      </c>
      <c r="M73" t="s">
        <v>72</v>
      </c>
      <c r="N73">
        <f>SUMIF(Executions!B:B,A73,Executions!H:H)</f>
        <v>-26.499999999999986</v>
      </c>
      <c r="O73">
        <f t="shared" si="8"/>
        <v>-2.6499999999999986</v>
      </c>
      <c r="P73">
        <f>Tabla1[[#This Row],[Initial Risk $]]/Tabla1[[#This Row],[Position Size (shares)]]+Tabla1[[#This Row],[Entry Price]]</f>
        <v>30.15</v>
      </c>
      <c r="Q73">
        <f>Tabla1[[#This Row],[Initial Risk $]]/Tabla1[[#This Row],[Position Size (shares)]]*1.5+Tabla1[[#This Row],[Entry Price]]</f>
        <v>30.65</v>
      </c>
      <c r="R73">
        <f>Tabla1[[#This Row],[Initial Risk $]]/Tabla1[[#This Row],[Position Size (shares)]]*2+Tabla1[[#This Row],[Entry Price]]</f>
        <v>31.15</v>
      </c>
      <c r="S73">
        <f>Tabla1[[#This Row],[Initial Risk $]]/Tabla1[[#This Row],[Position Size (shares)]]*2.5+Tabla1[[#This Row],[Entry Price]]</f>
        <v>31.65</v>
      </c>
      <c r="T73">
        <f>Tabla1[[#This Row],[Initial Risk $]]/Tabla1[[#This Row],[Position Size (shares)]]*3+Tabla1[[#This Row],[Entry Price]]</f>
        <v>32.15</v>
      </c>
    </row>
    <row r="74" spans="1:20" customFormat="1" hidden="1" x14ac:dyDescent="0.25">
      <c r="A74" t="str">
        <f t="shared" si="0"/>
        <v>T-073</v>
      </c>
      <c r="B74" s="1">
        <v>46134</v>
      </c>
      <c r="C74" t="s">
        <v>130</v>
      </c>
      <c r="D74" t="s">
        <v>28</v>
      </c>
      <c r="E74" t="s">
        <v>58</v>
      </c>
      <c r="F74">
        <v>288.49</v>
      </c>
      <c r="G74">
        <v>285.49</v>
      </c>
      <c r="H74">
        <f>Tabla1[[#This Row],[Entry Price]]-(Tabla1[[#This Row],[Entry Price]]-Tabla1[[#This Row],[Initial Stop]])/2</f>
        <v>286.99</v>
      </c>
      <c r="I74">
        <v>2</v>
      </c>
      <c r="J74">
        <f t="shared" si="9"/>
        <v>6</v>
      </c>
      <c r="K74">
        <v>1</v>
      </c>
      <c r="L74">
        <f t="shared" si="7"/>
        <v>6</v>
      </c>
      <c r="M74" t="s">
        <v>72</v>
      </c>
      <c r="N74">
        <f>SUMIF(Executions!B:B,A74,Executions!H:H)</f>
        <v>15.159999999999968</v>
      </c>
      <c r="O74">
        <f t="shared" si="8"/>
        <v>2.5266666666666615</v>
      </c>
      <c r="P74">
        <f>Tabla1[[#This Row],[Initial Risk $]]/Tabla1[[#This Row],[Position Size (shares)]]+Tabla1[[#This Row],[Entry Price]]</f>
        <v>291.49</v>
      </c>
      <c r="Q74">
        <f>Tabla1[[#This Row],[Initial Risk $]]/Tabla1[[#This Row],[Position Size (shares)]]*1.5+Tabla1[[#This Row],[Entry Price]]</f>
        <v>292.99</v>
      </c>
      <c r="R74">
        <f>Tabla1[[#This Row],[Initial Risk $]]/Tabla1[[#This Row],[Position Size (shares)]]*2+Tabla1[[#This Row],[Entry Price]]</f>
        <v>294.49</v>
      </c>
      <c r="S74">
        <f>Tabla1[[#This Row],[Initial Risk $]]/Tabla1[[#This Row],[Position Size (shares)]]*2.5+Tabla1[[#This Row],[Entry Price]]</f>
        <v>295.99</v>
      </c>
      <c r="T74">
        <f>Tabla1[[#This Row],[Initial Risk $]]/Tabla1[[#This Row],[Position Size (shares)]]*3+Tabla1[[#This Row],[Entry Price]]</f>
        <v>297.49</v>
      </c>
    </row>
    <row r="75" spans="1:20" customFormat="1" hidden="1" x14ac:dyDescent="0.25">
      <c r="A75" t="str">
        <f t="shared" si="0"/>
        <v>T-074</v>
      </c>
      <c r="B75" s="1">
        <v>46134</v>
      </c>
      <c r="C75" t="s">
        <v>210</v>
      </c>
      <c r="D75" t="s">
        <v>28</v>
      </c>
      <c r="E75" t="s">
        <v>112</v>
      </c>
      <c r="F75">
        <v>7.43</v>
      </c>
      <c r="G75">
        <v>6.43</v>
      </c>
      <c r="H75">
        <f>Tabla1[[#This Row],[Entry Price]]-(Tabla1[[#This Row],[Entry Price]]-Tabla1[[#This Row],[Initial Stop]])/2</f>
        <v>6.93</v>
      </c>
      <c r="I75">
        <v>4</v>
      </c>
      <c r="J75">
        <f t="shared" si="9"/>
        <v>4</v>
      </c>
      <c r="K75">
        <v>1</v>
      </c>
      <c r="L75">
        <f t="shared" si="7"/>
        <v>4</v>
      </c>
      <c r="M75" t="s">
        <v>72</v>
      </c>
      <c r="N75">
        <f>SUMIF(Executions!B:B,A75,Executions!H:H)</f>
        <v>0</v>
      </c>
      <c r="O75">
        <f t="shared" si="8"/>
        <v>0</v>
      </c>
      <c r="P75">
        <f>Tabla1[[#This Row],[Initial Risk $]]/Tabla1[[#This Row],[Position Size (shares)]]+Tabla1[[#This Row],[Entry Price]]</f>
        <v>8.43</v>
      </c>
      <c r="Q75">
        <f>Tabla1[[#This Row],[Initial Risk $]]/Tabla1[[#This Row],[Position Size (shares)]]*1.5+Tabla1[[#This Row],[Entry Price]]</f>
        <v>8.93</v>
      </c>
      <c r="R75">
        <f>Tabla1[[#This Row],[Initial Risk $]]/Tabla1[[#This Row],[Position Size (shares)]]*2+Tabla1[[#This Row],[Entry Price]]</f>
        <v>9.43</v>
      </c>
      <c r="S75">
        <f>Tabla1[[#This Row],[Initial Risk $]]/Tabla1[[#This Row],[Position Size (shares)]]*2.5+Tabla1[[#This Row],[Entry Price]]</f>
        <v>9.93</v>
      </c>
      <c r="T75">
        <f>Tabla1[[#This Row],[Initial Risk $]]/Tabla1[[#This Row],[Position Size (shares)]]*3+Tabla1[[#This Row],[Entry Price]]</f>
        <v>10.43</v>
      </c>
    </row>
    <row r="76" spans="1:20" customFormat="1" hidden="1" x14ac:dyDescent="0.25">
      <c r="A76" t="str">
        <f t="shared" si="0"/>
        <v>T-075</v>
      </c>
      <c r="B76" s="1">
        <v>46134</v>
      </c>
      <c r="C76" t="s">
        <v>211</v>
      </c>
      <c r="D76" t="s">
        <v>28</v>
      </c>
      <c r="E76" t="s">
        <v>58</v>
      </c>
      <c r="F76">
        <v>13.47</v>
      </c>
      <c r="G76">
        <v>12.79</v>
      </c>
      <c r="H76">
        <f>Tabla1[[#This Row],[Entry Price]]-(Tabla1[[#This Row],[Entry Price]]-Tabla1[[#This Row],[Initial Stop]])/2</f>
        <v>13.129999999999999</v>
      </c>
      <c r="I76">
        <v>10</v>
      </c>
      <c r="J76">
        <f t="shared" si="9"/>
        <v>6.8000000000000149</v>
      </c>
      <c r="K76">
        <v>1</v>
      </c>
      <c r="L76">
        <f t="shared" si="7"/>
        <v>6.8000000000000149</v>
      </c>
      <c r="M76" t="s">
        <v>72</v>
      </c>
      <c r="N76">
        <f>SUMIF(Executions!B:B,A76,Executions!H:H)</f>
        <v>-6.8800000000000061</v>
      </c>
      <c r="O76">
        <f t="shared" si="8"/>
        <v>-1.0117647058823516</v>
      </c>
      <c r="P76">
        <f>Tabla1[[#This Row],[Initial Risk $]]/Tabla1[[#This Row],[Position Size (shares)]]+Tabla1[[#This Row],[Entry Price]]</f>
        <v>14.150000000000002</v>
      </c>
      <c r="Q76">
        <f>Tabla1[[#This Row],[Initial Risk $]]/Tabla1[[#This Row],[Position Size (shares)]]*1.5+Tabla1[[#This Row],[Entry Price]]</f>
        <v>14.490000000000002</v>
      </c>
      <c r="R76">
        <f>Tabla1[[#This Row],[Initial Risk $]]/Tabla1[[#This Row],[Position Size (shares)]]*2+Tabla1[[#This Row],[Entry Price]]</f>
        <v>14.830000000000004</v>
      </c>
      <c r="S76">
        <f>Tabla1[[#This Row],[Initial Risk $]]/Tabla1[[#This Row],[Position Size (shares)]]*2.5+Tabla1[[#This Row],[Entry Price]]</f>
        <v>15.170000000000005</v>
      </c>
      <c r="T76">
        <f>Tabla1[[#This Row],[Initial Risk $]]/Tabla1[[#This Row],[Position Size (shares)]]*3+Tabla1[[#This Row],[Entry Price]]</f>
        <v>15.510000000000005</v>
      </c>
    </row>
    <row r="77" spans="1:20" customFormat="1" hidden="1" x14ac:dyDescent="0.25">
      <c r="A77" t="str">
        <f t="shared" si="0"/>
        <v>T-076</v>
      </c>
      <c r="B77" s="1">
        <v>46135</v>
      </c>
      <c r="C77" t="s">
        <v>213</v>
      </c>
      <c r="D77" t="s">
        <v>28</v>
      </c>
      <c r="E77" t="s">
        <v>51</v>
      </c>
      <c r="F77">
        <v>8.77</v>
      </c>
      <c r="G77">
        <v>7.77</v>
      </c>
      <c r="H77">
        <f>Tabla1[[#This Row],[Entry Price]]-(Tabla1[[#This Row],[Entry Price]]-Tabla1[[#This Row],[Initial Stop]])/2</f>
        <v>8.27</v>
      </c>
      <c r="I77">
        <v>4</v>
      </c>
      <c r="J77">
        <f t="shared" si="9"/>
        <v>4</v>
      </c>
      <c r="K77">
        <v>1</v>
      </c>
      <c r="L77">
        <f t="shared" si="7"/>
        <v>4</v>
      </c>
      <c r="M77" t="s">
        <v>72</v>
      </c>
      <c r="N77">
        <f>SUMIF(Executions!B:B,A77,Executions!H:H)</f>
        <v>-3</v>
      </c>
      <c r="O77">
        <f t="shared" si="8"/>
        <v>-0.75</v>
      </c>
      <c r="P77">
        <f>Tabla1[[#This Row],[Initial Risk $]]/Tabla1[[#This Row],[Position Size (shares)]]+Tabla1[[#This Row],[Entry Price]]</f>
        <v>9.77</v>
      </c>
      <c r="Q77">
        <f>Tabla1[[#This Row],[Initial Risk $]]/Tabla1[[#This Row],[Position Size (shares)]]*1.5+Tabla1[[#This Row],[Entry Price]]</f>
        <v>10.27</v>
      </c>
      <c r="R77">
        <f>Tabla1[[#This Row],[Initial Risk $]]/Tabla1[[#This Row],[Position Size (shares)]]*2+Tabla1[[#This Row],[Entry Price]]</f>
        <v>10.77</v>
      </c>
      <c r="S77">
        <f>Tabla1[[#This Row],[Initial Risk $]]/Tabla1[[#This Row],[Position Size (shares)]]*2.5+Tabla1[[#This Row],[Entry Price]]</f>
        <v>11.27</v>
      </c>
      <c r="T77">
        <f>Tabla1[[#This Row],[Initial Risk $]]/Tabla1[[#This Row],[Position Size (shares)]]*3+Tabla1[[#This Row],[Entry Price]]</f>
        <v>11.77</v>
      </c>
    </row>
    <row r="78" spans="1:20" customFormat="1" hidden="1" x14ac:dyDescent="0.25">
      <c r="A78" t="str">
        <f t="shared" si="0"/>
        <v>T-077</v>
      </c>
      <c r="B78" s="1">
        <v>46135</v>
      </c>
      <c r="C78" t="s">
        <v>130</v>
      </c>
      <c r="D78" t="s">
        <v>28</v>
      </c>
      <c r="E78" t="s">
        <v>51</v>
      </c>
      <c r="F78">
        <v>306.27999999999997</v>
      </c>
      <c r="G78">
        <v>303.08</v>
      </c>
      <c r="H78">
        <f>Tabla1[[#This Row],[Entry Price]]-(Tabla1[[#This Row],[Entry Price]]-Tabla1[[#This Row],[Initial Stop]])/2</f>
        <v>304.67999999999995</v>
      </c>
      <c r="I78">
        <v>3</v>
      </c>
      <c r="J78">
        <f t="shared" si="9"/>
        <v>9.5999999999999659</v>
      </c>
      <c r="K78">
        <v>1</v>
      </c>
      <c r="L78">
        <f t="shared" si="7"/>
        <v>9.5999999999999659</v>
      </c>
      <c r="M78" t="s">
        <v>72</v>
      </c>
      <c r="N78">
        <f>SUMIF(Executions!B:B,A78,Executions!H:H)</f>
        <v>-9.7799999999999727</v>
      </c>
      <c r="O78">
        <f t="shared" si="8"/>
        <v>-1.0187500000000007</v>
      </c>
      <c r="P78">
        <f>Tabla1[[#This Row],[Initial Risk $]]/Tabla1[[#This Row],[Position Size (shares)]]+Tabla1[[#This Row],[Entry Price]]</f>
        <v>309.47999999999996</v>
      </c>
      <c r="Q78">
        <f>Tabla1[[#This Row],[Initial Risk $]]/Tabla1[[#This Row],[Position Size (shares)]]*1.5+Tabla1[[#This Row],[Entry Price]]</f>
        <v>311.07999999999993</v>
      </c>
      <c r="R78">
        <f>Tabla1[[#This Row],[Initial Risk $]]/Tabla1[[#This Row],[Position Size (shares)]]*2+Tabla1[[#This Row],[Entry Price]]</f>
        <v>312.67999999999995</v>
      </c>
      <c r="S78">
        <f>Tabla1[[#This Row],[Initial Risk $]]/Tabla1[[#This Row],[Position Size (shares)]]*2.5+Tabla1[[#This Row],[Entry Price]]</f>
        <v>314.27999999999997</v>
      </c>
      <c r="T78">
        <f>Tabla1[[#This Row],[Initial Risk $]]/Tabla1[[#This Row],[Position Size (shares)]]*3+Tabla1[[#This Row],[Entry Price]]</f>
        <v>315.87999999999994</v>
      </c>
    </row>
    <row r="79" spans="1:20" customFormat="1" hidden="1" x14ac:dyDescent="0.25">
      <c r="A79" t="str">
        <f t="shared" si="0"/>
        <v>T-078</v>
      </c>
      <c r="B79" s="1">
        <v>46136</v>
      </c>
      <c r="C79" t="s">
        <v>135</v>
      </c>
      <c r="D79" t="s">
        <v>28</v>
      </c>
      <c r="E79" t="s">
        <v>58</v>
      </c>
      <c r="F79">
        <v>227.76</v>
      </c>
      <c r="G79">
        <v>225.76</v>
      </c>
      <c r="H79">
        <f>Tabla1[[#This Row],[Entry Price]]-(Tabla1[[#This Row],[Entry Price]]-Tabla1[[#This Row],[Initial Stop]])/2</f>
        <v>226.76</v>
      </c>
      <c r="I79">
        <v>4</v>
      </c>
      <c r="J79">
        <f t="shared" si="9"/>
        <v>8</v>
      </c>
      <c r="K79">
        <v>1</v>
      </c>
      <c r="L79">
        <f t="shared" si="7"/>
        <v>8</v>
      </c>
      <c r="M79" t="s">
        <v>72</v>
      </c>
      <c r="N79">
        <f>SUMIF(Executions!B:B,A79,Executions!H:H)</f>
        <v>10.759999999999991</v>
      </c>
      <c r="O79">
        <f t="shared" si="8"/>
        <v>1.3449999999999989</v>
      </c>
      <c r="P79">
        <f>Tabla1[[#This Row],[Initial Risk $]]/Tabla1[[#This Row],[Position Size (shares)]]+Tabla1[[#This Row],[Entry Price]]</f>
        <v>229.76</v>
      </c>
      <c r="Q79">
        <f>Tabla1[[#This Row],[Initial Risk $]]/Tabla1[[#This Row],[Position Size (shares)]]*1.5+Tabla1[[#This Row],[Entry Price]]</f>
        <v>230.76</v>
      </c>
      <c r="R79">
        <f>Tabla1[[#This Row],[Initial Risk $]]/Tabla1[[#This Row],[Position Size (shares)]]*2+Tabla1[[#This Row],[Entry Price]]</f>
        <v>231.76</v>
      </c>
      <c r="S79">
        <f>Tabla1[[#This Row],[Initial Risk $]]/Tabla1[[#This Row],[Position Size (shares)]]*2.5+Tabla1[[#This Row],[Entry Price]]</f>
        <v>232.76</v>
      </c>
      <c r="T79">
        <f>Tabla1[[#This Row],[Initial Risk $]]/Tabla1[[#This Row],[Position Size (shares)]]*3+Tabla1[[#This Row],[Entry Price]]</f>
        <v>233.76</v>
      </c>
    </row>
    <row r="80" spans="1:20" customFormat="1" hidden="1" x14ac:dyDescent="0.25">
      <c r="A80" t="str">
        <f t="shared" si="0"/>
        <v>T-079</v>
      </c>
      <c r="B80" s="1">
        <v>46136</v>
      </c>
      <c r="C80" t="s">
        <v>223</v>
      </c>
      <c r="D80" t="s">
        <v>28</v>
      </c>
      <c r="E80" t="s">
        <v>119</v>
      </c>
      <c r="F80">
        <v>10.66</v>
      </c>
      <c r="G80">
        <v>10.199999999999999</v>
      </c>
      <c r="H80">
        <f>Tabla1[[#This Row],[Entry Price]]-(Tabla1[[#This Row],[Entry Price]]-Tabla1[[#This Row],[Initial Stop]])/2</f>
        <v>10.43</v>
      </c>
      <c r="I80">
        <v>20</v>
      </c>
      <c r="J80">
        <f t="shared" si="9"/>
        <v>9.2000000000000171</v>
      </c>
      <c r="K80">
        <v>1</v>
      </c>
      <c r="L80">
        <f t="shared" si="7"/>
        <v>9.2000000000000171</v>
      </c>
      <c r="M80" t="s">
        <v>72</v>
      </c>
      <c r="N80">
        <f>SUMIF(Executions!B:B,A80,Executions!H:H)</f>
        <v>-25.800000000000018</v>
      </c>
      <c r="O80">
        <f t="shared" si="8"/>
        <v>-2.8043478260869534</v>
      </c>
      <c r="P80">
        <f>Tabla1[[#This Row],[Initial Risk $]]/Tabla1[[#This Row],[Position Size (shares)]]+Tabla1[[#This Row],[Entry Price]]</f>
        <v>11.120000000000001</v>
      </c>
      <c r="Q80">
        <f>Tabla1[[#This Row],[Initial Risk $]]/Tabla1[[#This Row],[Position Size (shares)]]*1.5+Tabla1[[#This Row],[Entry Price]]</f>
        <v>11.350000000000001</v>
      </c>
      <c r="R80">
        <f>Tabla1[[#This Row],[Initial Risk $]]/Tabla1[[#This Row],[Position Size (shares)]]*2+Tabla1[[#This Row],[Entry Price]]</f>
        <v>11.580000000000002</v>
      </c>
      <c r="S80">
        <f>Tabla1[[#This Row],[Initial Risk $]]/Tabla1[[#This Row],[Position Size (shares)]]*2.5+Tabla1[[#This Row],[Entry Price]]</f>
        <v>11.810000000000002</v>
      </c>
      <c r="T80">
        <f>Tabla1[[#This Row],[Initial Risk $]]/Tabla1[[#This Row],[Position Size (shares)]]*3+Tabla1[[#This Row],[Entry Price]]</f>
        <v>12.040000000000003</v>
      </c>
    </row>
    <row r="81" spans="1:20" customFormat="1" hidden="1" x14ac:dyDescent="0.25">
      <c r="A81" t="str">
        <f t="shared" si="0"/>
        <v>T-080</v>
      </c>
      <c r="B81" s="1">
        <v>46136</v>
      </c>
      <c r="C81" t="s">
        <v>187</v>
      </c>
      <c r="D81" t="s">
        <v>28</v>
      </c>
      <c r="E81" t="s">
        <v>119</v>
      </c>
      <c r="F81">
        <v>98.59</v>
      </c>
      <c r="G81">
        <v>96.49</v>
      </c>
      <c r="H81">
        <f>Tabla1[[#This Row],[Entry Price]]-(Tabla1[[#This Row],[Entry Price]]-Tabla1[[#This Row],[Initial Stop]])/2</f>
        <v>97.539999999999992</v>
      </c>
      <c r="I81">
        <v>4</v>
      </c>
      <c r="J81">
        <f t="shared" si="9"/>
        <v>8.4000000000000341</v>
      </c>
      <c r="K81">
        <v>1</v>
      </c>
      <c r="L81">
        <f t="shared" si="7"/>
        <v>8.4000000000000341</v>
      </c>
      <c r="M81" t="s">
        <v>72</v>
      </c>
      <c r="N81">
        <f>SUMIF(Executions!B:B,A81,Executions!H:H)</f>
        <v>-8.5600000000000023</v>
      </c>
      <c r="O81">
        <f t="shared" si="8"/>
        <v>-1.0190476190476152</v>
      </c>
      <c r="P81">
        <f>Tabla1[[#This Row],[Initial Risk $]]/Tabla1[[#This Row],[Position Size (shares)]]+Tabla1[[#This Row],[Entry Price]]</f>
        <v>100.69000000000001</v>
      </c>
      <c r="Q81">
        <f>Tabla1[[#This Row],[Initial Risk $]]/Tabla1[[#This Row],[Position Size (shares)]]*1.5+Tabla1[[#This Row],[Entry Price]]</f>
        <v>101.74000000000001</v>
      </c>
      <c r="R81">
        <f>Tabla1[[#This Row],[Initial Risk $]]/Tabla1[[#This Row],[Position Size (shares)]]*2+Tabla1[[#This Row],[Entry Price]]</f>
        <v>102.79000000000002</v>
      </c>
      <c r="S81">
        <f>Tabla1[[#This Row],[Initial Risk $]]/Tabla1[[#This Row],[Position Size (shares)]]*2.5+Tabla1[[#This Row],[Entry Price]]</f>
        <v>103.84000000000003</v>
      </c>
      <c r="T81">
        <f>Tabla1[[#This Row],[Initial Risk $]]/Tabla1[[#This Row],[Position Size (shares)]]*3+Tabla1[[#This Row],[Entry Price]]</f>
        <v>104.89000000000003</v>
      </c>
    </row>
    <row r="82" spans="1:20" customFormat="1" hidden="1" x14ac:dyDescent="0.25">
      <c r="A82" t="str">
        <f t="shared" ref="A82:A90" si="10">"T-"&amp; TEXT(ROW()-1,"000")</f>
        <v>T-081</v>
      </c>
      <c r="B82" s="1">
        <v>46139</v>
      </c>
      <c r="C82" t="s">
        <v>76</v>
      </c>
      <c r="D82" t="s">
        <v>28</v>
      </c>
      <c r="E82" t="s">
        <v>60</v>
      </c>
      <c r="F82">
        <v>10.74</v>
      </c>
      <c r="G82">
        <v>10.02</v>
      </c>
      <c r="H82">
        <f>Tabla1[[#This Row],[Entry Price]]-(Tabla1[[#This Row],[Entry Price]]-Tabla1[[#This Row],[Initial Stop]])/2</f>
        <v>10.379999999999999</v>
      </c>
      <c r="I82">
        <v>8</v>
      </c>
      <c r="J82">
        <f t="shared" ref="J82:J90" si="11">IF(D82="Long",(F82-G82)*I82,(G82-F82)*0)</f>
        <v>5.7600000000000051</v>
      </c>
      <c r="K82">
        <v>1</v>
      </c>
      <c r="L82">
        <f t="shared" si="7"/>
        <v>5.7600000000000051</v>
      </c>
      <c r="M82" t="s">
        <v>72</v>
      </c>
      <c r="N82">
        <f>SUMIF(Executions!B:B,A82,Executions!H:H)</f>
        <v>-5.7600000000000051</v>
      </c>
      <c r="O82">
        <f t="shared" si="8"/>
        <v>-1</v>
      </c>
      <c r="P82">
        <f>Tabla1[[#This Row],[Initial Risk $]]/Tabla1[[#This Row],[Position Size (shares)]]+Tabla1[[#This Row],[Entry Price]]</f>
        <v>11.46</v>
      </c>
      <c r="Q82">
        <f>Tabla1[[#This Row],[Initial Risk $]]/Tabla1[[#This Row],[Position Size (shares)]]*1.5+Tabla1[[#This Row],[Entry Price]]</f>
        <v>11.82</v>
      </c>
      <c r="R82">
        <f>Tabla1[[#This Row],[Initial Risk $]]/Tabla1[[#This Row],[Position Size (shares)]]*2+Tabla1[[#This Row],[Entry Price]]</f>
        <v>12.180000000000001</v>
      </c>
      <c r="S82">
        <f>Tabla1[[#This Row],[Initial Risk $]]/Tabla1[[#This Row],[Position Size (shares)]]*2.5+Tabla1[[#This Row],[Entry Price]]</f>
        <v>12.540000000000003</v>
      </c>
      <c r="T82">
        <f>Tabla1[[#This Row],[Initial Risk $]]/Tabla1[[#This Row],[Position Size (shares)]]*3+Tabla1[[#This Row],[Entry Price]]</f>
        <v>12.900000000000002</v>
      </c>
    </row>
    <row r="83" spans="1:20" customFormat="1" hidden="1" x14ac:dyDescent="0.25">
      <c r="A83" t="str">
        <f t="shared" si="10"/>
        <v>T-082</v>
      </c>
      <c r="B83" s="1">
        <v>46139</v>
      </c>
      <c r="C83" t="s">
        <v>207</v>
      </c>
      <c r="D83" t="s">
        <v>28</v>
      </c>
      <c r="E83" t="s">
        <v>60</v>
      </c>
      <c r="F83">
        <v>28.87</v>
      </c>
      <c r="G83">
        <v>27.63</v>
      </c>
      <c r="H83">
        <f>Tabla1[[#This Row],[Entry Price]]-(Tabla1[[#This Row],[Entry Price]]-Tabla1[[#This Row],[Initial Stop]])/2</f>
        <v>28.25</v>
      </c>
      <c r="I83">
        <v>4</v>
      </c>
      <c r="J83">
        <f t="shared" si="11"/>
        <v>4.960000000000008</v>
      </c>
      <c r="K83">
        <v>1</v>
      </c>
      <c r="L83">
        <f t="shared" si="7"/>
        <v>4.960000000000008</v>
      </c>
      <c r="M83" t="s">
        <v>72</v>
      </c>
      <c r="N83">
        <f>SUMIF(Executions!B:B,A83,Executions!H:H)</f>
        <v>-4.960000000000008</v>
      </c>
      <c r="O83">
        <f t="shared" si="8"/>
        <v>-1</v>
      </c>
      <c r="P83">
        <f>Tabla1[[#This Row],[Initial Risk $]]/Tabla1[[#This Row],[Position Size (shares)]]+Tabla1[[#This Row],[Entry Price]]</f>
        <v>30.110000000000003</v>
      </c>
      <c r="Q83">
        <f>Tabla1[[#This Row],[Initial Risk $]]/Tabla1[[#This Row],[Position Size (shares)]]*1.5+Tabla1[[#This Row],[Entry Price]]</f>
        <v>30.730000000000004</v>
      </c>
      <c r="R83">
        <f>Tabla1[[#This Row],[Initial Risk $]]/Tabla1[[#This Row],[Position Size (shares)]]*2+Tabla1[[#This Row],[Entry Price]]</f>
        <v>31.350000000000005</v>
      </c>
      <c r="S83">
        <f>Tabla1[[#This Row],[Initial Risk $]]/Tabla1[[#This Row],[Position Size (shares)]]*2.5+Tabla1[[#This Row],[Entry Price]]</f>
        <v>31.970000000000006</v>
      </c>
      <c r="T83">
        <f>Tabla1[[#This Row],[Initial Risk $]]/Tabla1[[#This Row],[Position Size (shares)]]*3+Tabla1[[#This Row],[Entry Price]]</f>
        <v>32.590000000000003</v>
      </c>
    </row>
    <row r="84" spans="1:20" customFormat="1" hidden="1" x14ac:dyDescent="0.25">
      <c r="A84" t="str">
        <f t="shared" si="10"/>
        <v>T-083</v>
      </c>
      <c r="B84" s="1">
        <v>46139</v>
      </c>
      <c r="C84" t="s">
        <v>164</v>
      </c>
      <c r="D84" t="s">
        <v>28</v>
      </c>
      <c r="E84" t="s">
        <v>58</v>
      </c>
      <c r="F84">
        <v>209.45</v>
      </c>
      <c r="G84">
        <v>208.15</v>
      </c>
      <c r="H84">
        <f>Tabla1[[#This Row],[Entry Price]]-(Tabla1[[#This Row],[Entry Price]]-Tabla1[[#This Row],[Initial Stop]])/2</f>
        <v>208.8</v>
      </c>
      <c r="I84">
        <v>3</v>
      </c>
      <c r="J84">
        <f t="shared" si="11"/>
        <v>3.8999999999999488</v>
      </c>
      <c r="K84">
        <v>1</v>
      </c>
      <c r="L84">
        <f t="shared" si="7"/>
        <v>3.8999999999999488</v>
      </c>
      <c r="M84" t="s">
        <v>72</v>
      </c>
      <c r="N84">
        <f>SUMIF(Executions!B:B,A84,Executions!H:H)</f>
        <v>-3.6899999999999693</v>
      </c>
      <c r="O84">
        <f t="shared" si="8"/>
        <v>-0.94615384615385068</v>
      </c>
      <c r="P84">
        <f>Tabla1[[#This Row],[Initial Risk $]]/Tabla1[[#This Row],[Position Size (shares)]]+Tabla1[[#This Row],[Entry Price]]</f>
        <v>210.74999999999997</v>
      </c>
      <c r="Q84">
        <f>Tabla1[[#This Row],[Initial Risk $]]/Tabla1[[#This Row],[Position Size (shares)]]*1.5+Tabla1[[#This Row],[Entry Price]]</f>
        <v>211.39999999999998</v>
      </c>
      <c r="R84">
        <f>Tabla1[[#This Row],[Initial Risk $]]/Tabla1[[#This Row],[Position Size (shares)]]*2+Tabla1[[#This Row],[Entry Price]]</f>
        <v>212.04999999999995</v>
      </c>
      <c r="S84">
        <f>Tabla1[[#This Row],[Initial Risk $]]/Tabla1[[#This Row],[Position Size (shares)]]*2.5+Tabla1[[#This Row],[Entry Price]]</f>
        <v>212.69999999999993</v>
      </c>
      <c r="T84">
        <f>Tabla1[[#This Row],[Initial Risk $]]/Tabla1[[#This Row],[Position Size (shares)]]*3+Tabla1[[#This Row],[Entry Price]]</f>
        <v>213.34999999999994</v>
      </c>
    </row>
    <row r="85" spans="1:20" customFormat="1" hidden="1" x14ac:dyDescent="0.25">
      <c r="A85" t="str">
        <f t="shared" si="10"/>
        <v>T-084</v>
      </c>
      <c r="B85" s="1">
        <v>46139</v>
      </c>
      <c r="C85" t="s">
        <v>181</v>
      </c>
      <c r="D85" t="s">
        <v>28</v>
      </c>
      <c r="E85" t="s">
        <v>60</v>
      </c>
      <c r="F85">
        <v>10.32</v>
      </c>
      <c r="G85">
        <v>9.82</v>
      </c>
      <c r="H85">
        <f>Tabla1[[#This Row],[Entry Price]]-(Tabla1[[#This Row],[Entry Price]]-Tabla1[[#This Row],[Initial Stop]])/2</f>
        <v>10.07</v>
      </c>
      <c r="I85">
        <v>10</v>
      </c>
      <c r="J85">
        <f t="shared" si="11"/>
        <v>5</v>
      </c>
      <c r="K85">
        <v>1</v>
      </c>
      <c r="L85">
        <f t="shared" si="7"/>
        <v>5</v>
      </c>
      <c r="M85" t="s">
        <v>72</v>
      </c>
      <c r="N85">
        <f>SUMIF(Executions!B:B,A85,Executions!H:H)</f>
        <v>-4.9000000000000021</v>
      </c>
      <c r="O85">
        <f t="shared" si="8"/>
        <v>-0.98000000000000043</v>
      </c>
      <c r="P85">
        <f>Tabla1[[#This Row],[Initial Risk $]]/Tabla1[[#This Row],[Position Size (shares)]]+Tabla1[[#This Row],[Entry Price]]</f>
        <v>10.82</v>
      </c>
      <c r="Q85">
        <f>Tabla1[[#This Row],[Initial Risk $]]/Tabla1[[#This Row],[Position Size (shares)]]*1.5+Tabla1[[#This Row],[Entry Price]]</f>
        <v>11.07</v>
      </c>
      <c r="R85">
        <f>Tabla1[[#This Row],[Initial Risk $]]/Tabla1[[#This Row],[Position Size (shares)]]*2+Tabla1[[#This Row],[Entry Price]]</f>
        <v>11.32</v>
      </c>
      <c r="S85">
        <f>Tabla1[[#This Row],[Initial Risk $]]/Tabla1[[#This Row],[Position Size (shares)]]*2.5+Tabla1[[#This Row],[Entry Price]]</f>
        <v>11.57</v>
      </c>
      <c r="T85">
        <f>Tabla1[[#This Row],[Initial Risk $]]/Tabla1[[#This Row],[Position Size (shares)]]*3+Tabla1[[#This Row],[Entry Price]]</f>
        <v>11.82</v>
      </c>
    </row>
    <row r="86" spans="1:20" customFormat="1" hidden="1" x14ac:dyDescent="0.25">
      <c r="A86" t="str">
        <f t="shared" si="10"/>
        <v>T-085</v>
      </c>
      <c r="B86" s="1">
        <v>46139</v>
      </c>
      <c r="C86" t="s">
        <v>225</v>
      </c>
      <c r="D86" t="s">
        <v>28</v>
      </c>
      <c r="E86" t="s">
        <v>58</v>
      </c>
      <c r="F86">
        <v>155.94</v>
      </c>
      <c r="G86">
        <v>151.94</v>
      </c>
      <c r="H86">
        <f>Tabla1[[#This Row],[Entry Price]]-(Tabla1[[#This Row],[Entry Price]]-Tabla1[[#This Row],[Initial Stop]])/2</f>
        <v>153.94</v>
      </c>
      <c r="I86">
        <v>4</v>
      </c>
      <c r="J86">
        <f t="shared" si="11"/>
        <v>16</v>
      </c>
      <c r="K86">
        <v>1</v>
      </c>
      <c r="L86">
        <f t="shared" si="7"/>
        <v>16</v>
      </c>
      <c r="M86" t="s">
        <v>72</v>
      </c>
      <c r="N86">
        <f>SUMIF(Executions!B:B,A86,Executions!H:H)</f>
        <v>-16</v>
      </c>
      <c r="O86">
        <f t="shared" si="8"/>
        <v>-1</v>
      </c>
      <c r="P86">
        <f>Tabla1[[#This Row],[Initial Risk $]]/Tabla1[[#This Row],[Position Size (shares)]]+Tabla1[[#This Row],[Entry Price]]</f>
        <v>159.94</v>
      </c>
      <c r="Q86">
        <f>Tabla1[[#This Row],[Initial Risk $]]/Tabla1[[#This Row],[Position Size (shares)]]*1.5+Tabla1[[#This Row],[Entry Price]]</f>
        <v>161.94</v>
      </c>
      <c r="R86">
        <f>Tabla1[[#This Row],[Initial Risk $]]/Tabla1[[#This Row],[Position Size (shares)]]*2+Tabla1[[#This Row],[Entry Price]]</f>
        <v>163.94</v>
      </c>
      <c r="S86">
        <f>Tabla1[[#This Row],[Initial Risk $]]/Tabla1[[#This Row],[Position Size (shares)]]*2.5+Tabla1[[#This Row],[Entry Price]]</f>
        <v>165.94</v>
      </c>
      <c r="T86">
        <f>Tabla1[[#This Row],[Initial Risk $]]/Tabla1[[#This Row],[Position Size (shares)]]*3+Tabla1[[#This Row],[Entry Price]]</f>
        <v>167.94</v>
      </c>
    </row>
    <row r="87" spans="1:20" customFormat="1" hidden="1" x14ac:dyDescent="0.25">
      <c r="A87" t="str">
        <f t="shared" si="10"/>
        <v>T-086</v>
      </c>
      <c r="B87" s="1">
        <v>46139</v>
      </c>
      <c r="C87" t="s">
        <v>225</v>
      </c>
      <c r="D87" t="s">
        <v>28</v>
      </c>
      <c r="E87" t="s">
        <v>58</v>
      </c>
      <c r="F87">
        <v>152.19</v>
      </c>
      <c r="G87">
        <v>151.32</v>
      </c>
      <c r="H87">
        <f>Tabla1[[#This Row],[Entry Price]]-(Tabla1[[#This Row],[Entry Price]]-Tabla1[[#This Row],[Initial Stop]])/2</f>
        <v>151.755</v>
      </c>
      <c r="I87">
        <v>4</v>
      </c>
      <c r="J87">
        <f t="shared" si="11"/>
        <v>3.4800000000000182</v>
      </c>
      <c r="K87">
        <v>1</v>
      </c>
      <c r="L87">
        <f t="shared" si="7"/>
        <v>3.4800000000000182</v>
      </c>
      <c r="M87" t="s">
        <v>72</v>
      </c>
      <c r="N87">
        <f>SUMIF(Executions!B:B,A87,Executions!H:H)</f>
        <v>-3.4800000000000182</v>
      </c>
      <c r="O87">
        <f t="shared" si="8"/>
        <v>-1</v>
      </c>
      <c r="P87">
        <f>Tabla1[[#This Row],[Initial Risk $]]/Tabla1[[#This Row],[Position Size (shares)]]+Tabla1[[#This Row],[Entry Price]]</f>
        <v>153.06</v>
      </c>
      <c r="Q87">
        <f>Tabla1[[#This Row],[Initial Risk $]]/Tabla1[[#This Row],[Position Size (shares)]]*1.5+Tabla1[[#This Row],[Entry Price]]</f>
        <v>153.495</v>
      </c>
      <c r="R87">
        <f>Tabla1[[#This Row],[Initial Risk $]]/Tabla1[[#This Row],[Position Size (shares)]]*2+Tabla1[[#This Row],[Entry Price]]</f>
        <v>153.93</v>
      </c>
      <c r="S87">
        <f>Tabla1[[#This Row],[Initial Risk $]]/Tabla1[[#This Row],[Position Size (shares)]]*2.5+Tabla1[[#This Row],[Entry Price]]</f>
        <v>154.36500000000001</v>
      </c>
      <c r="T87">
        <f>Tabla1[[#This Row],[Initial Risk $]]/Tabla1[[#This Row],[Position Size (shares)]]*3+Tabla1[[#This Row],[Entry Price]]</f>
        <v>154.80000000000001</v>
      </c>
    </row>
    <row r="88" spans="1:20" customFormat="1" hidden="1" x14ac:dyDescent="0.25">
      <c r="A88" t="str">
        <f t="shared" si="10"/>
        <v>T-087</v>
      </c>
      <c r="B88" s="1">
        <v>46139</v>
      </c>
      <c r="C88" t="s">
        <v>225</v>
      </c>
      <c r="D88" t="s">
        <v>28</v>
      </c>
      <c r="E88" t="s">
        <v>58</v>
      </c>
      <c r="F88">
        <v>148.72999999999999</v>
      </c>
      <c r="G88">
        <v>147.72999999999999</v>
      </c>
      <c r="H88">
        <f>Tabla1[[#This Row],[Entry Price]]-(Tabla1[[#This Row],[Entry Price]]-Tabla1[[#This Row],[Initial Stop]])/2</f>
        <v>148.22999999999999</v>
      </c>
      <c r="I88">
        <v>4</v>
      </c>
      <c r="J88">
        <f t="shared" si="11"/>
        <v>4</v>
      </c>
      <c r="K88">
        <v>1</v>
      </c>
      <c r="L88">
        <f t="shared" si="7"/>
        <v>4</v>
      </c>
      <c r="M88" t="s">
        <v>72</v>
      </c>
      <c r="N88">
        <f>SUMIF(Executions!B:B,A88,Executions!H:H)</f>
        <v>-3.9199999999999591</v>
      </c>
      <c r="O88">
        <f t="shared" si="8"/>
        <v>-0.97999999999998977</v>
      </c>
      <c r="P88">
        <f>Tabla1[[#This Row],[Initial Risk $]]/Tabla1[[#This Row],[Position Size (shares)]]+Tabla1[[#This Row],[Entry Price]]</f>
        <v>149.72999999999999</v>
      </c>
      <c r="Q88">
        <f>Tabla1[[#This Row],[Initial Risk $]]/Tabla1[[#This Row],[Position Size (shares)]]*1.5+Tabla1[[#This Row],[Entry Price]]</f>
        <v>150.22999999999999</v>
      </c>
      <c r="R88">
        <f>Tabla1[[#This Row],[Initial Risk $]]/Tabla1[[#This Row],[Position Size (shares)]]*2+Tabla1[[#This Row],[Entry Price]]</f>
        <v>150.72999999999999</v>
      </c>
      <c r="S88">
        <f>Tabla1[[#This Row],[Initial Risk $]]/Tabla1[[#This Row],[Position Size (shares)]]*2.5+Tabla1[[#This Row],[Entry Price]]</f>
        <v>151.22999999999999</v>
      </c>
      <c r="T88">
        <f>Tabla1[[#This Row],[Initial Risk $]]/Tabla1[[#This Row],[Position Size (shares)]]*3+Tabla1[[#This Row],[Entry Price]]</f>
        <v>151.72999999999999</v>
      </c>
    </row>
    <row r="89" spans="1:20" customFormat="1" hidden="1" x14ac:dyDescent="0.25">
      <c r="A89" t="str">
        <f t="shared" si="10"/>
        <v>T-088</v>
      </c>
      <c r="B89" s="1">
        <v>46139</v>
      </c>
      <c r="C89" t="s">
        <v>198</v>
      </c>
      <c r="D89" t="s">
        <v>28</v>
      </c>
      <c r="E89" t="s">
        <v>119</v>
      </c>
      <c r="F89">
        <v>75.95</v>
      </c>
      <c r="G89">
        <v>74.489999999999995</v>
      </c>
      <c r="H89">
        <f>Tabla1[[#This Row],[Entry Price]]-(Tabla1[[#This Row],[Entry Price]]-Tabla1[[#This Row],[Initial Stop]])/2</f>
        <v>75.22</v>
      </c>
      <c r="I89">
        <v>4</v>
      </c>
      <c r="J89">
        <f t="shared" si="11"/>
        <v>5.8400000000000318</v>
      </c>
      <c r="K89">
        <v>1</v>
      </c>
      <c r="L89">
        <f t="shared" si="7"/>
        <v>5.8400000000000318</v>
      </c>
      <c r="M89" t="s">
        <v>72</v>
      </c>
      <c r="N89">
        <f>SUMIF(Executions!B:B,A89,Executions!H:H)</f>
        <v>10.120000000000005</v>
      </c>
      <c r="O89">
        <f t="shared" si="8"/>
        <v>1.7328767123287585</v>
      </c>
      <c r="P89">
        <f>Tabla1[[#This Row],[Initial Risk $]]/Tabla1[[#This Row],[Position Size (shares)]]+Tabla1[[#This Row],[Entry Price]]</f>
        <v>77.410000000000011</v>
      </c>
      <c r="Q89">
        <f>Tabla1[[#This Row],[Initial Risk $]]/Tabla1[[#This Row],[Position Size (shares)]]*1.5+Tabla1[[#This Row],[Entry Price]]</f>
        <v>78.140000000000015</v>
      </c>
      <c r="R89">
        <f>Tabla1[[#This Row],[Initial Risk $]]/Tabla1[[#This Row],[Position Size (shares)]]*2+Tabla1[[#This Row],[Entry Price]]</f>
        <v>78.870000000000019</v>
      </c>
      <c r="S89">
        <f>Tabla1[[#This Row],[Initial Risk $]]/Tabla1[[#This Row],[Position Size (shares)]]*2.5+Tabla1[[#This Row],[Entry Price]]</f>
        <v>79.600000000000023</v>
      </c>
      <c r="T89">
        <f>Tabla1[[#This Row],[Initial Risk $]]/Tabla1[[#This Row],[Position Size (shares)]]*3+Tabla1[[#This Row],[Entry Price]]</f>
        <v>80.330000000000027</v>
      </c>
    </row>
    <row r="90" spans="1:20" customFormat="1" hidden="1" x14ac:dyDescent="0.25">
      <c r="A90" t="str">
        <f t="shared" si="10"/>
        <v>T-089</v>
      </c>
      <c r="B90" s="1">
        <v>46139</v>
      </c>
      <c r="C90" t="s">
        <v>233</v>
      </c>
      <c r="D90" t="s">
        <v>28</v>
      </c>
      <c r="E90" t="s">
        <v>119</v>
      </c>
      <c r="F90">
        <v>424.93</v>
      </c>
      <c r="G90">
        <v>411.49</v>
      </c>
      <c r="H90">
        <f>Tabla1[[#This Row],[Entry Price]]-(Tabla1[[#This Row],[Entry Price]]-Tabla1[[#This Row],[Initial Stop]])/2</f>
        <v>418.21000000000004</v>
      </c>
      <c r="I90">
        <v>1</v>
      </c>
      <c r="J90">
        <f t="shared" si="11"/>
        <v>13.439999999999998</v>
      </c>
      <c r="K90">
        <v>1</v>
      </c>
      <c r="L90">
        <f t="shared" si="7"/>
        <v>13.439999999999998</v>
      </c>
      <c r="M90" t="s">
        <v>72</v>
      </c>
      <c r="N90">
        <f>SUMIF(Executions!B:B,A90,Executions!H:H)</f>
        <v>-14.54000000000002</v>
      </c>
      <c r="O90">
        <f t="shared" si="8"/>
        <v>-1.0818452380952397</v>
      </c>
      <c r="P90">
        <f>Tabla1[[#This Row],[Initial Risk $]]/Tabla1[[#This Row],[Position Size (shares)]]+Tabla1[[#This Row],[Entry Price]]</f>
        <v>438.37</v>
      </c>
      <c r="Q90">
        <f>Tabla1[[#This Row],[Initial Risk $]]/Tabla1[[#This Row],[Position Size (shares)]]*1.5+Tabla1[[#This Row],[Entry Price]]</f>
        <v>445.09000000000003</v>
      </c>
      <c r="R90">
        <f>Tabla1[[#This Row],[Initial Risk $]]/Tabla1[[#This Row],[Position Size (shares)]]*2+Tabla1[[#This Row],[Entry Price]]</f>
        <v>451.81</v>
      </c>
      <c r="S90">
        <f>Tabla1[[#This Row],[Initial Risk $]]/Tabla1[[#This Row],[Position Size (shares)]]*2.5+Tabla1[[#This Row],[Entry Price]]</f>
        <v>458.53</v>
      </c>
      <c r="T90">
        <f>Tabla1[[#This Row],[Initial Risk $]]/Tabla1[[#This Row],[Position Size (shares)]]*3+Tabla1[[#This Row],[Entry Price]]</f>
        <v>465.25</v>
      </c>
    </row>
    <row r="91" spans="1:20" customFormat="1" hidden="1" x14ac:dyDescent="0.25">
      <c r="A91" t="str">
        <f t="shared" ref="A91:A100" si="12">"T-"&amp; TEXT(ROW()-1,"000")</f>
        <v>T-090</v>
      </c>
      <c r="B91" s="1">
        <v>46140</v>
      </c>
      <c r="C91" t="s">
        <v>234</v>
      </c>
      <c r="D91" t="s">
        <v>28</v>
      </c>
      <c r="E91" t="s">
        <v>119</v>
      </c>
      <c r="F91">
        <v>75</v>
      </c>
      <c r="G91">
        <v>71</v>
      </c>
      <c r="H91">
        <f>Tabla1[[#This Row],[Entry Price]]-(Tabla1[[#This Row],[Entry Price]]-Tabla1[[#This Row],[Initial Stop]])/2</f>
        <v>73</v>
      </c>
      <c r="I91">
        <v>2</v>
      </c>
      <c r="J91">
        <f t="shared" ref="J91:J100" si="13">IF(D91="Long",(F91-G91)*I91,(G91-F91)*0)</f>
        <v>8</v>
      </c>
      <c r="K91">
        <v>1</v>
      </c>
      <c r="L91">
        <f t="shared" si="7"/>
        <v>8</v>
      </c>
      <c r="M91" t="s">
        <v>72</v>
      </c>
      <c r="N91">
        <f>SUMIF(Executions!B:B,A91,Executions!H:H)</f>
        <v>-8</v>
      </c>
      <c r="O91">
        <f t="shared" si="8"/>
        <v>-1</v>
      </c>
      <c r="P91">
        <f>Tabla1[[#This Row],[Initial Risk $]]/Tabla1[[#This Row],[Position Size (shares)]]+Tabla1[[#This Row],[Entry Price]]</f>
        <v>79</v>
      </c>
      <c r="Q91">
        <f>Tabla1[[#This Row],[Initial Risk $]]/Tabla1[[#This Row],[Position Size (shares)]]*1.5+Tabla1[[#This Row],[Entry Price]]</f>
        <v>81</v>
      </c>
      <c r="R91">
        <f>Tabla1[[#This Row],[Initial Risk $]]/Tabla1[[#This Row],[Position Size (shares)]]*2+Tabla1[[#This Row],[Entry Price]]</f>
        <v>83</v>
      </c>
      <c r="S91">
        <f>Tabla1[[#This Row],[Initial Risk $]]/Tabla1[[#This Row],[Position Size (shares)]]*2.5+Tabla1[[#This Row],[Entry Price]]</f>
        <v>85</v>
      </c>
      <c r="T91">
        <f>Tabla1[[#This Row],[Initial Risk $]]/Tabla1[[#This Row],[Position Size (shares)]]*3+Tabla1[[#This Row],[Entry Price]]</f>
        <v>87</v>
      </c>
    </row>
    <row r="92" spans="1:20" customFormat="1" hidden="1" x14ac:dyDescent="0.25">
      <c r="A92" t="str">
        <f t="shared" si="12"/>
        <v>T-091</v>
      </c>
      <c r="B92" s="1">
        <v>46140</v>
      </c>
      <c r="C92" t="s">
        <v>235</v>
      </c>
      <c r="D92" t="s">
        <v>28</v>
      </c>
      <c r="E92" t="s">
        <v>58</v>
      </c>
      <c r="F92">
        <v>207.69</v>
      </c>
      <c r="G92">
        <v>205.69</v>
      </c>
      <c r="H92">
        <f>Tabla1[[#This Row],[Entry Price]]-(Tabla1[[#This Row],[Entry Price]]-Tabla1[[#This Row],[Initial Stop]])/2</f>
        <v>206.69</v>
      </c>
      <c r="I92">
        <v>4</v>
      </c>
      <c r="J92">
        <f t="shared" si="13"/>
        <v>8</v>
      </c>
      <c r="K92">
        <v>1</v>
      </c>
      <c r="L92">
        <f t="shared" si="7"/>
        <v>8</v>
      </c>
      <c r="M92" t="s">
        <v>72</v>
      </c>
      <c r="N92">
        <f>SUMIF(Executions!B:B,A92,Executions!H:H)</f>
        <v>-10.644000000000005</v>
      </c>
      <c r="O92">
        <f t="shared" si="8"/>
        <v>-1.3305000000000007</v>
      </c>
      <c r="P92">
        <f>Tabla1[[#This Row],[Initial Risk $]]/Tabla1[[#This Row],[Position Size (shares)]]+Tabla1[[#This Row],[Entry Price]]</f>
        <v>209.69</v>
      </c>
      <c r="Q92">
        <f>Tabla1[[#This Row],[Initial Risk $]]/Tabla1[[#This Row],[Position Size (shares)]]*1.5+Tabla1[[#This Row],[Entry Price]]</f>
        <v>210.69</v>
      </c>
      <c r="R92">
        <f>Tabla1[[#This Row],[Initial Risk $]]/Tabla1[[#This Row],[Position Size (shares)]]*2+Tabla1[[#This Row],[Entry Price]]</f>
        <v>211.69</v>
      </c>
      <c r="S92">
        <f>Tabla1[[#This Row],[Initial Risk $]]/Tabla1[[#This Row],[Position Size (shares)]]*2.5+Tabla1[[#This Row],[Entry Price]]</f>
        <v>212.69</v>
      </c>
      <c r="T92">
        <f>Tabla1[[#This Row],[Initial Risk $]]/Tabla1[[#This Row],[Position Size (shares)]]*3+Tabla1[[#This Row],[Entry Price]]</f>
        <v>213.69</v>
      </c>
    </row>
    <row r="93" spans="1:20" customFormat="1" hidden="1" x14ac:dyDescent="0.25">
      <c r="A93" t="str">
        <f t="shared" si="12"/>
        <v>T-092</v>
      </c>
      <c r="B93" s="1">
        <v>46140</v>
      </c>
      <c r="C93" t="s">
        <v>239</v>
      </c>
      <c r="D93" t="s">
        <v>28</v>
      </c>
      <c r="E93" t="s">
        <v>58</v>
      </c>
      <c r="F93">
        <v>73.11</v>
      </c>
      <c r="G93">
        <v>71.36</v>
      </c>
      <c r="H93">
        <f>Tabla1[[#This Row],[Entry Price]]-(Tabla1[[#This Row],[Entry Price]]-Tabla1[[#This Row],[Initial Stop]])/2</f>
        <v>72.234999999999999</v>
      </c>
      <c r="I93">
        <v>6</v>
      </c>
      <c r="J93">
        <f t="shared" si="13"/>
        <v>10.5</v>
      </c>
      <c r="K93">
        <v>1</v>
      </c>
      <c r="L93">
        <f t="shared" si="7"/>
        <v>10.5</v>
      </c>
      <c r="M93" t="s">
        <v>72</v>
      </c>
      <c r="N93">
        <f>SUMIF(Executions!B:B,A93,Executions!H:H)</f>
        <v>4.9200000000000443</v>
      </c>
      <c r="O93">
        <f t="shared" si="8"/>
        <v>0.4685714285714328</v>
      </c>
      <c r="P93">
        <f>Tabla1[[#This Row],[Initial Risk $]]/Tabla1[[#This Row],[Position Size (shares)]]+Tabla1[[#This Row],[Entry Price]]</f>
        <v>74.86</v>
      </c>
      <c r="Q93">
        <f>Tabla1[[#This Row],[Initial Risk $]]/Tabla1[[#This Row],[Position Size (shares)]]*1.5+Tabla1[[#This Row],[Entry Price]]</f>
        <v>75.734999999999999</v>
      </c>
      <c r="R93">
        <f>Tabla1[[#This Row],[Initial Risk $]]/Tabla1[[#This Row],[Position Size (shares)]]*2+Tabla1[[#This Row],[Entry Price]]</f>
        <v>76.61</v>
      </c>
      <c r="S93">
        <f>Tabla1[[#This Row],[Initial Risk $]]/Tabla1[[#This Row],[Position Size (shares)]]*2.5+Tabla1[[#This Row],[Entry Price]]</f>
        <v>77.484999999999999</v>
      </c>
      <c r="T93">
        <f>Tabla1[[#This Row],[Initial Risk $]]/Tabla1[[#This Row],[Position Size (shares)]]*3+Tabla1[[#This Row],[Entry Price]]</f>
        <v>78.36</v>
      </c>
    </row>
    <row r="94" spans="1:20" customFormat="1" hidden="1" x14ac:dyDescent="0.25">
      <c r="A94" t="str">
        <f t="shared" si="12"/>
        <v>T-093</v>
      </c>
      <c r="B94" s="1">
        <v>46141</v>
      </c>
      <c r="C94" t="s">
        <v>173</v>
      </c>
      <c r="D94" t="s">
        <v>28</v>
      </c>
      <c r="E94" t="s">
        <v>58</v>
      </c>
      <c r="F94">
        <v>140.72999999999999</v>
      </c>
      <c r="G94">
        <v>137.38</v>
      </c>
      <c r="H94">
        <f>Tabla1[[#This Row],[Entry Price]]-(Tabla1[[#This Row],[Entry Price]]-Tabla1[[#This Row],[Initial Stop]])/2</f>
        <v>139.05500000000001</v>
      </c>
      <c r="I94">
        <v>3</v>
      </c>
      <c r="J94">
        <f t="shared" si="13"/>
        <v>10.049999999999983</v>
      </c>
      <c r="K94">
        <v>1</v>
      </c>
      <c r="L94">
        <f t="shared" si="7"/>
        <v>10.049999999999983</v>
      </c>
      <c r="M94" t="s">
        <v>72</v>
      </c>
      <c r="N94">
        <f>SUMIF(Executions!B:B,A94,Executions!H:H)</f>
        <v>-10.049999999999983</v>
      </c>
      <c r="O94">
        <f t="shared" si="8"/>
        <v>-1</v>
      </c>
      <c r="P94">
        <f>Tabla1[[#This Row],[Initial Risk $]]/Tabla1[[#This Row],[Position Size (shares)]]+Tabla1[[#This Row],[Entry Price]]</f>
        <v>144.07999999999998</v>
      </c>
      <c r="Q94">
        <f>Tabla1[[#This Row],[Initial Risk $]]/Tabla1[[#This Row],[Position Size (shares)]]*1.5+Tabla1[[#This Row],[Entry Price]]</f>
        <v>145.755</v>
      </c>
      <c r="R94">
        <f>Tabla1[[#This Row],[Initial Risk $]]/Tabla1[[#This Row],[Position Size (shares)]]*2+Tabla1[[#This Row],[Entry Price]]</f>
        <v>147.42999999999998</v>
      </c>
      <c r="S94">
        <f>Tabla1[[#This Row],[Initial Risk $]]/Tabla1[[#This Row],[Position Size (shares)]]*2.5+Tabla1[[#This Row],[Entry Price]]</f>
        <v>149.10499999999996</v>
      </c>
      <c r="T94">
        <f>Tabla1[[#This Row],[Initial Risk $]]/Tabla1[[#This Row],[Position Size (shares)]]*3+Tabla1[[#This Row],[Entry Price]]</f>
        <v>150.77999999999997</v>
      </c>
    </row>
    <row r="95" spans="1:20" customFormat="1" hidden="1" x14ac:dyDescent="0.25">
      <c r="A95" t="str">
        <f t="shared" si="12"/>
        <v>T-094</v>
      </c>
      <c r="B95" s="1">
        <v>46141</v>
      </c>
      <c r="C95" t="s">
        <v>242</v>
      </c>
      <c r="D95" t="s">
        <v>28</v>
      </c>
      <c r="E95" t="s">
        <v>58</v>
      </c>
      <c r="F95">
        <v>4.26</v>
      </c>
      <c r="G95">
        <v>3.81</v>
      </c>
      <c r="H95">
        <f>Tabla1[[#This Row],[Entry Price]]-(Tabla1[[#This Row],[Entry Price]]-Tabla1[[#This Row],[Initial Stop]])/2</f>
        <v>4.0350000000000001</v>
      </c>
      <c r="I95">
        <v>6</v>
      </c>
      <c r="J95">
        <f t="shared" si="13"/>
        <v>2.6999999999999984</v>
      </c>
      <c r="K95">
        <v>1</v>
      </c>
      <c r="L95">
        <f t="shared" si="7"/>
        <v>2.6999999999999984</v>
      </c>
      <c r="M95" t="s">
        <v>72</v>
      </c>
      <c r="N95">
        <f>SUMIF(Executions!B:B,A95,Executions!H:H)</f>
        <v>-2.76</v>
      </c>
      <c r="O95">
        <f t="shared" si="8"/>
        <v>-1.0222222222222228</v>
      </c>
      <c r="P95">
        <f>Tabla1[[#This Row],[Initial Risk $]]/Tabla1[[#This Row],[Position Size (shares)]]+Tabla1[[#This Row],[Entry Price]]</f>
        <v>4.7099999999999991</v>
      </c>
      <c r="Q95">
        <f>Tabla1[[#This Row],[Initial Risk $]]/Tabla1[[#This Row],[Position Size (shares)]]*1.5+Tabla1[[#This Row],[Entry Price]]</f>
        <v>4.9349999999999996</v>
      </c>
      <c r="R95">
        <f>Tabla1[[#This Row],[Initial Risk $]]/Tabla1[[#This Row],[Position Size (shares)]]*2+Tabla1[[#This Row],[Entry Price]]</f>
        <v>5.1599999999999993</v>
      </c>
      <c r="S95">
        <f>Tabla1[[#This Row],[Initial Risk $]]/Tabla1[[#This Row],[Position Size (shares)]]*2.5+Tabla1[[#This Row],[Entry Price]]</f>
        <v>5.3849999999999989</v>
      </c>
      <c r="T95">
        <f>Tabla1[[#This Row],[Initial Risk $]]/Tabla1[[#This Row],[Position Size (shares)]]*3+Tabla1[[#This Row],[Entry Price]]</f>
        <v>5.6099999999999994</v>
      </c>
    </row>
    <row r="96" spans="1:20" customFormat="1" hidden="1" x14ac:dyDescent="0.25">
      <c r="A96" t="str">
        <f t="shared" si="12"/>
        <v>T-095</v>
      </c>
      <c r="B96" s="1">
        <v>46141</v>
      </c>
      <c r="C96" t="s">
        <v>243</v>
      </c>
      <c r="D96" t="s">
        <v>28</v>
      </c>
      <c r="E96" t="s">
        <v>51</v>
      </c>
      <c r="F96">
        <v>335.32</v>
      </c>
      <c r="G96">
        <v>332.32</v>
      </c>
      <c r="H96">
        <f>Tabla1[[#This Row],[Entry Price]]-(Tabla1[[#This Row],[Entry Price]]-Tabla1[[#This Row],[Initial Stop]])/2</f>
        <v>333.82</v>
      </c>
      <c r="I96">
        <v>2</v>
      </c>
      <c r="J96">
        <f t="shared" si="13"/>
        <v>6</v>
      </c>
      <c r="K96">
        <v>1</v>
      </c>
      <c r="L96">
        <f t="shared" si="7"/>
        <v>6</v>
      </c>
      <c r="M96" t="s">
        <v>72</v>
      </c>
      <c r="N96">
        <f>SUMIF(Executions!B:B,A96,Executions!H:H)</f>
        <v>-7.67999999999995</v>
      </c>
      <c r="O96">
        <f t="shared" si="8"/>
        <v>-1.2799999999999916</v>
      </c>
      <c r="P96">
        <f>Tabla1[[#This Row],[Initial Risk $]]/Tabla1[[#This Row],[Position Size (shares)]]+Tabla1[[#This Row],[Entry Price]]</f>
        <v>338.32</v>
      </c>
      <c r="Q96">
        <f>Tabla1[[#This Row],[Initial Risk $]]/Tabla1[[#This Row],[Position Size (shares)]]*1.5+Tabla1[[#This Row],[Entry Price]]</f>
        <v>339.82</v>
      </c>
      <c r="R96">
        <f>Tabla1[[#This Row],[Initial Risk $]]/Tabla1[[#This Row],[Position Size (shares)]]*2+Tabla1[[#This Row],[Entry Price]]</f>
        <v>341.32</v>
      </c>
      <c r="S96">
        <f>Tabla1[[#This Row],[Initial Risk $]]/Tabla1[[#This Row],[Position Size (shares)]]*2.5+Tabla1[[#This Row],[Entry Price]]</f>
        <v>342.82</v>
      </c>
      <c r="T96">
        <f>Tabla1[[#This Row],[Initial Risk $]]/Tabla1[[#This Row],[Position Size (shares)]]*3+Tabla1[[#This Row],[Entry Price]]</f>
        <v>344.32</v>
      </c>
    </row>
    <row r="97" spans="1:20" customFormat="1" hidden="1" x14ac:dyDescent="0.25">
      <c r="A97" t="str">
        <f t="shared" si="12"/>
        <v>T-096</v>
      </c>
      <c r="B97" s="1">
        <v>46141</v>
      </c>
      <c r="C97" t="s">
        <v>245</v>
      </c>
      <c r="D97" t="s">
        <v>28</v>
      </c>
      <c r="E97" t="s">
        <v>51</v>
      </c>
      <c r="F97">
        <v>667.39</v>
      </c>
      <c r="G97">
        <v>660.39</v>
      </c>
      <c r="H97">
        <f>Tabla1[[#This Row],[Entry Price]]-(Tabla1[[#This Row],[Entry Price]]-Tabla1[[#This Row],[Initial Stop]])/2</f>
        <v>663.89</v>
      </c>
      <c r="I97">
        <v>1</v>
      </c>
      <c r="J97">
        <f t="shared" si="13"/>
        <v>7</v>
      </c>
      <c r="K97">
        <v>1</v>
      </c>
      <c r="L97">
        <f t="shared" si="7"/>
        <v>7</v>
      </c>
      <c r="M97" t="s">
        <v>72</v>
      </c>
      <c r="N97">
        <f>SUMIF(Executions!B:B,A97,Executions!H:H)</f>
        <v>-7.2999999999999545</v>
      </c>
      <c r="O97">
        <f t="shared" si="8"/>
        <v>-1.0428571428571363</v>
      </c>
      <c r="P97">
        <f>Tabla1[[#This Row],[Initial Risk $]]/Tabla1[[#This Row],[Position Size (shares)]]+Tabla1[[#This Row],[Entry Price]]</f>
        <v>674.39</v>
      </c>
      <c r="Q97">
        <f>Tabla1[[#This Row],[Initial Risk $]]/Tabla1[[#This Row],[Position Size (shares)]]*1.5+Tabla1[[#This Row],[Entry Price]]</f>
        <v>677.89</v>
      </c>
      <c r="R97">
        <f>Tabla1[[#This Row],[Initial Risk $]]/Tabla1[[#This Row],[Position Size (shares)]]*2+Tabla1[[#This Row],[Entry Price]]</f>
        <v>681.39</v>
      </c>
      <c r="S97">
        <f>Tabla1[[#This Row],[Initial Risk $]]/Tabla1[[#This Row],[Position Size (shares)]]*2.5+Tabla1[[#This Row],[Entry Price]]</f>
        <v>684.89</v>
      </c>
      <c r="T97">
        <f>Tabla1[[#This Row],[Initial Risk $]]/Tabla1[[#This Row],[Position Size (shares)]]*3+Tabla1[[#This Row],[Entry Price]]</f>
        <v>688.39</v>
      </c>
    </row>
    <row r="98" spans="1:20" customFormat="1" hidden="1" x14ac:dyDescent="0.25">
      <c r="A98" t="str">
        <f t="shared" si="12"/>
        <v>T-097</v>
      </c>
      <c r="B98" s="1">
        <v>46141</v>
      </c>
      <c r="C98" t="s">
        <v>245</v>
      </c>
      <c r="D98" t="s">
        <v>28</v>
      </c>
      <c r="E98" t="s">
        <v>51</v>
      </c>
      <c r="F98">
        <v>663.81</v>
      </c>
      <c r="G98">
        <v>657.81</v>
      </c>
      <c r="H98">
        <f>Tabla1[[#This Row],[Entry Price]]-(Tabla1[[#This Row],[Entry Price]]-Tabla1[[#This Row],[Initial Stop]])/2</f>
        <v>660.81</v>
      </c>
      <c r="I98">
        <v>2</v>
      </c>
      <c r="J98">
        <f t="shared" si="13"/>
        <v>12</v>
      </c>
      <c r="K98">
        <v>1</v>
      </c>
      <c r="L98">
        <f t="shared" si="7"/>
        <v>12</v>
      </c>
      <c r="M98" t="s">
        <v>72</v>
      </c>
      <c r="N98">
        <f>SUMIF(Executions!B:B,A98,Executions!H:H)</f>
        <v>-10.899999999999864</v>
      </c>
      <c r="O98">
        <f t="shared" si="8"/>
        <v>-0.908333333333322</v>
      </c>
      <c r="P98">
        <f>Tabla1[[#This Row],[Initial Risk $]]/Tabla1[[#This Row],[Position Size (shares)]]+Tabla1[[#This Row],[Entry Price]]</f>
        <v>669.81</v>
      </c>
      <c r="Q98">
        <f>Tabla1[[#This Row],[Initial Risk $]]/Tabla1[[#This Row],[Position Size (shares)]]*1.5+Tabla1[[#This Row],[Entry Price]]</f>
        <v>672.81</v>
      </c>
      <c r="R98">
        <f>Tabla1[[#This Row],[Initial Risk $]]/Tabla1[[#This Row],[Position Size (shares)]]*2+Tabla1[[#This Row],[Entry Price]]</f>
        <v>675.81</v>
      </c>
      <c r="S98">
        <f>Tabla1[[#This Row],[Initial Risk $]]/Tabla1[[#This Row],[Position Size (shares)]]*2.5+Tabla1[[#This Row],[Entry Price]]</f>
        <v>678.81</v>
      </c>
      <c r="T98">
        <f>Tabla1[[#This Row],[Initial Risk $]]/Tabla1[[#This Row],[Position Size (shares)]]*3+Tabla1[[#This Row],[Entry Price]]</f>
        <v>681.81</v>
      </c>
    </row>
    <row r="99" spans="1:20" customFormat="1" hidden="1" x14ac:dyDescent="0.25">
      <c r="A99" t="str">
        <f t="shared" si="12"/>
        <v>T-098</v>
      </c>
      <c r="B99" s="1">
        <v>46141</v>
      </c>
      <c r="C99" t="s">
        <v>245</v>
      </c>
      <c r="D99" t="s">
        <v>28</v>
      </c>
      <c r="E99" t="s">
        <v>51</v>
      </c>
      <c r="F99">
        <v>655.42</v>
      </c>
      <c r="G99">
        <v>652.41999999999996</v>
      </c>
      <c r="H99">
        <f>Tabla1[[#This Row],[Entry Price]]-(Tabla1[[#This Row],[Entry Price]]-Tabla1[[#This Row],[Initial Stop]])/2</f>
        <v>653.91999999999996</v>
      </c>
      <c r="I99">
        <v>2</v>
      </c>
      <c r="J99">
        <f t="shared" si="13"/>
        <v>6</v>
      </c>
      <c r="K99">
        <v>1</v>
      </c>
      <c r="L99">
        <f t="shared" si="7"/>
        <v>6</v>
      </c>
      <c r="M99" t="s">
        <v>72</v>
      </c>
      <c r="N99">
        <f>SUMIF(Executions!B:B,A99,Executions!H:H)</f>
        <v>-6.1999999999998181</v>
      </c>
      <c r="O99">
        <f t="shared" si="8"/>
        <v>-1.033333333333303</v>
      </c>
      <c r="P99">
        <f>Tabla1[[#This Row],[Initial Risk $]]/Tabla1[[#This Row],[Position Size (shares)]]+Tabla1[[#This Row],[Entry Price]]</f>
        <v>658.42</v>
      </c>
      <c r="Q99">
        <f>Tabla1[[#This Row],[Initial Risk $]]/Tabla1[[#This Row],[Position Size (shares)]]*1.5+Tabla1[[#This Row],[Entry Price]]</f>
        <v>659.92</v>
      </c>
      <c r="R99">
        <f>Tabla1[[#This Row],[Initial Risk $]]/Tabla1[[#This Row],[Position Size (shares)]]*2+Tabla1[[#This Row],[Entry Price]]</f>
        <v>661.42</v>
      </c>
      <c r="S99">
        <f>Tabla1[[#This Row],[Initial Risk $]]/Tabla1[[#This Row],[Position Size (shares)]]*2.5+Tabla1[[#This Row],[Entry Price]]</f>
        <v>662.92</v>
      </c>
      <c r="T99">
        <f>Tabla1[[#This Row],[Initial Risk $]]/Tabla1[[#This Row],[Position Size (shares)]]*3+Tabla1[[#This Row],[Entry Price]]</f>
        <v>664.42</v>
      </c>
    </row>
    <row r="100" spans="1:20" customFormat="1" hidden="1" x14ac:dyDescent="0.25">
      <c r="A100" t="str">
        <f t="shared" si="12"/>
        <v>T-099</v>
      </c>
      <c r="B100" s="1">
        <v>46141</v>
      </c>
      <c r="C100" t="s">
        <v>245</v>
      </c>
      <c r="D100" t="s">
        <v>28</v>
      </c>
      <c r="E100" t="s">
        <v>51</v>
      </c>
      <c r="F100">
        <v>638.92999999999995</v>
      </c>
      <c r="G100">
        <v>633.35</v>
      </c>
      <c r="H100">
        <f>Tabla1[[#This Row],[Entry Price]]-(Tabla1[[#This Row],[Entry Price]]-Tabla1[[#This Row],[Initial Stop]])/2</f>
        <v>636.14</v>
      </c>
      <c r="I100">
        <v>1</v>
      </c>
      <c r="J100">
        <f t="shared" si="13"/>
        <v>5.5799999999999272</v>
      </c>
      <c r="K100">
        <v>1</v>
      </c>
      <c r="L100">
        <f t="shared" si="7"/>
        <v>5.5799999999999272</v>
      </c>
      <c r="M100" t="s">
        <v>72</v>
      </c>
      <c r="N100">
        <f>SUMIF(Executions!B:B,A100,Executions!H:H)</f>
        <v>-4.8099999999999454</v>
      </c>
      <c r="O100">
        <f t="shared" si="8"/>
        <v>-0.86200716845878278</v>
      </c>
      <c r="P100">
        <f>Tabla1[[#This Row],[Initial Risk $]]/Tabla1[[#This Row],[Position Size (shares)]]+Tabla1[[#This Row],[Entry Price]]</f>
        <v>644.50999999999988</v>
      </c>
      <c r="Q100">
        <f>Tabla1[[#This Row],[Initial Risk $]]/Tabla1[[#This Row],[Position Size (shares)]]*1.5+Tabla1[[#This Row],[Entry Price]]</f>
        <v>647.29999999999984</v>
      </c>
      <c r="R100">
        <f>Tabla1[[#This Row],[Initial Risk $]]/Tabla1[[#This Row],[Position Size (shares)]]*2+Tabla1[[#This Row],[Entry Price]]</f>
        <v>650.0899999999998</v>
      </c>
      <c r="S100">
        <f>Tabla1[[#This Row],[Initial Risk $]]/Tabla1[[#This Row],[Position Size (shares)]]*2.5+Tabla1[[#This Row],[Entry Price]]</f>
        <v>652.87999999999977</v>
      </c>
      <c r="T100">
        <f>Tabla1[[#This Row],[Initial Risk $]]/Tabla1[[#This Row],[Position Size (shares)]]*3+Tabla1[[#This Row],[Entry Price]]</f>
        <v>655.66999999999973</v>
      </c>
    </row>
    <row r="101" spans="1:20" customFormat="1" hidden="1" x14ac:dyDescent="0.25">
      <c r="A101" t="str">
        <f t="shared" ref="A101:A111" si="14">"T-"&amp; TEXT(ROW()-1,"000")</f>
        <v>T-100</v>
      </c>
      <c r="B101" s="1">
        <v>46142</v>
      </c>
      <c r="C101" t="s">
        <v>186</v>
      </c>
      <c r="D101" t="s">
        <v>28</v>
      </c>
      <c r="E101" t="s">
        <v>51</v>
      </c>
      <c r="F101">
        <v>266.35000000000002</v>
      </c>
      <c r="G101">
        <v>256.27999999999997</v>
      </c>
      <c r="H101">
        <f>Tabla1[[#This Row],[Entry Price]]-(Tabla1[[#This Row],[Entry Price]]-Tabla1[[#This Row],[Initial Stop]])/2</f>
        <v>261.315</v>
      </c>
      <c r="I101">
        <v>8</v>
      </c>
      <c r="J101">
        <f t="shared" ref="J101:J111" si="15">IF(D101="Long",(F101-G101)*I101,(G101-F101)*0)</f>
        <v>80.5600000000004</v>
      </c>
      <c r="K101">
        <v>1</v>
      </c>
      <c r="L101">
        <f t="shared" si="7"/>
        <v>80.5600000000004</v>
      </c>
      <c r="M101" t="s">
        <v>72</v>
      </c>
      <c r="N101">
        <f>SUMIF(Executions!B:B,A101,Executions!H:H)</f>
        <v>-80.5600000000004</v>
      </c>
      <c r="O101">
        <f t="shared" si="8"/>
        <v>-1</v>
      </c>
      <c r="P101">
        <f>Tabla1[[#This Row],[Initial Risk $]]/Tabla1[[#This Row],[Position Size (shares)]]+Tabla1[[#This Row],[Entry Price]]</f>
        <v>276.42000000000007</v>
      </c>
      <c r="Q101">
        <f>Tabla1[[#This Row],[Initial Risk $]]/Tabla1[[#This Row],[Position Size (shares)]]*1.5+Tabla1[[#This Row],[Entry Price]]</f>
        <v>281.4550000000001</v>
      </c>
      <c r="R101">
        <f>Tabla1[[#This Row],[Initial Risk $]]/Tabla1[[#This Row],[Position Size (shares)]]*2+Tabla1[[#This Row],[Entry Price]]</f>
        <v>286.49000000000012</v>
      </c>
      <c r="S101">
        <f>Tabla1[[#This Row],[Initial Risk $]]/Tabla1[[#This Row],[Position Size (shares)]]*2.5+Tabla1[[#This Row],[Entry Price]]</f>
        <v>291.52500000000015</v>
      </c>
      <c r="T101">
        <f>Tabla1[[#This Row],[Initial Risk $]]/Tabla1[[#This Row],[Position Size (shares)]]*3+Tabla1[[#This Row],[Entry Price]]</f>
        <v>296.56000000000017</v>
      </c>
    </row>
    <row r="102" spans="1:20" customFormat="1" hidden="1" x14ac:dyDescent="0.25">
      <c r="A102" t="str">
        <f t="shared" si="14"/>
        <v>T-101</v>
      </c>
      <c r="B102" s="1">
        <v>46142</v>
      </c>
      <c r="C102" t="s">
        <v>154</v>
      </c>
      <c r="D102" t="s">
        <v>28</v>
      </c>
      <c r="E102" t="s">
        <v>51</v>
      </c>
      <c r="F102">
        <v>370.98</v>
      </c>
      <c r="G102">
        <v>362.56</v>
      </c>
      <c r="H102">
        <f>Tabla1[[#This Row],[Entry Price]]-(Tabla1[[#This Row],[Entry Price]]-Tabla1[[#This Row],[Initial Stop]])/2</f>
        <v>366.77</v>
      </c>
      <c r="I102">
        <v>3</v>
      </c>
      <c r="J102">
        <f t="shared" si="15"/>
        <v>25.260000000000048</v>
      </c>
      <c r="K102">
        <v>1</v>
      </c>
      <c r="L102">
        <f t="shared" si="7"/>
        <v>25.260000000000048</v>
      </c>
      <c r="M102" t="s">
        <v>72</v>
      </c>
      <c r="N102">
        <f>SUMIF(Executions!B:B,A102,Executions!H:H)</f>
        <v>27.180000000000007</v>
      </c>
      <c r="O102">
        <f t="shared" si="8"/>
        <v>1.0760095011876467</v>
      </c>
      <c r="P102">
        <f>Tabla1[[#This Row],[Initial Risk $]]/Tabla1[[#This Row],[Position Size (shares)]]+Tabla1[[#This Row],[Entry Price]]</f>
        <v>379.40000000000003</v>
      </c>
      <c r="Q102">
        <f>Tabla1[[#This Row],[Initial Risk $]]/Tabla1[[#This Row],[Position Size (shares)]]*1.5+Tabla1[[#This Row],[Entry Price]]</f>
        <v>383.61</v>
      </c>
      <c r="R102">
        <f>Tabla1[[#This Row],[Initial Risk $]]/Tabla1[[#This Row],[Position Size (shares)]]*2+Tabla1[[#This Row],[Entry Price]]</f>
        <v>387.82000000000005</v>
      </c>
      <c r="S102">
        <f>Tabla1[[#This Row],[Initial Risk $]]/Tabla1[[#This Row],[Position Size (shares)]]*2.5+Tabla1[[#This Row],[Entry Price]]</f>
        <v>392.03000000000009</v>
      </c>
      <c r="T102">
        <f>Tabla1[[#This Row],[Initial Risk $]]/Tabla1[[#This Row],[Position Size (shares)]]*3+Tabla1[[#This Row],[Entry Price]]</f>
        <v>396.24000000000007</v>
      </c>
    </row>
    <row r="103" spans="1:20" customFormat="1" hidden="1" x14ac:dyDescent="0.25">
      <c r="A103" t="str">
        <f t="shared" si="14"/>
        <v>T-102</v>
      </c>
      <c r="B103" s="1">
        <v>46142</v>
      </c>
      <c r="C103" t="s">
        <v>186</v>
      </c>
      <c r="D103" t="s">
        <v>28</v>
      </c>
      <c r="E103" t="s">
        <v>51</v>
      </c>
      <c r="F103">
        <v>259.47000000000003</v>
      </c>
      <c r="G103">
        <v>255.58</v>
      </c>
      <c r="H103">
        <f>Tabla1[[#This Row],[Entry Price]]-(Tabla1[[#This Row],[Entry Price]]-Tabla1[[#This Row],[Initial Stop]])/2</f>
        <v>257.52500000000003</v>
      </c>
      <c r="I103">
        <v>4</v>
      </c>
      <c r="J103">
        <f t="shared" si="15"/>
        <v>15.560000000000059</v>
      </c>
      <c r="K103">
        <v>1</v>
      </c>
      <c r="L103">
        <f t="shared" si="7"/>
        <v>15.560000000000059</v>
      </c>
      <c r="M103" t="s">
        <v>72</v>
      </c>
      <c r="N103">
        <f>SUMIF(Executions!B:B,A103,Executions!H:H)</f>
        <v>60.099999999999909</v>
      </c>
      <c r="O103">
        <f t="shared" si="8"/>
        <v>3.8624678663238869</v>
      </c>
      <c r="P103">
        <f>Tabla1[[#This Row],[Initial Risk $]]/Tabla1[[#This Row],[Position Size (shares)]]+Tabla1[[#This Row],[Entry Price]]</f>
        <v>263.36</v>
      </c>
      <c r="Q103">
        <f>Tabla1[[#This Row],[Initial Risk $]]/Tabla1[[#This Row],[Position Size (shares)]]*1.5+Tabla1[[#This Row],[Entry Price]]</f>
        <v>265.30500000000006</v>
      </c>
      <c r="R103">
        <f>Tabla1[[#This Row],[Initial Risk $]]/Tabla1[[#This Row],[Position Size (shares)]]*2+Tabla1[[#This Row],[Entry Price]]</f>
        <v>267.25000000000006</v>
      </c>
      <c r="S103">
        <f>Tabla1[[#This Row],[Initial Risk $]]/Tabla1[[#This Row],[Position Size (shares)]]*2.5+Tabla1[[#This Row],[Entry Price]]</f>
        <v>269.19500000000005</v>
      </c>
      <c r="T103">
        <f>Tabla1[[#This Row],[Initial Risk $]]/Tabla1[[#This Row],[Position Size (shares)]]*3+Tabla1[[#This Row],[Entry Price]]</f>
        <v>271.1400000000001</v>
      </c>
    </row>
    <row r="104" spans="1:20" customFormat="1" hidden="1" x14ac:dyDescent="0.25">
      <c r="A104" t="str">
        <f t="shared" si="14"/>
        <v>T-103</v>
      </c>
      <c r="B104" s="1">
        <v>46142</v>
      </c>
      <c r="C104" t="s">
        <v>254</v>
      </c>
      <c r="D104" t="s">
        <v>28</v>
      </c>
      <c r="E104" t="s">
        <v>58</v>
      </c>
      <c r="F104">
        <v>24.95</v>
      </c>
      <c r="G104">
        <v>23.04</v>
      </c>
      <c r="H104">
        <f>Tabla1[[#This Row],[Entry Price]]-(Tabla1[[#This Row],[Entry Price]]-Tabla1[[#This Row],[Initial Stop]])/2</f>
        <v>23.994999999999997</v>
      </c>
      <c r="I104">
        <v>6</v>
      </c>
      <c r="J104">
        <f t="shared" si="15"/>
        <v>11.46</v>
      </c>
      <c r="K104">
        <v>1</v>
      </c>
      <c r="L104">
        <f t="shared" si="7"/>
        <v>11.46</v>
      </c>
      <c r="M104" t="s">
        <v>72</v>
      </c>
      <c r="N104">
        <f>SUMIF(Executions!B:B,A104,Executions!H:H)</f>
        <v>-10.64</v>
      </c>
      <c r="O104">
        <f t="shared" si="8"/>
        <v>-0.92844677137870857</v>
      </c>
      <c r="P104">
        <f>Tabla1[[#This Row],[Initial Risk $]]/Tabla1[[#This Row],[Position Size (shares)]]+Tabla1[[#This Row],[Entry Price]]</f>
        <v>26.86</v>
      </c>
      <c r="Q104">
        <f>Tabla1[[#This Row],[Initial Risk $]]/Tabla1[[#This Row],[Position Size (shares)]]*1.5+Tabla1[[#This Row],[Entry Price]]</f>
        <v>27.814999999999998</v>
      </c>
      <c r="R104">
        <f>Tabla1[[#This Row],[Initial Risk $]]/Tabla1[[#This Row],[Position Size (shares)]]*2+Tabla1[[#This Row],[Entry Price]]</f>
        <v>28.77</v>
      </c>
      <c r="S104">
        <f>Tabla1[[#This Row],[Initial Risk $]]/Tabla1[[#This Row],[Position Size (shares)]]*2.5+Tabla1[[#This Row],[Entry Price]]</f>
        <v>29.725000000000001</v>
      </c>
      <c r="T104">
        <f>Tabla1[[#This Row],[Initial Risk $]]/Tabla1[[#This Row],[Position Size (shares)]]*3+Tabla1[[#This Row],[Entry Price]]</f>
        <v>30.68</v>
      </c>
    </row>
    <row r="105" spans="1:20" customFormat="1" hidden="1" x14ac:dyDescent="0.25">
      <c r="A105" t="str">
        <f t="shared" si="14"/>
        <v>T-104</v>
      </c>
      <c r="B105" s="1">
        <v>46143</v>
      </c>
      <c r="C105" t="s">
        <v>211</v>
      </c>
      <c r="D105" t="s">
        <v>28</v>
      </c>
      <c r="E105" t="s">
        <v>119</v>
      </c>
      <c r="F105">
        <v>11.62</v>
      </c>
      <c r="G105">
        <v>10.51</v>
      </c>
      <c r="H105">
        <f>Tabla1[[#This Row],[Entry Price]]-(Tabla1[[#This Row],[Entry Price]]-Tabla1[[#This Row],[Initial Stop]])/2</f>
        <v>11.065</v>
      </c>
      <c r="I105">
        <v>10</v>
      </c>
      <c r="J105">
        <f t="shared" si="15"/>
        <v>11.099999999999994</v>
      </c>
      <c r="K105">
        <v>1</v>
      </c>
      <c r="L105">
        <f t="shared" si="7"/>
        <v>11.099999999999994</v>
      </c>
      <c r="M105" t="s">
        <v>72</v>
      </c>
      <c r="N105">
        <f>SUMIF(Executions!B:B,A105,Executions!H:H)</f>
        <v>-11.099999999999994</v>
      </c>
      <c r="O105">
        <f t="shared" si="8"/>
        <v>-1</v>
      </c>
      <c r="P105">
        <f>Tabla1[[#This Row],[Initial Risk $]]/Tabla1[[#This Row],[Position Size (shares)]]+Tabla1[[#This Row],[Entry Price]]</f>
        <v>12.729999999999999</v>
      </c>
      <c r="Q105">
        <f>Tabla1[[#This Row],[Initial Risk $]]/Tabla1[[#This Row],[Position Size (shares)]]*1.5+Tabla1[[#This Row],[Entry Price]]</f>
        <v>13.284999999999998</v>
      </c>
      <c r="R105">
        <f>Tabla1[[#This Row],[Initial Risk $]]/Tabla1[[#This Row],[Position Size (shares)]]*2+Tabla1[[#This Row],[Entry Price]]</f>
        <v>13.839999999999998</v>
      </c>
      <c r="S105">
        <f>Tabla1[[#This Row],[Initial Risk $]]/Tabla1[[#This Row],[Position Size (shares)]]*2.5+Tabla1[[#This Row],[Entry Price]]</f>
        <v>14.394999999999998</v>
      </c>
      <c r="T105">
        <f>Tabla1[[#This Row],[Initial Risk $]]/Tabla1[[#This Row],[Position Size (shares)]]*3+Tabla1[[#This Row],[Entry Price]]</f>
        <v>14.949999999999998</v>
      </c>
    </row>
    <row r="106" spans="1:20" customFormat="1" hidden="1" x14ac:dyDescent="0.25">
      <c r="A106" t="str">
        <f t="shared" si="14"/>
        <v>T-105</v>
      </c>
      <c r="B106" s="1">
        <v>46143</v>
      </c>
      <c r="C106" t="s">
        <v>86</v>
      </c>
      <c r="D106" t="s">
        <v>28</v>
      </c>
      <c r="E106" t="s">
        <v>51</v>
      </c>
      <c r="F106">
        <v>126.8</v>
      </c>
      <c r="G106">
        <v>125.8</v>
      </c>
      <c r="H106">
        <f>Tabla1[[#This Row],[Entry Price]]-(Tabla1[[#This Row],[Entry Price]]-Tabla1[[#This Row],[Initial Stop]])/2</f>
        <v>126.3</v>
      </c>
      <c r="I106">
        <v>4</v>
      </c>
      <c r="J106">
        <f t="shared" si="15"/>
        <v>4</v>
      </c>
      <c r="K106">
        <v>1</v>
      </c>
      <c r="L106">
        <f t="shared" si="7"/>
        <v>4</v>
      </c>
      <c r="M106" t="s">
        <v>72</v>
      </c>
      <c r="N106">
        <f>SUMIF(Executions!B:B,A106,Executions!H:H)</f>
        <v>-5.8799999999999955</v>
      </c>
      <c r="O106">
        <f t="shared" si="8"/>
        <v>-1.4699999999999989</v>
      </c>
      <c r="P106">
        <f>Tabla1[[#This Row],[Initial Risk $]]/Tabla1[[#This Row],[Position Size (shares)]]+Tabla1[[#This Row],[Entry Price]]</f>
        <v>127.8</v>
      </c>
      <c r="Q106">
        <f>Tabla1[[#This Row],[Initial Risk $]]/Tabla1[[#This Row],[Position Size (shares)]]*1.5+Tabla1[[#This Row],[Entry Price]]</f>
        <v>128.30000000000001</v>
      </c>
      <c r="R106">
        <f>Tabla1[[#This Row],[Initial Risk $]]/Tabla1[[#This Row],[Position Size (shares)]]*2+Tabla1[[#This Row],[Entry Price]]</f>
        <v>128.80000000000001</v>
      </c>
      <c r="S106">
        <f>Tabla1[[#This Row],[Initial Risk $]]/Tabla1[[#This Row],[Position Size (shares)]]*2.5+Tabla1[[#This Row],[Entry Price]]</f>
        <v>129.30000000000001</v>
      </c>
      <c r="T106">
        <f>Tabla1[[#This Row],[Initial Risk $]]/Tabla1[[#This Row],[Position Size (shares)]]*3+Tabla1[[#This Row],[Entry Price]]</f>
        <v>129.80000000000001</v>
      </c>
    </row>
    <row r="107" spans="1:20" customFormat="1" hidden="1" x14ac:dyDescent="0.25">
      <c r="A107" t="str">
        <f t="shared" si="14"/>
        <v>T-106</v>
      </c>
      <c r="B107" s="1">
        <v>46143</v>
      </c>
      <c r="C107" t="s">
        <v>207</v>
      </c>
      <c r="D107" t="s">
        <v>28</v>
      </c>
      <c r="E107" t="s">
        <v>58</v>
      </c>
      <c r="F107">
        <v>27.57</v>
      </c>
      <c r="G107">
        <v>25.34</v>
      </c>
      <c r="H107">
        <f>Tabla1[[#This Row],[Entry Price]]-(Tabla1[[#This Row],[Entry Price]]-Tabla1[[#This Row],[Initial Stop]])/2</f>
        <v>26.454999999999998</v>
      </c>
      <c r="I107">
        <v>4</v>
      </c>
      <c r="J107">
        <f t="shared" si="15"/>
        <v>8.9200000000000017</v>
      </c>
      <c r="K107">
        <v>1</v>
      </c>
      <c r="L107">
        <f t="shared" si="7"/>
        <v>8.9200000000000017</v>
      </c>
      <c r="M107" t="s">
        <v>72</v>
      </c>
      <c r="N107">
        <f>SUMIF(Executions!B:B,A107,Executions!H:H)</f>
        <v>21.519999999999996</v>
      </c>
      <c r="O107">
        <f t="shared" si="8"/>
        <v>2.4125560538116582</v>
      </c>
      <c r="P107">
        <f>Tabla1[[#This Row],[Initial Risk $]]/Tabla1[[#This Row],[Position Size (shares)]]+Tabla1[[#This Row],[Entry Price]]</f>
        <v>29.8</v>
      </c>
      <c r="Q107">
        <f>Tabla1[[#This Row],[Initial Risk $]]/Tabla1[[#This Row],[Position Size (shares)]]*1.5+Tabla1[[#This Row],[Entry Price]]</f>
        <v>30.914999999999999</v>
      </c>
      <c r="R107">
        <f>Tabla1[[#This Row],[Initial Risk $]]/Tabla1[[#This Row],[Position Size (shares)]]*2+Tabla1[[#This Row],[Entry Price]]</f>
        <v>32.03</v>
      </c>
      <c r="S107">
        <f>Tabla1[[#This Row],[Initial Risk $]]/Tabla1[[#This Row],[Position Size (shares)]]*2.5+Tabla1[[#This Row],[Entry Price]]</f>
        <v>33.145000000000003</v>
      </c>
      <c r="T107">
        <f>Tabla1[[#This Row],[Initial Risk $]]/Tabla1[[#This Row],[Position Size (shares)]]*3+Tabla1[[#This Row],[Entry Price]]</f>
        <v>34.260000000000005</v>
      </c>
    </row>
    <row r="108" spans="1:20" customFormat="1" hidden="1" x14ac:dyDescent="0.25">
      <c r="A108" t="str">
        <f t="shared" si="14"/>
        <v>T-107</v>
      </c>
      <c r="B108" s="1">
        <v>46143</v>
      </c>
      <c r="C108" t="s">
        <v>255</v>
      </c>
      <c r="D108" t="s">
        <v>28</v>
      </c>
      <c r="E108" t="s">
        <v>51</v>
      </c>
      <c r="F108">
        <v>279</v>
      </c>
      <c r="G108">
        <v>277.72000000000003</v>
      </c>
      <c r="H108">
        <f>Tabla1[[#This Row],[Entry Price]]-(Tabla1[[#This Row],[Entry Price]]-Tabla1[[#This Row],[Initial Stop]])/2</f>
        <v>278.36</v>
      </c>
      <c r="I108">
        <v>4</v>
      </c>
      <c r="J108">
        <f t="shared" si="15"/>
        <v>5.1199999999998909</v>
      </c>
      <c r="K108">
        <v>1</v>
      </c>
      <c r="L108">
        <f t="shared" si="7"/>
        <v>5.1199999999998909</v>
      </c>
      <c r="M108" t="s">
        <v>72</v>
      </c>
      <c r="N108">
        <f>SUMIF(Executions!B:B,A108,Executions!H:H)</f>
        <v>20.400000000000091</v>
      </c>
      <c r="O108">
        <f t="shared" si="8"/>
        <v>3.9843750000001026</v>
      </c>
      <c r="P108">
        <f>Tabla1[[#This Row],[Initial Risk $]]/Tabla1[[#This Row],[Position Size (shares)]]+Tabla1[[#This Row],[Entry Price]]</f>
        <v>280.27999999999997</v>
      </c>
      <c r="Q108">
        <f>Tabla1[[#This Row],[Initial Risk $]]/Tabla1[[#This Row],[Position Size (shares)]]*1.5+Tabla1[[#This Row],[Entry Price]]</f>
        <v>280.91999999999996</v>
      </c>
      <c r="R108">
        <f>Tabla1[[#This Row],[Initial Risk $]]/Tabla1[[#This Row],[Position Size (shares)]]*2+Tabla1[[#This Row],[Entry Price]]</f>
        <v>281.55999999999995</v>
      </c>
      <c r="S108">
        <f>Tabla1[[#This Row],[Initial Risk $]]/Tabla1[[#This Row],[Position Size (shares)]]*2.5+Tabla1[[#This Row],[Entry Price]]</f>
        <v>282.19999999999993</v>
      </c>
      <c r="T108">
        <f>Tabla1[[#This Row],[Initial Risk $]]/Tabla1[[#This Row],[Position Size (shares)]]*3+Tabla1[[#This Row],[Entry Price]]</f>
        <v>282.83999999999992</v>
      </c>
    </row>
    <row r="109" spans="1:20" customFormat="1" hidden="1" x14ac:dyDescent="0.25">
      <c r="A109" t="str">
        <f t="shared" si="14"/>
        <v>T-108</v>
      </c>
      <c r="B109" s="1">
        <v>46143</v>
      </c>
      <c r="C109" t="s">
        <v>256</v>
      </c>
      <c r="D109" t="s">
        <v>28</v>
      </c>
      <c r="E109" t="s">
        <v>51</v>
      </c>
      <c r="F109">
        <v>84</v>
      </c>
      <c r="G109">
        <v>82.95</v>
      </c>
      <c r="H109">
        <f>Tabla1[[#This Row],[Entry Price]]-(Tabla1[[#This Row],[Entry Price]]-Tabla1[[#This Row],[Initial Stop]])/2</f>
        <v>83.474999999999994</v>
      </c>
      <c r="I109">
        <v>1</v>
      </c>
      <c r="J109">
        <f t="shared" si="15"/>
        <v>1.0499999999999972</v>
      </c>
      <c r="K109">
        <v>1</v>
      </c>
      <c r="L109">
        <f t="shared" si="7"/>
        <v>1.0499999999999972</v>
      </c>
      <c r="M109" t="s">
        <v>72</v>
      </c>
      <c r="N109">
        <f>SUMIF(Executions!B:B,A109,Executions!H:H)</f>
        <v>-10.600000000000023</v>
      </c>
      <c r="O109">
        <f t="shared" si="8"/>
        <v>-10.095238095238145</v>
      </c>
      <c r="P109">
        <f>Tabla1[[#This Row],[Initial Risk $]]/Tabla1[[#This Row],[Position Size (shares)]]+Tabla1[[#This Row],[Entry Price]]</f>
        <v>85.05</v>
      </c>
      <c r="Q109">
        <f>Tabla1[[#This Row],[Initial Risk $]]/Tabla1[[#This Row],[Position Size (shares)]]*1.5+Tabla1[[#This Row],[Entry Price]]</f>
        <v>85.574999999999989</v>
      </c>
      <c r="R109">
        <f>Tabla1[[#This Row],[Initial Risk $]]/Tabla1[[#This Row],[Position Size (shares)]]*2+Tabla1[[#This Row],[Entry Price]]</f>
        <v>86.1</v>
      </c>
      <c r="S109">
        <f>Tabla1[[#This Row],[Initial Risk $]]/Tabla1[[#This Row],[Position Size (shares)]]*2.5+Tabla1[[#This Row],[Entry Price]]</f>
        <v>86.625</v>
      </c>
      <c r="T109">
        <f>Tabla1[[#This Row],[Initial Risk $]]/Tabla1[[#This Row],[Position Size (shares)]]*3+Tabla1[[#This Row],[Entry Price]]</f>
        <v>87.149999999999991</v>
      </c>
    </row>
    <row r="110" spans="1:20" customFormat="1" hidden="1" x14ac:dyDescent="0.25">
      <c r="A110" t="str">
        <f t="shared" si="14"/>
        <v>T-109</v>
      </c>
      <c r="B110" s="1">
        <v>46143</v>
      </c>
      <c r="C110" t="s">
        <v>154</v>
      </c>
      <c r="D110" t="s">
        <v>28</v>
      </c>
      <c r="E110" t="s">
        <v>58</v>
      </c>
      <c r="F110">
        <v>377.14</v>
      </c>
      <c r="G110">
        <v>374.54</v>
      </c>
      <c r="H110">
        <f>Tabla1[[#This Row],[Entry Price]]-(Tabla1[[#This Row],[Entry Price]]-Tabla1[[#This Row],[Initial Stop]])/2</f>
        <v>375.84000000000003</v>
      </c>
      <c r="I110">
        <v>4</v>
      </c>
      <c r="J110">
        <f t="shared" si="15"/>
        <v>10.399999999999864</v>
      </c>
      <c r="K110">
        <v>1</v>
      </c>
      <c r="L110">
        <f t="shared" si="7"/>
        <v>10.399999999999864</v>
      </c>
      <c r="M110" t="s">
        <v>72</v>
      </c>
      <c r="N110">
        <f>SUMIF(Executions!B:B,A110,Executions!H:H)</f>
        <v>14.5</v>
      </c>
      <c r="O110">
        <f t="shared" si="8"/>
        <v>1.3942307692307876</v>
      </c>
      <c r="P110">
        <f>Tabla1[[#This Row],[Initial Risk $]]/Tabla1[[#This Row],[Position Size (shares)]]+Tabla1[[#This Row],[Entry Price]]</f>
        <v>379.73999999999995</v>
      </c>
      <c r="Q110">
        <f>Tabla1[[#This Row],[Initial Risk $]]/Tabla1[[#This Row],[Position Size (shares)]]*1.5+Tabla1[[#This Row],[Entry Price]]</f>
        <v>381.03999999999996</v>
      </c>
      <c r="R110">
        <f>Tabla1[[#This Row],[Initial Risk $]]/Tabla1[[#This Row],[Position Size (shares)]]*2+Tabla1[[#This Row],[Entry Price]]</f>
        <v>382.33999999999992</v>
      </c>
      <c r="S110">
        <f>Tabla1[[#This Row],[Initial Risk $]]/Tabla1[[#This Row],[Position Size (shares)]]*2.5+Tabla1[[#This Row],[Entry Price]]</f>
        <v>383.63999999999987</v>
      </c>
      <c r="T110">
        <f>Tabla1[[#This Row],[Initial Risk $]]/Tabla1[[#This Row],[Position Size (shares)]]*3+Tabla1[[#This Row],[Entry Price]]</f>
        <v>384.93999999999988</v>
      </c>
    </row>
    <row r="111" spans="1:20" customFormat="1" hidden="1" x14ac:dyDescent="0.25">
      <c r="A111" t="str">
        <f t="shared" si="14"/>
        <v>T-110</v>
      </c>
      <c r="B111" s="1">
        <v>46143</v>
      </c>
      <c r="C111" t="s">
        <v>261</v>
      </c>
      <c r="D111" t="s">
        <v>28</v>
      </c>
      <c r="E111" t="s">
        <v>58</v>
      </c>
      <c r="F111">
        <v>1.2</v>
      </c>
      <c r="G111">
        <v>1.03</v>
      </c>
      <c r="H111">
        <f>Tabla1[[#This Row],[Entry Price]]-(Tabla1[[#This Row],[Entry Price]]-Tabla1[[#This Row],[Initial Stop]])/2</f>
        <v>1.115</v>
      </c>
      <c r="I111">
        <v>30</v>
      </c>
      <c r="J111">
        <f t="shared" si="15"/>
        <v>5.0999999999999979</v>
      </c>
      <c r="K111">
        <v>1</v>
      </c>
      <c r="L111">
        <f t="shared" si="7"/>
        <v>5.0999999999999979</v>
      </c>
      <c r="M111" t="s">
        <v>72</v>
      </c>
      <c r="N111">
        <f>SUMIF(Executions!B:B,A111,Executions!H:H)</f>
        <v>-1.5000000000000013</v>
      </c>
      <c r="O111">
        <f t="shared" si="8"/>
        <v>-0.29411764705882393</v>
      </c>
      <c r="P111">
        <f>Tabla1[[#This Row],[Initial Risk $]]/Tabla1[[#This Row],[Position Size (shares)]]+Tabla1[[#This Row],[Entry Price]]</f>
        <v>1.3699999999999999</v>
      </c>
      <c r="Q111">
        <f>Tabla1[[#This Row],[Initial Risk $]]/Tabla1[[#This Row],[Position Size (shares)]]*1.5+Tabla1[[#This Row],[Entry Price]]</f>
        <v>1.4549999999999998</v>
      </c>
      <c r="R111">
        <f>Tabla1[[#This Row],[Initial Risk $]]/Tabla1[[#This Row],[Position Size (shares)]]*2+Tabla1[[#This Row],[Entry Price]]</f>
        <v>1.5399999999999998</v>
      </c>
      <c r="S111">
        <f>Tabla1[[#This Row],[Initial Risk $]]/Tabla1[[#This Row],[Position Size (shares)]]*2.5+Tabla1[[#This Row],[Entry Price]]</f>
        <v>1.6249999999999998</v>
      </c>
      <c r="T111">
        <f>Tabla1[[#This Row],[Initial Risk $]]/Tabla1[[#This Row],[Position Size (shares)]]*3+Tabla1[[#This Row],[Entry Price]]</f>
        <v>1.7099999999999997</v>
      </c>
    </row>
    <row r="112" spans="1:20" customFormat="1" hidden="1" x14ac:dyDescent="0.25">
      <c r="A112" t="str">
        <f t="shared" ref="A112:A118" si="16">"T-"&amp; TEXT(ROW()-1,"000")</f>
        <v>T-111</v>
      </c>
      <c r="B112" s="1">
        <v>46146</v>
      </c>
      <c r="C112" t="s">
        <v>233</v>
      </c>
      <c r="D112" t="s">
        <v>28</v>
      </c>
      <c r="E112" t="s">
        <v>58</v>
      </c>
      <c r="F112">
        <v>411.44</v>
      </c>
      <c r="G112">
        <v>409.05</v>
      </c>
      <c r="H112">
        <f>Tabla1[[#This Row],[Entry Price]]-(Tabla1[[#This Row],[Entry Price]]-Tabla1[[#This Row],[Initial Stop]])/2</f>
        <v>410.245</v>
      </c>
      <c r="I112">
        <v>2</v>
      </c>
      <c r="J112">
        <f t="shared" ref="J112:J118" si="17">IF(D112="Long",(F112-G112)*I112,(G112-F112)*0)</f>
        <v>4.7799999999999727</v>
      </c>
      <c r="K112">
        <v>1</v>
      </c>
      <c r="L112">
        <f t="shared" si="7"/>
        <v>4.7799999999999727</v>
      </c>
      <c r="M112" t="s">
        <v>72</v>
      </c>
      <c r="N112">
        <f>SUMIF(Executions!B:B,A112,Executions!H:H)</f>
        <v>10.960000000000036</v>
      </c>
      <c r="O112">
        <f t="shared" si="8"/>
        <v>2.2928870292887238</v>
      </c>
      <c r="P112">
        <f>Tabla1[[#This Row],[Initial Risk $]]/Tabla1[[#This Row],[Position Size (shares)]]+Tabla1[[#This Row],[Entry Price]]</f>
        <v>413.83</v>
      </c>
      <c r="Q112">
        <f>Tabla1[[#This Row],[Initial Risk $]]/Tabla1[[#This Row],[Position Size (shares)]]*1.5+Tabla1[[#This Row],[Entry Price]]</f>
        <v>415.02499999999998</v>
      </c>
      <c r="R112">
        <f>Tabla1[[#This Row],[Initial Risk $]]/Tabla1[[#This Row],[Position Size (shares)]]*2+Tabla1[[#This Row],[Entry Price]]</f>
        <v>416.21999999999997</v>
      </c>
      <c r="S112">
        <f>Tabla1[[#This Row],[Initial Risk $]]/Tabla1[[#This Row],[Position Size (shares)]]*2.5+Tabla1[[#This Row],[Entry Price]]</f>
        <v>417.41499999999996</v>
      </c>
      <c r="T112">
        <f>Tabla1[[#This Row],[Initial Risk $]]/Tabla1[[#This Row],[Position Size (shares)]]*3+Tabla1[[#This Row],[Entry Price]]</f>
        <v>418.60999999999996</v>
      </c>
    </row>
    <row r="113" spans="1:20" customFormat="1" hidden="1" x14ac:dyDescent="0.25">
      <c r="A113" t="str">
        <f t="shared" si="16"/>
        <v>T-112</v>
      </c>
      <c r="B113" s="1">
        <v>46146</v>
      </c>
      <c r="C113" t="s">
        <v>164</v>
      </c>
      <c r="D113" t="s">
        <v>28</v>
      </c>
      <c r="E113" t="s">
        <v>49</v>
      </c>
      <c r="F113">
        <v>199.18</v>
      </c>
      <c r="G113">
        <v>195.49</v>
      </c>
      <c r="H113">
        <f>Tabla1[[#This Row],[Entry Price]]-(Tabla1[[#This Row],[Entry Price]]-Tabla1[[#This Row],[Initial Stop]])/2</f>
        <v>197.33500000000001</v>
      </c>
      <c r="I113">
        <v>3</v>
      </c>
      <c r="J113">
        <f t="shared" si="17"/>
        <v>11.069999999999993</v>
      </c>
      <c r="K113">
        <v>1</v>
      </c>
      <c r="L113">
        <f t="shared" si="7"/>
        <v>11.069999999999993</v>
      </c>
      <c r="M113" t="s">
        <v>72</v>
      </c>
      <c r="N113">
        <f>SUMIF(Executions!B:B,A113,Executions!H:H)</f>
        <v>-11.100000000000051</v>
      </c>
      <c r="O113">
        <f t="shared" si="8"/>
        <v>-1.0027100271002762</v>
      </c>
      <c r="P113">
        <f>Tabla1[[#This Row],[Initial Risk $]]/Tabla1[[#This Row],[Position Size (shares)]]+Tabla1[[#This Row],[Entry Price]]</f>
        <v>202.87</v>
      </c>
      <c r="Q113">
        <f>Tabla1[[#This Row],[Initial Risk $]]/Tabla1[[#This Row],[Position Size (shares)]]*1.5+Tabla1[[#This Row],[Entry Price]]</f>
        <v>204.715</v>
      </c>
      <c r="R113">
        <f>Tabla1[[#This Row],[Initial Risk $]]/Tabla1[[#This Row],[Position Size (shares)]]*2+Tabla1[[#This Row],[Entry Price]]</f>
        <v>206.56</v>
      </c>
      <c r="S113">
        <f>Tabla1[[#This Row],[Initial Risk $]]/Tabla1[[#This Row],[Position Size (shares)]]*2.5+Tabla1[[#This Row],[Entry Price]]</f>
        <v>208.405</v>
      </c>
      <c r="T113">
        <f>Tabla1[[#This Row],[Initial Risk $]]/Tabla1[[#This Row],[Position Size (shares)]]*3+Tabla1[[#This Row],[Entry Price]]</f>
        <v>210.25</v>
      </c>
    </row>
    <row r="114" spans="1:20" customFormat="1" hidden="1" x14ac:dyDescent="0.25">
      <c r="A114" t="str">
        <f t="shared" si="16"/>
        <v>T-113</v>
      </c>
      <c r="B114" s="1">
        <v>46146</v>
      </c>
      <c r="C114" t="s">
        <v>74</v>
      </c>
      <c r="D114" t="s">
        <v>28</v>
      </c>
      <c r="E114" t="s">
        <v>119</v>
      </c>
      <c r="F114">
        <v>7.86</v>
      </c>
      <c r="G114">
        <v>7.37</v>
      </c>
      <c r="H114">
        <f>Tabla1[[#This Row],[Entry Price]]-(Tabla1[[#This Row],[Entry Price]]-Tabla1[[#This Row],[Initial Stop]])/2</f>
        <v>7.6150000000000002</v>
      </c>
      <c r="I114">
        <v>10</v>
      </c>
      <c r="J114">
        <f t="shared" si="17"/>
        <v>4.9000000000000021</v>
      </c>
      <c r="K114">
        <v>1</v>
      </c>
      <c r="L114">
        <f t="shared" si="7"/>
        <v>4.9000000000000021</v>
      </c>
      <c r="M114" t="s">
        <v>72</v>
      </c>
      <c r="N114">
        <f>SUMIF(Executions!B:B,A114,Executions!H:H)</f>
        <v>3.3999999999999897</v>
      </c>
      <c r="O114">
        <f t="shared" si="8"/>
        <v>0.69387755102040571</v>
      </c>
      <c r="P114">
        <f>Tabla1[[#This Row],[Initial Risk $]]/Tabla1[[#This Row],[Position Size (shares)]]+Tabla1[[#This Row],[Entry Price]]</f>
        <v>8.3500000000000014</v>
      </c>
      <c r="Q114">
        <f>Tabla1[[#This Row],[Initial Risk $]]/Tabla1[[#This Row],[Position Size (shares)]]*1.5+Tabla1[[#This Row],[Entry Price]]</f>
        <v>8.5950000000000006</v>
      </c>
      <c r="R114">
        <f>Tabla1[[#This Row],[Initial Risk $]]/Tabla1[[#This Row],[Position Size (shares)]]*2+Tabla1[[#This Row],[Entry Price]]</f>
        <v>8.84</v>
      </c>
      <c r="S114">
        <f>Tabla1[[#This Row],[Initial Risk $]]/Tabla1[[#This Row],[Position Size (shares)]]*2.5+Tabla1[[#This Row],[Entry Price]]</f>
        <v>9.0850000000000009</v>
      </c>
      <c r="T114">
        <f>Tabla1[[#This Row],[Initial Risk $]]/Tabla1[[#This Row],[Position Size (shares)]]*3+Tabla1[[#This Row],[Entry Price]]</f>
        <v>9.3300000000000018</v>
      </c>
    </row>
    <row r="115" spans="1:20" customFormat="1" hidden="1" x14ac:dyDescent="0.25">
      <c r="A115" t="str">
        <f t="shared" si="16"/>
        <v>T-114</v>
      </c>
      <c r="B115" s="1">
        <v>46146</v>
      </c>
      <c r="C115" t="s">
        <v>262</v>
      </c>
      <c r="D115" t="s">
        <v>28</v>
      </c>
      <c r="E115" t="s">
        <v>119</v>
      </c>
      <c r="F115">
        <v>6.44</v>
      </c>
      <c r="G115">
        <v>5.93</v>
      </c>
      <c r="H115">
        <f>Tabla1[[#This Row],[Entry Price]]-(Tabla1[[#This Row],[Entry Price]]-Tabla1[[#This Row],[Initial Stop]])/2</f>
        <v>6.1850000000000005</v>
      </c>
      <c r="I115">
        <v>14</v>
      </c>
      <c r="J115">
        <f t="shared" si="17"/>
        <v>7.1400000000000095</v>
      </c>
      <c r="K115">
        <v>1</v>
      </c>
      <c r="L115">
        <f t="shared" si="7"/>
        <v>7.1400000000000095</v>
      </c>
      <c r="M115" t="s">
        <v>72</v>
      </c>
      <c r="N115">
        <f>SUMIF(Executions!B:B,A115,Executions!H:H)</f>
        <v>8.1199999999999886</v>
      </c>
      <c r="O115">
        <f t="shared" si="8"/>
        <v>1.1372549019607812</v>
      </c>
      <c r="P115">
        <f>Tabla1[[#This Row],[Initial Risk $]]/Tabla1[[#This Row],[Position Size (shares)]]+Tabla1[[#This Row],[Entry Price]]</f>
        <v>6.9500000000000011</v>
      </c>
      <c r="Q115">
        <f>Tabla1[[#This Row],[Initial Risk $]]/Tabla1[[#This Row],[Position Size (shares)]]*1.5+Tabla1[[#This Row],[Entry Price]]</f>
        <v>7.2050000000000018</v>
      </c>
      <c r="R115">
        <f>Tabla1[[#This Row],[Initial Risk $]]/Tabla1[[#This Row],[Position Size (shares)]]*2+Tabla1[[#This Row],[Entry Price]]</f>
        <v>7.4600000000000017</v>
      </c>
      <c r="S115">
        <f>Tabla1[[#This Row],[Initial Risk $]]/Tabla1[[#This Row],[Position Size (shares)]]*2.5+Tabla1[[#This Row],[Entry Price]]</f>
        <v>7.7150000000000016</v>
      </c>
      <c r="T115">
        <f>Tabla1[[#This Row],[Initial Risk $]]/Tabla1[[#This Row],[Position Size (shares)]]*3+Tabla1[[#This Row],[Entry Price]]</f>
        <v>7.9700000000000024</v>
      </c>
    </row>
    <row r="116" spans="1:20" customFormat="1" hidden="1" x14ac:dyDescent="0.25">
      <c r="A116" t="str">
        <f t="shared" si="16"/>
        <v>T-115</v>
      </c>
      <c r="B116" s="1">
        <v>46146</v>
      </c>
      <c r="C116" t="s">
        <v>264</v>
      </c>
      <c r="D116" t="s">
        <v>28</v>
      </c>
      <c r="E116" t="s">
        <v>58</v>
      </c>
      <c r="F116">
        <v>108.61</v>
      </c>
      <c r="G116">
        <v>107.61</v>
      </c>
      <c r="H116">
        <f>Tabla1[[#This Row],[Entry Price]]-(Tabla1[[#This Row],[Entry Price]]-Tabla1[[#This Row],[Initial Stop]])/2</f>
        <v>108.11</v>
      </c>
      <c r="I116">
        <v>4</v>
      </c>
      <c r="J116">
        <f t="shared" si="17"/>
        <v>4</v>
      </c>
      <c r="K116">
        <v>1</v>
      </c>
      <c r="L116">
        <f t="shared" si="7"/>
        <v>4</v>
      </c>
      <c r="M116" t="s">
        <v>72</v>
      </c>
      <c r="N116">
        <f>SUMIF(Executions!B:B,A116,Executions!H:H)</f>
        <v>10.360000000000014</v>
      </c>
      <c r="O116">
        <f t="shared" si="8"/>
        <v>2.5900000000000034</v>
      </c>
      <c r="P116">
        <f>Tabla1[[#This Row],[Initial Risk $]]/Tabla1[[#This Row],[Position Size (shares)]]+Tabla1[[#This Row],[Entry Price]]</f>
        <v>109.61</v>
      </c>
      <c r="Q116">
        <f>Tabla1[[#This Row],[Initial Risk $]]/Tabla1[[#This Row],[Position Size (shares)]]*1.5+Tabla1[[#This Row],[Entry Price]]</f>
        <v>110.11</v>
      </c>
      <c r="R116">
        <f>Tabla1[[#This Row],[Initial Risk $]]/Tabla1[[#This Row],[Position Size (shares)]]*2+Tabla1[[#This Row],[Entry Price]]</f>
        <v>110.61</v>
      </c>
      <c r="S116">
        <f>Tabla1[[#This Row],[Initial Risk $]]/Tabla1[[#This Row],[Position Size (shares)]]*2.5+Tabla1[[#This Row],[Entry Price]]</f>
        <v>111.11</v>
      </c>
      <c r="T116">
        <f>Tabla1[[#This Row],[Initial Risk $]]/Tabla1[[#This Row],[Position Size (shares)]]*3+Tabla1[[#This Row],[Entry Price]]</f>
        <v>111.61</v>
      </c>
    </row>
    <row r="117" spans="1:20" customFormat="1" hidden="1" x14ac:dyDescent="0.25">
      <c r="A117" t="str">
        <f t="shared" si="16"/>
        <v>T-116</v>
      </c>
      <c r="B117" s="1">
        <v>46146</v>
      </c>
      <c r="C117" t="s">
        <v>173</v>
      </c>
      <c r="D117" t="s">
        <v>28</v>
      </c>
      <c r="E117" t="s">
        <v>58</v>
      </c>
      <c r="F117">
        <v>145.58000000000001</v>
      </c>
      <c r="G117">
        <v>144.61000000000001</v>
      </c>
      <c r="H117">
        <f>Tabla1[[#This Row],[Entry Price]]-(Tabla1[[#This Row],[Entry Price]]-Tabla1[[#This Row],[Initial Stop]])/2</f>
        <v>145.09500000000003</v>
      </c>
      <c r="I117">
        <v>4</v>
      </c>
      <c r="J117">
        <f t="shared" si="17"/>
        <v>3.8799999999999955</v>
      </c>
      <c r="K117">
        <v>1</v>
      </c>
      <c r="L117">
        <f t="shared" si="7"/>
        <v>3.8799999999999955</v>
      </c>
      <c r="M117" t="s">
        <v>72</v>
      </c>
      <c r="N117">
        <f>SUMIF(Executions!B:B,A117,Executions!H:H)</f>
        <v>4.7199999999999136</v>
      </c>
      <c r="O117">
        <f t="shared" si="8"/>
        <v>1.216494845360804</v>
      </c>
      <c r="P117">
        <f>Tabla1[[#This Row],[Initial Risk $]]/Tabla1[[#This Row],[Position Size (shares)]]+Tabla1[[#This Row],[Entry Price]]</f>
        <v>146.55000000000001</v>
      </c>
      <c r="Q117">
        <f>Tabla1[[#This Row],[Initial Risk $]]/Tabla1[[#This Row],[Position Size (shares)]]*1.5+Tabla1[[#This Row],[Entry Price]]</f>
        <v>147.03500000000003</v>
      </c>
      <c r="R117">
        <f>Tabla1[[#This Row],[Initial Risk $]]/Tabla1[[#This Row],[Position Size (shares)]]*2+Tabla1[[#This Row],[Entry Price]]</f>
        <v>147.52000000000001</v>
      </c>
      <c r="S117">
        <f>Tabla1[[#This Row],[Initial Risk $]]/Tabla1[[#This Row],[Position Size (shares)]]*2.5+Tabla1[[#This Row],[Entry Price]]</f>
        <v>148.005</v>
      </c>
      <c r="T117">
        <f>Tabla1[[#This Row],[Initial Risk $]]/Tabla1[[#This Row],[Position Size (shares)]]*3+Tabla1[[#This Row],[Entry Price]]</f>
        <v>148.49</v>
      </c>
    </row>
    <row r="118" spans="1:20" customFormat="1" hidden="1" x14ac:dyDescent="0.25">
      <c r="A118" t="str">
        <f t="shared" si="16"/>
        <v>T-117</v>
      </c>
      <c r="B118" s="1">
        <v>46146</v>
      </c>
      <c r="C118" t="s">
        <v>269</v>
      </c>
      <c r="D118" t="s">
        <v>28</v>
      </c>
      <c r="E118" t="s">
        <v>60</v>
      </c>
      <c r="F118">
        <v>7.38</v>
      </c>
      <c r="G118">
        <v>6.67</v>
      </c>
      <c r="H118">
        <f>Tabla1[[#This Row],[Entry Price]]-(Tabla1[[#This Row],[Entry Price]]-Tabla1[[#This Row],[Initial Stop]])/2</f>
        <v>7.0250000000000004</v>
      </c>
      <c r="I118">
        <v>13</v>
      </c>
      <c r="J118">
        <f t="shared" si="17"/>
        <v>9.23</v>
      </c>
      <c r="K118">
        <v>1</v>
      </c>
      <c r="L118">
        <f t="shared" si="7"/>
        <v>9.23</v>
      </c>
      <c r="M118" t="s">
        <v>72</v>
      </c>
      <c r="N118">
        <f>SUMIF(Executions!B:B,A118,Executions!H:H)</f>
        <v>-9.3599999999999959</v>
      </c>
      <c r="O118">
        <f t="shared" si="8"/>
        <v>-1.0140845070422531</v>
      </c>
      <c r="P118">
        <f>Tabla1[[#This Row],[Initial Risk $]]/Tabla1[[#This Row],[Position Size (shares)]]+Tabla1[[#This Row],[Entry Price]]</f>
        <v>8.09</v>
      </c>
      <c r="Q118">
        <f>Tabla1[[#This Row],[Initial Risk $]]/Tabla1[[#This Row],[Position Size (shares)]]*1.5+Tabla1[[#This Row],[Entry Price]]</f>
        <v>8.4450000000000003</v>
      </c>
      <c r="R118">
        <f>Tabla1[[#This Row],[Initial Risk $]]/Tabla1[[#This Row],[Position Size (shares)]]*2+Tabla1[[#This Row],[Entry Price]]</f>
        <v>8.8000000000000007</v>
      </c>
      <c r="S118">
        <f>Tabla1[[#This Row],[Initial Risk $]]/Tabla1[[#This Row],[Position Size (shares)]]*2.5+Tabla1[[#This Row],[Entry Price]]</f>
        <v>9.1549999999999994</v>
      </c>
      <c r="T118">
        <f>Tabla1[[#This Row],[Initial Risk $]]/Tabla1[[#This Row],[Position Size (shares)]]*3+Tabla1[[#This Row],[Entry Price]]</f>
        <v>9.51</v>
      </c>
    </row>
    <row r="119" spans="1:20" customFormat="1" hidden="1" x14ac:dyDescent="0.25">
      <c r="A119" t="str">
        <f t="shared" ref="A119:A132" si="18">"T-"&amp; TEXT(ROW()-1,"000")</f>
        <v>T-118</v>
      </c>
      <c r="B119" s="1">
        <v>46147</v>
      </c>
      <c r="C119" t="s">
        <v>271</v>
      </c>
      <c r="D119" t="s">
        <v>28</v>
      </c>
      <c r="E119" t="s">
        <v>58</v>
      </c>
      <c r="F119">
        <v>403.55</v>
      </c>
      <c r="G119">
        <v>401.88</v>
      </c>
      <c r="H119">
        <f>Tabla1[[#This Row],[Entry Price]]-(Tabla1[[#This Row],[Entry Price]]-Tabla1[[#This Row],[Initial Stop]])/2</f>
        <v>402.71500000000003</v>
      </c>
      <c r="I119">
        <v>3</v>
      </c>
      <c r="J119">
        <f t="shared" ref="J119:J132" si="19">IF(D119="Long",(F119-G119)*I119,(G119-F119)*0)</f>
        <v>5.0100000000000477</v>
      </c>
      <c r="K119">
        <v>1</v>
      </c>
      <c r="L119">
        <f t="shared" si="7"/>
        <v>5.0100000000000477</v>
      </c>
      <c r="M119" t="s">
        <v>72</v>
      </c>
      <c r="N119">
        <f>SUMIF(Executions!B:B,A119,Executions!H:H)</f>
        <v>-5.25</v>
      </c>
      <c r="O119">
        <f t="shared" si="8"/>
        <v>-1.0479041916167564</v>
      </c>
      <c r="P119">
        <f>Tabla1[[#This Row],[Initial Risk $]]/Tabla1[[#This Row],[Position Size (shares)]]+Tabla1[[#This Row],[Entry Price]]</f>
        <v>405.22</v>
      </c>
      <c r="Q119">
        <f>Tabla1[[#This Row],[Initial Risk $]]/Tabla1[[#This Row],[Position Size (shares)]]*1.5+Tabla1[[#This Row],[Entry Price]]</f>
        <v>406.05500000000006</v>
      </c>
      <c r="R119">
        <f>Tabla1[[#This Row],[Initial Risk $]]/Tabla1[[#This Row],[Position Size (shares)]]*2+Tabla1[[#This Row],[Entry Price]]</f>
        <v>406.89000000000004</v>
      </c>
      <c r="S119">
        <f>Tabla1[[#This Row],[Initial Risk $]]/Tabla1[[#This Row],[Position Size (shares)]]*2.5+Tabla1[[#This Row],[Entry Price]]</f>
        <v>407.72500000000002</v>
      </c>
      <c r="T119">
        <f>Tabla1[[#This Row],[Initial Risk $]]/Tabla1[[#This Row],[Position Size (shares)]]*3+Tabla1[[#This Row],[Entry Price]]</f>
        <v>408.56000000000006</v>
      </c>
    </row>
    <row r="120" spans="1:20" customFormat="1" hidden="1" x14ac:dyDescent="0.25">
      <c r="A120" t="str">
        <f t="shared" si="18"/>
        <v>T-119</v>
      </c>
      <c r="B120" s="1">
        <v>46147</v>
      </c>
      <c r="C120" t="s">
        <v>233</v>
      </c>
      <c r="D120" t="s">
        <v>28</v>
      </c>
      <c r="E120" t="s">
        <v>58</v>
      </c>
      <c r="F120">
        <v>415.18</v>
      </c>
      <c r="G120">
        <v>411.75</v>
      </c>
      <c r="H120">
        <f>Tabla1[[#This Row],[Entry Price]]-(Tabla1[[#This Row],[Entry Price]]-Tabla1[[#This Row],[Initial Stop]])/2</f>
        <v>413.46500000000003</v>
      </c>
      <c r="I120">
        <v>3</v>
      </c>
      <c r="J120">
        <f t="shared" si="19"/>
        <v>10.29000000000002</v>
      </c>
      <c r="K120">
        <v>1</v>
      </c>
      <c r="L120">
        <f t="shared" si="7"/>
        <v>10.29000000000002</v>
      </c>
      <c r="M120" t="s">
        <v>72</v>
      </c>
      <c r="N120">
        <f>SUMIF(Executions!B:B,A120,Executions!H:H)</f>
        <v>-10.470000000000027</v>
      </c>
      <c r="O120">
        <f t="shared" si="8"/>
        <v>-1.017492711370263</v>
      </c>
      <c r="P120">
        <f>Tabla1[[#This Row],[Initial Risk $]]/Tabla1[[#This Row],[Position Size (shares)]]+Tabla1[[#This Row],[Entry Price]]</f>
        <v>418.61</v>
      </c>
      <c r="Q120">
        <f>Tabla1[[#This Row],[Initial Risk $]]/Tabla1[[#This Row],[Position Size (shares)]]*1.5+Tabla1[[#This Row],[Entry Price]]</f>
        <v>420.32500000000005</v>
      </c>
      <c r="R120">
        <f>Tabla1[[#This Row],[Initial Risk $]]/Tabla1[[#This Row],[Position Size (shares)]]*2+Tabla1[[#This Row],[Entry Price]]</f>
        <v>422.04</v>
      </c>
      <c r="S120">
        <f>Tabla1[[#This Row],[Initial Risk $]]/Tabla1[[#This Row],[Position Size (shares)]]*2.5+Tabla1[[#This Row],[Entry Price]]</f>
        <v>423.755</v>
      </c>
      <c r="T120">
        <f>Tabla1[[#This Row],[Initial Risk $]]/Tabla1[[#This Row],[Position Size (shares)]]*3+Tabla1[[#This Row],[Entry Price]]</f>
        <v>425.47</v>
      </c>
    </row>
    <row r="121" spans="1:20" customFormat="1" hidden="1" x14ac:dyDescent="0.25">
      <c r="A121" t="str">
        <f t="shared" si="18"/>
        <v>T-120</v>
      </c>
      <c r="B121" s="1">
        <v>46147</v>
      </c>
      <c r="C121" t="s">
        <v>173</v>
      </c>
      <c r="D121" t="s">
        <v>28</v>
      </c>
      <c r="E121" t="s">
        <v>51</v>
      </c>
      <c r="F121">
        <v>139.11000000000001</v>
      </c>
      <c r="G121">
        <v>138.11000000000001</v>
      </c>
      <c r="H121">
        <f>Tabla1[[#This Row],[Entry Price]]-(Tabla1[[#This Row],[Entry Price]]-Tabla1[[#This Row],[Initial Stop]])/2</f>
        <v>138.61000000000001</v>
      </c>
      <c r="I121">
        <v>6</v>
      </c>
      <c r="J121">
        <f t="shared" si="19"/>
        <v>6</v>
      </c>
      <c r="K121">
        <v>1</v>
      </c>
      <c r="L121">
        <f t="shared" si="7"/>
        <v>6</v>
      </c>
      <c r="M121" t="s">
        <v>72</v>
      </c>
      <c r="N121">
        <f>SUMIF(Executions!B:B,A121,Executions!H:H)</f>
        <v>-6.1800000000000068</v>
      </c>
      <c r="O121">
        <f t="shared" si="8"/>
        <v>-1.0300000000000011</v>
      </c>
      <c r="P121">
        <f>Tabla1[[#This Row],[Initial Risk $]]/Tabla1[[#This Row],[Position Size (shares)]]+Tabla1[[#This Row],[Entry Price]]</f>
        <v>140.11000000000001</v>
      </c>
      <c r="Q121">
        <f>Tabla1[[#This Row],[Initial Risk $]]/Tabla1[[#This Row],[Position Size (shares)]]*1.5+Tabla1[[#This Row],[Entry Price]]</f>
        <v>140.61000000000001</v>
      </c>
      <c r="R121">
        <f>Tabla1[[#This Row],[Initial Risk $]]/Tabla1[[#This Row],[Position Size (shares)]]*2+Tabla1[[#This Row],[Entry Price]]</f>
        <v>141.11000000000001</v>
      </c>
      <c r="S121">
        <f>Tabla1[[#This Row],[Initial Risk $]]/Tabla1[[#This Row],[Position Size (shares)]]*2.5+Tabla1[[#This Row],[Entry Price]]</f>
        <v>141.61000000000001</v>
      </c>
      <c r="T121">
        <f>Tabla1[[#This Row],[Initial Risk $]]/Tabla1[[#This Row],[Position Size (shares)]]*3+Tabla1[[#This Row],[Entry Price]]</f>
        <v>142.11000000000001</v>
      </c>
    </row>
    <row r="122" spans="1:20" customFormat="1" hidden="1" x14ac:dyDescent="0.25">
      <c r="A122" t="str">
        <f t="shared" si="18"/>
        <v>T-121</v>
      </c>
      <c r="B122" s="1">
        <v>46147</v>
      </c>
      <c r="C122" t="s">
        <v>173</v>
      </c>
      <c r="D122" t="s">
        <v>28</v>
      </c>
      <c r="E122" t="s">
        <v>51</v>
      </c>
      <c r="F122">
        <v>138.35</v>
      </c>
      <c r="G122">
        <v>137.4</v>
      </c>
      <c r="H122">
        <f>Tabla1[[#This Row],[Entry Price]]-(Tabla1[[#This Row],[Entry Price]]-Tabla1[[#This Row],[Initial Stop]])/2</f>
        <v>137.875</v>
      </c>
      <c r="I122">
        <v>4</v>
      </c>
      <c r="J122">
        <f t="shared" si="19"/>
        <v>3.7999999999999545</v>
      </c>
      <c r="K122">
        <v>1</v>
      </c>
      <c r="L122">
        <f t="shared" si="7"/>
        <v>3.7999999999999545</v>
      </c>
      <c r="M122" t="s">
        <v>72</v>
      </c>
      <c r="N122">
        <f>SUMIF(Executions!B:B,A122,Executions!H:H)</f>
        <v>-4.1599999999999682</v>
      </c>
      <c r="O122">
        <f t="shared" si="8"/>
        <v>-1.0947368421052679</v>
      </c>
      <c r="P122">
        <f>Tabla1[[#This Row],[Initial Risk $]]/Tabla1[[#This Row],[Position Size (shares)]]+Tabla1[[#This Row],[Entry Price]]</f>
        <v>139.29999999999998</v>
      </c>
      <c r="Q122">
        <f>Tabla1[[#This Row],[Initial Risk $]]/Tabla1[[#This Row],[Position Size (shares)]]*1.5+Tabla1[[#This Row],[Entry Price]]</f>
        <v>139.77499999999998</v>
      </c>
      <c r="R122">
        <f>Tabla1[[#This Row],[Initial Risk $]]/Tabla1[[#This Row],[Position Size (shares)]]*2+Tabla1[[#This Row],[Entry Price]]</f>
        <v>140.24999999999997</v>
      </c>
      <c r="S122">
        <f>Tabla1[[#This Row],[Initial Risk $]]/Tabla1[[#This Row],[Position Size (shares)]]*2.5+Tabla1[[#This Row],[Entry Price]]</f>
        <v>140.72499999999997</v>
      </c>
      <c r="T122">
        <f>Tabla1[[#This Row],[Initial Risk $]]/Tabla1[[#This Row],[Position Size (shares)]]*3+Tabla1[[#This Row],[Entry Price]]</f>
        <v>141.19999999999996</v>
      </c>
    </row>
    <row r="123" spans="1:20" customFormat="1" hidden="1" x14ac:dyDescent="0.25">
      <c r="A123" t="str">
        <f t="shared" si="18"/>
        <v>T-122</v>
      </c>
      <c r="B123" s="1">
        <v>46147</v>
      </c>
      <c r="C123" t="s">
        <v>233</v>
      </c>
      <c r="D123" t="s">
        <v>28</v>
      </c>
      <c r="E123" t="s">
        <v>58</v>
      </c>
      <c r="F123">
        <v>410.11</v>
      </c>
      <c r="G123">
        <v>409.11</v>
      </c>
      <c r="H123">
        <f>Tabla1[[#This Row],[Entry Price]]-(Tabla1[[#This Row],[Entry Price]]-Tabla1[[#This Row],[Initial Stop]])/2</f>
        <v>409.61</v>
      </c>
      <c r="I123">
        <v>3</v>
      </c>
      <c r="J123">
        <f t="shared" si="19"/>
        <v>3</v>
      </c>
      <c r="K123">
        <v>1</v>
      </c>
      <c r="L123">
        <f t="shared" si="7"/>
        <v>3</v>
      </c>
      <c r="M123" t="s">
        <v>72</v>
      </c>
      <c r="N123">
        <f>SUMIF(Executions!B:B,A123,Executions!H:H)</f>
        <v>-3.2099999999999795</v>
      </c>
      <c r="O123">
        <f t="shared" si="8"/>
        <v>-1.0699999999999932</v>
      </c>
      <c r="P123">
        <f>Tabla1[[#This Row],[Initial Risk $]]/Tabla1[[#This Row],[Position Size (shares)]]+Tabla1[[#This Row],[Entry Price]]</f>
        <v>411.11</v>
      </c>
      <c r="Q123">
        <f>Tabla1[[#This Row],[Initial Risk $]]/Tabla1[[#This Row],[Position Size (shares)]]*1.5+Tabla1[[#This Row],[Entry Price]]</f>
        <v>411.61</v>
      </c>
      <c r="R123">
        <f>Tabla1[[#This Row],[Initial Risk $]]/Tabla1[[#This Row],[Position Size (shares)]]*2+Tabla1[[#This Row],[Entry Price]]</f>
        <v>412.11</v>
      </c>
      <c r="S123">
        <f>Tabla1[[#This Row],[Initial Risk $]]/Tabla1[[#This Row],[Position Size (shares)]]*2.5+Tabla1[[#This Row],[Entry Price]]</f>
        <v>412.61</v>
      </c>
      <c r="T123">
        <f>Tabla1[[#This Row],[Initial Risk $]]/Tabla1[[#This Row],[Position Size (shares)]]*3+Tabla1[[#This Row],[Entry Price]]</f>
        <v>413.11</v>
      </c>
    </row>
    <row r="124" spans="1:20" customFormat="1" hidden="1" x14ac:dyDescent="0.25">
      <c r="A124" t="str">
        <f t="shared" si="18"/>
        <v>T-123</v>
      </c>
      <c r="B124" s="1">
        <v>46148</v>
      </c>
      <c r="C124" t="s">
        <v>279</v>
      </c>
      <c r="D124" t="s">
        <v>28</v>
      </c>
      <c r="E124" t="s">
        <v>58</v>
      </c>
      <c r="F124">
        <v>660.62</v>
      </c>
      <c r="G124">
        <v>657.11</v>
      </c>
      <c r="H124">
        <f>Tabla1[[#This Row],[Entry Price]]-(Tabla1[[#This Row],[Entry Price]]-Tabla1[[#This Row],[Initial Stop]])/2</f>
        <v>658.86500000000001</v>
      </c>
      <c r="I124">
        <v>2</v>
      </c>
      <c r="J124">
        <f t="shared" si="19"/>
        <v>7.0199999999999818</v>
      </c>
      <c r="K124">
        <v>1</v>
      </c>
      <c r="L124">
        <f t="shared" si="7"/>
        <v>7.0199999999999818</v>
      </c>
      <c r="M124" t="s">
        <v>72</v>
      </c>
      <c r="N124">
        <f>SUMIF(Executions!B:B,A124,Executions!H:H)</f>
        <v>-7.0199999999999818</v>
      </c>
      <c r="O124">
        <f t="shared" si="8"/>
        <v>-1</v>
      </c>
      <c r="P124">
        <f>Tabla1[[#This Row],[Initial Risk $]]/Tabla1[[#This Row],[Position Size (shares)]]+Tabla1[[#This Row],[Entry Price]]</f>
        <v>664.13</v>
      </c>
      <c r="Q124">
        <f>Tabla1[[#This Row],[Initial Risk $]]/Tabla1[[#This Row],[Position Size (shares)]]*1.5+Tabla1[[#This Row],[Entry Price]]</f>
        <v>665.88499999999999</v>
      </c>
      <c r="R124">
        <f>Tabla1[[#This Row],[Initial Risk $]]/Tabla1[[#This Row],[Position Size (shares)]]*2+Tabla1[[#This Row],[Entry Price]]</f>
        <v>667.64</v>
      </c>
      <c r="S124">
        <f>Tabla1[[#This Row],[Initial Risk $]]/Tabla1[[#This Row],[Position Size (shares)]]*2.5+Tabla1[[#This Row],[Entry Price]]</f>
        <v>669.39499999999998</v>
      </c>
      <c r="T124">
        <f>Tabla1[[#This Row],[Initial Risk $]]/Tabla1[[#This Row],[Position Size (shares)]]*3+Tabla1[[#This Row],[Entry Price]]</f>
        <v>671.15</v>
      </c>
    </row>
    <row r="125" spans="1:20" customFormat="1" hidden="1" x14ac:dyDescent="0.25">
      <c r="A125" t="str">
        <f t="shared" si="18"/>
        <v>T-124</v>
      </c>
      <c r="B125" s="1">
        <v>46148</v>
      </c>
      <c r="C125" t="s">
        <v>135</v>
      </c>
      <c r="D125" t="s">
        <v>28</v>
      </c>
      <c r="E125" t="s">
        <v>51</v>
      </c>
      <c r="F125">
        <v>229.5</v>
      </c>
      <c r="G125">
        <v>227.5</v>
      </c>
      <c r="H125">
        <f>Tabla1[[#This Row],[Entry Price]]-(Tabla1[[#This Row],[Entry Price]]-Tabla1[[#This Row],[Initial Stop]])/2</f>
        <v>228.5</v>
      </c>
      <c r="I125">
        <v>4</v>
      </c>
      <c r="J125">
        <f t="shared" si="19"/>
        <v>8</v>
      </c>
      <c r="K125">
        <v>1</v>
      </c>
      <c r="L125">
        <f t="shared" si="7"/>
        <v>8</v>
      </c>
      <c r="M125" t="s">
        <v>72</v>
      </c>
      <c r="N125">
        <f>SUMIF(Executions!B:B,A125,Executions!H:H)</f>
        <v>-8</v>
      </c>
      <c r="O125">
        <f t="shared" si="8"/>
        <v>-1</v>
      </c>
      <c r="P125">
        <f>Tabla1[[#This Row],[Initial Risk $]]/Tabla1[[#This Row],[Position Size (shares)]]+Tabla1[[#This Row],[Entry Price]]</f>
        <v>231.5</v>
      </c>
      <c r="Q125">
        <f>Tabla1[[#This Row],[Initial Risk $]]/Tabla1[[#This Row],[Position Size (shares)]]*1.5+Tabla1[[#This Row],[Entry Price]]</f>
        <v>232.5</v>
      </c>
      <c r="R125">
        <f>Tabla1[[#This Row],[Initial Risk $]]/Tabla1[[#This Row],[Position Size (shares)]]*2+Tabla1[[#This Row],[Entry Price]]</f>
        <v>233.5</v>
      </c>
      <c r="S125">
        <f>Tabla1[[#This Row],[Initial Risk $]]/Tabla1[[#This Row],[Position Size (shares)]]*2.5+Tabla1[[#This Row],[Entry Price]]</f>
        <v>234.5</v>
      </c>
      <c r="T125">
        <f>Tabla1[[#This Row],[Initial Risk $]]/Tabla1[[#This Row],[Position Size (shares)]]*3+Tabla1[[#This Row],[Entry Price]]</f>
        <v>235.5</v>
      </c>
    </row>
    <row r="126" spans="1:20" customFormat="1" hidden="1" x14ac:dyDescent="0.25">
      <c r="A126" t="str">
        <f t="shared" si="18"/>
        <v>T-125</v>
      </c>
      <c r="B126" s="1">
        <v>46148</v>
      </c>
      <c r="C126" t="s">
        <v>130</v>
      </c>
      <c r="D126" t="s">
        <v>28</v>
      </c>
      <c r="E126" t="s">
        <v>51</v>
      </c>
      <c r="F126">
        <v>405.7</v>
      </c>
      <c r="G126">
        <v>403.82</v>
      </c>
      <c r="H126">
        <f>Tabla1[[#This Row],[Entry Price]]-(Tabla1[[#This Row],[Entry Price]]-Tabla1[[#This Row],[Initial Stop]])/2</f>
        <v>404.76</v>
      </c>
      <c r="I126">
        <v>2</v>
      </c>
      <c r="J126">
        <f t="shared" si="19"/>
        <v>3.7599999999999909</v>
      </c>
      <c r="K126">
        <v>1</v>
      </c>
      <c r="L126">
        <f t="shared" si="7"/>
        <v>3.7599999999999909</v>
      </c>
      <c r="M126" t="s">
        <v>72</v>
      </c>
      <c r="N126">
        <f>SUMIF(Executions!B:B,A126,Executions!H:H)</f>
        <v>33.980000000000018</v>
      </c>
      <c r="O126">
        <f t="shared" si="8"/>
        <v>9.0372340425532176</v>
      </c>
      <c r="P126">
        <f>Tabla1[[#This Row],[Initial Risk $]]/Tabla1[[#This Row],[Position Size (shares)]]+Tabla1[[#This Row],[Entry Price]]</f>
        <v>407.58</v>
      </c>
      <c r="Q126">
        <f>Tabla1[[#This Row],[Initial Risk $]]/Tabla1[[#This Row],[Position Size (shares)]]*1.5+Tabla1[[#This Row],[Entry Price]]</f>
        <v>408.52</v>
      </c>
      <c r="R126">
        <f>Tabla1[[#This Row],[Initial Risk $]]/Tabla1[[#This Row],[Position Size (shares)]]*2+Tabla1[[#This Row],[Entry Price]]</f>
        <v>409.46</v>
      </c>
      <c r="S126">
        <f>Tabla1[[#This Row],[Initial Risk $]]/Tabla1[[#This Row],[Position Size (shares)]]*2.5+Tabla1[[#This Row],[Entry Price]]</f>
        <v>410.4</v>
      </c>
      <c r="T126">
        <f>Tabla1[[#This Row],[Initial Risk $]]/Tabla1[[#This Row],[Position Size (shares)]]*3+Tabla1[[#This Row],[Entry Price]]</f>
        <v>411.34</v>
      </c>
    </row>
    <row r="127" spans="1:20" customFormat="1" hidden="1" x14ac:dyDescent="0.25">
      <c r="A127" t="str">
        <f t="shared" si="18"/>
        <v>T-126</v>
      </c>
      <c r="B127" s="1">
        <v>46148</v>
      </c>
      <c r="C127" t="s">
        <v>154</v>
      </c>
      <c r="D127" t="s">
        <v>28</v>
      </c>
      <c r="E127" t="s">
        <v>58</v>
      </c>
      <c r="F127">
        <v>389.3</v>
      </c>
      <c r="G127">
        <v>387.3</v>
      </c>
      <c r="H127">
        <f>Tabla1[[#This Row],[Entry Price]]-(Tabla1[[#This Row],[Entry Price]]-Tabla1[[#This Row],[Initial Stop]])/2</f>
        <v>388.3</v>
      </c>
      <c r="I127">
        <v>2</v>
      </c>
      <c r="J127">
        <f t="shared" si="19"/>
        <v>4</v>
      </c>
      <c r="K127">
        <v>1</v>
      </c>
      <c r="L127">
        <f t="shared" si="7"/>
        <v>4</v>
      </c>
      <c r="M127" t="s">
        <v>72</v>
      </c>
      <c r="N127">
        <f>SUMIF(Executions!B:B,A127,Executions!H:H)</f>
        <v>-3.9600000000000364</v>
      </c>
      <c r="O127">
        <f t="shared" si="8"/>
        <v>-0.99000000000000909</v>
      </c>
      <c r="P127">
        <f>Tabla1[[#This Row],[Initial Risk $]]/Tabla1[[#This Row],[Position Size (shares)]]+Tabla1[[#This Row],[Entry Price]]</f>
        <v>391.3</v>
      </c>
      <c r="Q127">
        <f>Tabla1[[#This Row],[Initial Risk $]]/Tabla1[[#This Row],[Position Size (shares)]]*1.5+Tabla1[[#This Row],[Entry Price]]</f>
        <v>392.3</v>
      </c>
      <c r="R127">
        <f>Tabla1[[#This Row],[Initial Risk $]]/Tabla1[[#This Row],[Position Size (shares)]]*2+Tabla1[[#This Row],[Entry Price]]</f>
        <v>393.3</v>
      </c>
      <c r="S127">
        <f>Tabla1[[#This Row],[Initial Risk $]]/Tabla1[[#This Row],[Position Size (shares)]]*2.5+Tabla1[[#This Row],[Entry Price]]</f>
        <v>394.3</v>
      </c>
      <c r="T127">
        <f>Tabla1[[#This Row],[Initial Risk $]]/Tabla1[[#This Row],[Position Size (shares)]]*3+Tabla1[[#This Row],[Entry Price]]</f>
        <v>395.3</v>
      </c>
    </row>
    <row r="128" spans="1:20" customFormat="1" hidden="1" x14ac:dyDescent="0.25">
      <c r="A128" t="str">
        <f t="shared" si="18"/>
        <v>T-127</v>
      </c>
      <c r="B128" s="1">
        <v>46148</v>
      </c>
      <c r="C128" t="s">
        <v>279</v>
      </c>
      <c r="D128" t="s">
        <v>28</v>
      </c>
      <c r="E128" t="s">
        <v>58</v>
      </c>
      <c r="F128">
        <v>650.44000000000005</v>
      </c>
      <c r="G128">
        <v>647.44000000000005</v>
      </c>
      <c r="H128">
        <f>Tabla1[[#This Row],[Entry Price]]-(Tabla1[[#This Row],[Entry Price]]-Tabla1[[#This Row],[Initial Stop]])/2</f>
        <v>648.94000000000005</v>
      </c>
      <c r="I128">
        <v>2</v>
      </c>
      <c r="J128">
        <f t="shared" si="19"/>
        <v>6</v>
      </c>
      <c r="K128">
        <v>1</v>
      </c>
      <c r="L128">
        <f t="shared" si="7"/>
        <v>6</v>
      </c>
      <c r="M128" t="s">
        <v>72</v>
      </c>
      <c r="N128">
        <f>SUMIF(Executions!B:B,A128,Executions!H:H)</f>
        <v>11.319999999999936</v>
      </c>
      <c r="O128">
        <f t="shared" si="8"/>
        <v>1.8866666666666561</v>
      </c>
      <c r="P128">
        <f>Tabla1[[#This Row],[Initial Risk $]]/Tabla1[[#This Row],[Position Size (shares)]]+Tabla1[[#This Row],[Entry Price]]</f>
        <v>653.44000000000005</v>
      </c>
      <c r="Q128">
        <f>Tabla1[[#This Row],[Initial Risk $]]/Tabla1[[#This Row],[Position Size (shares)]]*1.5+Tabla1[[#This Row],[Entry Price]]</f>
        <v>654.94000000000005</v>
      </c>
      <c r="R128">
        <f>Tabla1[[#This Row],[Initial Risk $]]/Tabla1[[#This Row],[Position Size (shares)]]*2+Tabla1[[#This Row],[Entry Price]]</f>
        <v>656.44</v>
      </c>
      <c r="S128">
        <f>Tabla1[[#This Row],[Initial Risk $]]/Tabla1[[#This Row],[Position Size (shares)]]*2.5+Tabla1[[#This Row],[Entry Price]]</f>
        <v>657.94</v>
      </c>
      <c r="T128">
        <f>Tabla1[[#This Row],[Initial Risk $]]/Tabla1[[#This Row],[Position Size (shares)]]*3+Tabla1[[#This Row],[Entry Price]]</f>
        <v>659.44</v>
      </c>
    </row>
    <row r="129" spans="1:20" customFormat="1" hidden="1" x14ac:dyDescent="0.25">
      <c r="A129" t="str">
        <f t="shared" si="18"/>
        <v>T-128</v>
      </c>
      <c r="B129" s="1">
        <v>46148</v>
      </c>
      <c r="C129" t="s">
        <v>279</v>
      </c>
      <c r="D129" t="s">
        <v>28</v>
      </c>
      <c r="E129" t="s">
        <v>58</v>
      </c>
      <c r="F129">
        <v>629.32000000000005</v>
      </c>
      <c r="G129">
        <v>625.32000000000005</v>
      </c>
      <c r="H129">
        <f>Tabla1[[#This Row],[Entry Price]]-(Tabla1[[#This Row],[Entry Price]]-Tabla1[[#This Row],[Initial Stop]])/2</f>
        <v>627.32000000000005</v>
      </c>
      <c r="I129">
        <v>2</v>
      </c>
      <c r="J129">
        <f t="shared" si="19"/>
        <v>8</v>
      </c>
      <c r="K129">
        <v>1</v>
      </c>
      <c r="L129">
        <f t="shared" si="7"/>
        <v>8</v>
      </c>
      <c r="M129" t="s">
        <v>72</v>
      </c>
      <c r="N129">
        <f>SUMIF(Executions!B:B,A129,Executions!H:H)</f>
        <v>53.559999999999945</v>
      </c>
      <c r="O129">
        <f t="shared" si="8"/>
        <v>6.6949999999999932</v>
      </c>
      <c r="P129">
        <f>Tabla1[[#This Row],[Initial Risk $]]/Tabla1[[#This Row],[Position Size (shares)]]+Tabla1[[#This Row],[Entry Price]]</f>
        <v>633.32000000000005</v>
      </c>
      <c r="Q129">
        <f>Tabla1[[#This Row],[Initial Risk $]]/Tabla1[[#This Row],[Position Size (shares)]]*1.5+Tabla1[[#This Row],[Entry Price]]</f>
        <v>635.32000000000005</v>
      </c>
      <c r="R129">
        <f>Tabla1[[#This Row],[Initial Risk $]]/Tabla1[[#This Row],[Position Size (shares)]]*2+Tabla1[[#This Row],[Entry Price]]</f>
        <v>637.32000000000005</v>
      </c>
      <c r="S129">
        <f>Tabla1[[#This Row],[Initial Risk $]]/Tabla1[[#This Row],[Position Size (shares)]]*2.5+Tabla1[[#This Row],[Entry Price]]</f>
        <v>639.32000000000005</v>
      </c>
      <c r="T129">
        <f>Tabla1[[#This Row],[Initial Risk $]]/Tabla1[[#This Row],[Position Size (shares)]]*3+Tabla1[[#This Row],[Entry Price]]</f>
        <v>641.32000000000005</v>
      </c>
    </row>
    <row r="130" spans="1:20" customFormat="1" hidden="1" x14ac:dyDescent="0.25">
      <c r="A130" t="str">
        <f t="shared" si="18"/>
        <v>T-129</v>
      </c>
      <c r="B130" s="1">
        <v>46148</v>
      </c>
      <c r="C130" t="s">
        <v>153</v>
      </c>
      <c r="D130" t="s">
        <v>28</v>
      </c>
      <c r="E130" t="s">
        <v>119</v>
      </c>
      <c r="F130">
        <v>1.5</v>
      </c>
      <c r="G130">
        <v>1.19</v>
      </c>
      <c r="H130">
        <f>Tabla1[[#This Row],[Entry Price]]-(Tabla1[[#This Row],[Entry Price]]-Tabla1[[#This Row],[Initial Stop]])/2</f>
        <v>1.345</v>
      </c>
      <c r="I130">
        <v>20</v>
      </c>
      <c r="J130">
        <f t="shared" si="19"/>
        <v>6.2000000000000011</v>
      </c>
      <c r="K130">
        <v>1</v>
      </c>
      <c r="L130">
        <f t="shared" ref="L130:L193" si="20">J130*K130</f>
        <v>6.2000000000000011</v>
      </c>
      <c r="M130" t="s">
        <v>72</v>
      </c>
      <c r="N130">
        <f>SUMIF(Executions!B:B,A130,Executions!H:H)</f>
        <v>-6.2000000000000011</v>
      </c>
      <c r="O130">
        <f t="shared" ref="O130:O193" si="21">N130/J130</f>
        <v>-1</v>
      </c>
      <c r="P130">
        <f>Tabla1[[#This Row],[Initial Risk $]]/Tabla1[[#This Row],[Position Size (shares)]]+Tabla1[[#This Row],[Entry Price]]</f>
        <v>1.81</v>
      </c>
      <c r="Q130">
        <f>Tabla1[[#This Row],[Initial Risk $]]/Tabla1[[#This Row],[Position Size (shares)]]*1.5+Tabla1[[#This Row],[Entry Price]]</f>
        <v>1.9650000000000001</v>
      </c>
      <c r="R130">
        <f>Tabla1[[#This Row],[Initial Risk $]]/Tabla1[[#This Row],[Position Size (shares)]]*2+Tabla1[[#This Row],[Entry Price]]</f>
        <v>2.12</v>
      </c>
      <c r="S130">
        <f>Tabla1[[#This Row],[Initial Risk $]]/Tabla1[[#This Row],[Position Size (shares)]]*2.5+Tabla1[[#This Row],[Entry Price]]</f>
        <v>2.2750000000000004</v>
      </c>
      <c r="T130">
        <f>Tabla1[[#This Row],[Initial Risk $]]/Tabla1[[#This Row],[Position Size (shares)]]*3+Tabla1[[#This Row],[Entry Price]]</f>
        <v>2.4300000000000002</v>
      </c>
    </row>
    <row r="131" spans="1:20" customFormat="1" hidden="1" x14ac:dyDescent="0.25">
      <c r="A131" t="str">
        <f t="shared" si="18"/>
        <v>T-130</v>
      </c>
      <c r="B131" s="1">
        <v>46148</v>
      </c>
      <c r="C131" t="s">
        <v>101</v>
      </c>
      <c r="D131" t="s">
        <v>28</v>
      </c>
      <c r="E131" t="s">
        <v>119</v>
      </c>
      <c r="F131">
        <v>3.97</v>
      </c>
      <c r="G131">
        <v>3.72</v>
      </c>
      <c r="H131">
        <f>Tabla1[[#This Row],[Entry Price]]-(Tabla1[[#This Row],[Entry Price]]-Tabla1[[#This Row],[Initial Stop]])/2</f>
        <v>3.8450000000000002</v>
      </c>
      <c r="I131">
        <v>20</v>
      </c>
      <c r="J131">
        <f t="shared" si="19"/>
        <v>5</v>
      </c>
      <c r="K131">
        <v>1</v>
      </c>
      <c r="L131">
        <f t="shared" si="20"/>
        <v>5</v>
      </c>
      <c r="M131" t="s">
        <v>72</v>
      </c>
      <c r="N131">
        <f>SUMIF(Executions!B:B,A131,Executions!H:H)</f>
        <v>10.200000000000005</v>
      </c>
      <c r="O131">
        <f t="shared" si="21"/>
        <v>2.0400000000000009</v>
      </c>
      <c r="P131">
        <f>Tabla1[[#This Row],[Initial Risk $]]/Tabla1[[#This Row],[Position Size (shares)]]+Tabla1[[#This Row],[Entry Price]]</f>
        <v>4.2200000000000006</v>
      </c>
      <c r="Q131">
        <f>Tabla1[[#This Row],[Initial Risk $]]/Tabla1[[#This Row],[Position Size (shares)]]*1.5+Tabla1[[#This Row],[Entry Price]]</f>
        <v>4.3450000000000006</v>
      </c>
      <c r="R131">
        <f>Tabla1[[#This Row],[Initial Risk $]]/Tabla1[[#This Row],[Position Size (shares)]]*2+Tabla1[[#This Row],[Entry Price]]</f>
        <v>4.4700000000000006</v>
      </c>
      <c r="S131">
        <f>Tabla1[[#This Row],[Initial Risk $]]/Tabla1[[#This Row],[Position Size (shares)]]*2.5+Tabla1[[#This Row],[Entry Price]]</f>
        <v>4.5950000000000006</v>
      </c>
      <c r="T131">
        <f>Tabla1[[#This Row],[Initial Risk $]]/Tabla1[[#This Row],[Position Size (shares)]]*3+Tabla1[[#This Row],[Entry Price]]</f>
        <v>4.7200000000000006</v>
      </c>
    </row>
    <row r="132" spans="1:20" customFormat="1" hidden="1" x14ac:dyDescent="0.25">
      <c r="A132" t="str">
        <f t="shared" si="18"/>
        <v>T-131</v>
      </c>
      <c r="B132" s="1">
        <v>46148</v>
      </c>
      <c r="C132" t="s">
        <v>287</v>
      </c>
      <c r="D132" t="s">
        <v>28</v>
      </c>
      <c r="E132" t="s">
        <v>119</v>
      </c>
      <c r="F132">
        <v>14.88</v>
      </c>
      <c r="G132">
        <v>13.4</v>
      </c>
      <c r="H132">
        <f>Tabla1[[#This Row],[Entry Price]]-(Tabla1[[#This Row],[Entry Price]]-Tabla1[[#This Row],[Initial Stop]])/2</f>
        <v>14.14</v>
      </c>
      <c r="I132">
        <v>6</v>
      </c>
      <c r="J132">
        <f t="shared" si="19"/>
        <v>8.8800000000000026</v>
      </c>
      <c r="K132">
        <v>1</v>
      </c>
      <c r="L132">
        <f t="shared" si="20"/>
        <v>8.8800000000000026</v>
      </c>
      <c r="M132" t="s">
        <v>72</v>
      </c>
      <c r="N132">
        <f>SUMIF(Executions!B:B,A132,Executions!H:H)</f>
        <v>-3.0600000000000094</v>
      </c>
      <c r="O132">
        <f t="shared" si="21"/>
        <v>-0.34459459459459557</v>
      </c>
      <c r="P132">
        <f>Tabla1[[#This Row],[Initial Risk $]]/Tabla1[[#This Row],[Position Size (shares)]]+Tabla1[[#This Row],[Entry Price]]</f>
        <v>16.36</v>
      </c>
      <c r="Q132">
        <f>Tabla1[[#This Row],[Initial Risk $]]/Tabla1[[#This Row],[Position Size (shares)]]*1.5+Tabla1[[#This Row],[Entry Price]]</f>
        <v>17.100000000000001</v>
      </c>
      <c r="R132">
        <f>Tabla1[[#This Row],[Initial Risk $]]/Tabla1[[#This Row],[Position Size (shares)]]*2+Tabla1[[#This Row],[Entry Price]]</f>
        <v>17.840000000000003</v>
      </c>
      <c r="S132">
        <f>Tabla1[[#This Row],[Initial Risk $]]/Tabla1[[#This Row],[Position Size (shares)]]*2.5+Tabla1[[#This Row],[Entry Price]]</f>
        <v>18.580000000000002</v>
      </c>
      <c r="T132">
        <f>Tabla1[[#This Row],[Initial Risk $]]/Tabla1[[#This Row],[Position Size (shares)]]*3+Tabla1[[#This Row],[Entry Price]]</f>
        <v>19.32</v>
      </c>
    </row>
    <row r="133" spans="1:20" customFormat="1" hidden="1" x14ac:dyDescent="0.25">
      <c r="A133" t="str">
        <f t="shared" ref="A133:A141" si="22">"T-"&amp; TEXT(ROW()-1,"000")</f>
        <v>T-132</v>
      </c>
      <c r="B133" s="1">
        <v>46149</v>
      </c>
      <c r="C133" t="s">
        <v>177</v>
      </c>
      <c r="D133" t="s">
        <v>28</v>
      </c>
      <c r="E133" t="s">
        <v>119</v>
      </c>
      <c r="F133">
        <v>33.409999999999997</v>
      </c>
      <c r="G133">
        <v>31.79</v>
      </c>
      <c r="H133">
        <f>Tabla1[[#This Row],[Entry Price]]-(Tabla1[[#This Row],[Entry Price]]-Tabla1[[#This Row],[Initial Stop]])/2</f>
        <v>32.599999999999994</v>
      </c>
      <c r="I133">
        <v>4</v>
      </c>
      <c r="J133">
        <f t="shared" ref="J133:J141" si="23">IF(D133="Long",(F133-G133)*I133,(G133-F133)*0)</f>
        <v>6.4799999999999898</v>
      </c>
      <c r="K133">
        <v>1</v>
      </c>
      <c r="L133">
        <f t="shared" si="20"/>
        <v>6.4799999999999898</v>
      </c>
      <c r="M133" t="s">
        <v>72</v>
      </c>
      <c r="N133">
        <f>SUMIF(Executions!B:B,A133,Executions!H:H)</f>
        <v>-9.6399999999999864</v>
      </c>
      <c r="O133">
        <f t="shared" si="21"/>
        <v>-1.4876543209876545</v>
      </c>
      <c r="P133">
        <f>Tabla1[[#This Row],[Initial Risk $]]/Tabla1[[#This Row],[Position Size (shares)]]+Tabla1[[#This Row],[Entry Price]]</f>
        <v>35.029999999999994</v>
      </c>
      <c r="Q133">
        <f>Tabla1[[#This Row],[Initial Risk $]]/Tabla1[[#This Row],[Position Size (shares)]]*1.5+Tabla1[[#This Row],[Entry Price]]</f>
        <v>35.839999999999989</v>
      </c>
      <c r="R133">
        <f>Tabla1[[#This Row],[Initial Risk $]]/Tabla1[[#This Row],[Position Size (shares)]]*2+Tabla1[[#This Row],[Entry Price]]</f>
        <v>36.649999999999991</v>
      </c>
      <c r="S133">
        <f>Tabla1[[#This Row],[Initial Risk $]]/Tabla1[[#This Row],[Position Size (shares)]]*2.5+Tabla1[[#This Row],[Entry Price]]</f>
        <v>37.459999999999994</v>
      </c>
      <c r="T133">
        <f>Tabla1[[#This Row],[Initial Risk $]]/Tabla1[[#This Row],[Position Size (shares)]]*3+Tabla1[[#This Row],[Entry Price]]</f>
        <v>38.269999999999989</v>
      </c>
    </row>
    <row r="134" spans="1:20" customFormat="1" hidden="1" x14ac:dyDescent="0.25">
      <c r="A134" t="str">
        <f t="shared" si="22"/>
        <v>T-133</v>
      </c>
      <c r="B134" s="1">
        <v>46149</v>
      </c>
      <c r="C134" t="s">
        <v>233</v>
      </c>
      <c r="D134" t="s">
        <v>28</v>
      </c>
      <c r="E134" t="s">
        <v>58</v>
      </c>
      <c r="F134">
        <v>419</v>
      </c>
      <c r="G134">
        <v>417.33</v>
      </c>
      <c r="H134">
        <f>Tabla1[[#This Row],[Entry Price]]-(Tabla1[[#This Row],[Entry Price]]-Tabla1[[#This Row],[Initial Stop]])/2</f>
        <v>418.16499999999996</v>
      </c>
      <c r="I134">
        <v>3</v>
      </c>
      <c r="J134">
        <f t="shared" si="23"/>
        <v>5.0100000000000477</v>
      </c>
      <c r="K134">
        <v>1</v>
      </c>
      <c r="L134">
        <f t="shared" si="20"/>
        <v>5.0100000000000477</v>
      </c>
      <c r="M134" t="s">
        <v>72</v>
      </c>
      <c r="N134">
        <f>SUMIF(Executions!B:B,A134,Executions!H:H)</f>
        <v>14.910000000000082</v>
      </c>
      <c r="O134">
        <f t="shared" si="21"/>
        <v>2.9760479041916046</v>
      </c>
      <c r="P134">
        <f>Tabla1[[#This Row],[Initial Risk $]]/Tabla1[[#This Row],[Position Size (shares)]]+Tabla1[[#This Row],[Entry Price]]</f>
        <v>420.67</v>
      </c>
      <c r="Q134">
        <f>Tabla1[[#This Row],[Initial Risk $]]/Tabla1[[#This Row],[Position Size (shares)]]*1.5+Tabla1[[#This Row],[Entry Price]]</f>
        <v>421.505</v>
      </c>
      <c r="R134">
        <f>Tabla1[[#This Row],[Initial Risk $]]/Tabla1[[#This Row],[Position Size (shares)]]*2+Tabla1[[#This Row],[Entry Price]]</f>
        <v>422.34000000000003</v>
      </c>
      <c r="S134">
        <f>Tabla1[[#This Row],[Initial Risk $]]/Tabla1[[#This Row],[Position Size (shares)]]*2.5+Tabla1[[#This Row],[Entry Price]]</f>
        <v>423.17500000000007</v>
      </c>
      <c r="T134">
        <f>Tabla1[[#This Row],[Initial Risk $]]/Tabla1[[#This Row],[Position Size (shares)]]*3+Tabla1[[#This Row],[Entry Price]]</f>
        <v>424.01000000000005</v>
      </c>
    </row>
    <row r="135" spans="1:20" customFormat="1" hidden="1" x14ac:dyDescent="0.25">
      <c r="A135" t="str">
        <f t="shared" si="22"/>
        <v>T-134</v>
      </c>
      <c r="B135" s="1">
        <v>46149</v>
      </c>
      <c r="C135" t="s">
        <v>290</v>
      </c>
      <c r="D135" t="s">
        <v>28</v>
      </c>
      <c r="E135" t="s">
        <v>51</v>
      </c>
      <c r="F135">
        <v>253</v>
      </c>
      <c r="G135">
        <v>252</v>
      </c>
      <c r="H135">
        <f>Tabla1[[#This Row],[Entry Price]]-(Tabla1[[#This Row],[Entry Price]]-Tabla1[[#This Row],[Initial Stop]])/2</f>
        <v>252.5</v>
      </c>
      <c r="I135">
        <v>4</v>
      </c>
      <c r="J135">
        <f t="shared" si="23"/>
        <v>4</v>
      </c>
      <c r="K135">
        <v>1</v>
      </c>
      <c r="L135">
        <f t="shared" si="20"/>
        <v>4</v>
      </c>
      <c r="M135" t="s">
        <v>72</v>
      </c>
      <c r="N135">
        <f>SUMIF(Executions!B:B,A135,Executions!H:H)</f>
        <v>0.55999999999994543</v>
      </c>
      <c r="O135">
        <f t="shared" si="21"/>
        <v>0.13999999999998636</v>
      </c>
      <c r="P135">
        <f>Tabla1[[#This Row],[Initial Risk $]]/Tabla1[[#This Row],[Position Size (shares)]]+Tabla1[[#This Row],[Entry Price]]</f>
        <v>254</v>
      </c>
      <c r="Q135">
        <f>Tabla1[[#This Row],[Initial Risk $]]/Tabla1[[#This Row],[Position Size (shares)]]*1.5+Tabla1[[#This Row],[Entry Price]]</f>
        <v>254.5</v>
      </c>
      <c r="R135">
        <f>Tabla1[[#This Row],[Initial Risk $]]/Tabla1[[#This Row],[Position Size (shares)]]*2+Tabla1[[#This Row],[Entry Price]]</f>
        <v>255</v>
      </c>
      <c r="S135">
        <f>Tabla1[[#This Row],[Initial Risk $]]/Tabla1[[#This Row],[Position Size (shares)]]*2.5+Tabla1[[#This Row],[Entry Price]]</f>
        <v>255.5</v>
      </c>
      <c r="T135">
        <f>Tabla1[[#This Row],[Initial Risk $]]/Tabla1[[#This Row],[Position Size (shares)]]*3+Tabla1[[#This Row],[Entry Price]]</f>
        <v>256</v>
      </c>
    </row>
    <row r="136" spans="1:20" customFormat="1" hidden="1" x14ac:dyDescent="0.25">
      <c r="A136" t="str">
        <f t="shared" si="22"/>
        <v>T-135</v>
      </c>
      <c r="B136" s="1">
        <v>46149</v>
      </c>
      <c r="C136" t="s">
        <v>290</v>
      </c>
      <c r="D136" t="s">
        <v>28</v>
      </c>
      <c r="E136" t="s">
        <v>51</v>
      </c>
      <c r="F136">
        <v>250.11</v>
      </c>
      <c r="G136">
        <v>248.11</v>
      </c>
      <c r="H136">
        <f>Tabla1[[#This Row],[Entry Price]]-(Tabla1[[#This Row],[Entry Price]]-Tabla1[[#This Row],[Initial Stop]])/2</f>
        <v>249.11</v>
      </c>
      <c r="I136">
        <v>4</v>
      </c>
      <c r="J136">
        <f t="shared" si="23"/>
        <v>8</v>
      </c>
      <c r="K136">
        <v>1</v>
      </c>
      <c r="L136">
        <f t="shared" si="20"/>
        <v>8</v>
      </c>
      <c r="M136" t="s">
        <v>72</v>
      </c>
      <c r="N136">
        <f>SUMIF(Executions!B:B,A136,Executions!H:H)</f>
        <v>25.960000000000036</v>
      </c>
      <c r="O136">
        <f t="shared" si="21"/>
        <v>3.2450000000000045</v>
      </c>
      <c r="P136">
        <f>Tabla1[[#This Row],[Initial Risk $]]/Tabla1[[#This Row],[Position Size (shares)]]+Tabla1[[#This Row],[Entry Price]]</f>
        <v>252.11</v>
      </c>
      <c r="Q136">
        <f>Tabla1[[#This Row],[Initial Risk $]]/Tabla1[[#This Row],[Position Size (shares)]]*1.5+Tabla1[[#This Row],[Entry Price]]</f>
        <v>253.11</v>
      </c>
      <c r="R136">
        <f>Tabla1[[#This Row],[Initial Risk $]]/Tabla1[[#This Row],[Position Size (shares)]]*2+Tabla1[[#This Row],[Entry Price]]</f>
        <v>254.11</v>
      </c>
      <c r="S136">
        <f>Tabla1[[#This Row],[Initial Risk $]]/Tabla1[[#This Row],[Position Size (shares)]]*2.5+Tabla1[[#This Row],[Entry Price]]</f>
        <v>255.11</v>
      </c>
      <c r="T136">
        <f>Tabla1[[#This Row],[Initial Risk $]]/Tabla1[[#This Row],[Position Size (shares)]]*3+Tabla1[[#This Row],[Entry Price]]</f>
        <v>256.11</v>
      </c>
    </row>
    <row r="137" spans="1:20" customFormat="1" hidden="1" x14ac:dyDescent="0.25">
      <c r="A137" t="str">
        <f t="shared" si="22"/>
        <v>T-136</v>
      </c>
      <c r="B137" s="1">
        <v>46149</v>
      </c>
      <c r="C137" t="s">
        <v>129</v>
      </c>
      <c r="D137" t="s">
        <v>28</v>
      </c>
      <c r="E137" t="s">
        <v>51</v>
      </c>
      <c r="F137">
        <v>55.5</v>
      </c>
      <c r="G137">
        <v>54.5</v>
      </c>
      <c r="H137">
        <f>Tabla1[[#This Row],[Entry Price]]-(Tabla1[[#This Row],[Entry Price]]-Tabla1[[#This Row],[Initial Stop]])/2</f>
        <v>55</v>
      </c>
      <c r="I137">
        <v>4</v>
      </c>
      <c r="J137">
        <f t="shared" si="23"/>
        <v>4</v>
      </c>
      <c r="K137">
        <v>1</v>
      </c>
      <c r="L137">
        <f t="shared" si="20"/>
        <v>4</v>
      </c>
      <c r="M137" t="s">
        <v>72</v>
      </c>
      <c r="N137">
        <f>SUMIF(Executions!B:B,A137,Executions!H:H)</f>
        <v>61.5</v>
      </c>
      <c r="O137">
        <f t="shared" si="21"/>
        <v>15.375</v>
      </c>
      <c r="P137">
        <f>Tabla1[[#This Row],[Initial Risk $]]/Tabla1[[#This Row],[Position Size (shares)]]+Tabla1[[#This Row],[Entry Price]]</f>
        <v>56.5</v>
      </c>
      <c r="Q137">
        <f>Tabla1[[#This Row],[Initial Risk $]]/Tabla1[[#This Row],[Position Size (shares)]]*1.5+Tabla1[[#This Row],[Entry Price]]</f>
        <v>57</v>
      </c>
      <c r="R137">
        <f>Tabla1[[#This Row],[Initial Risk $]]/Tabla1[[#This Row],[Position Size (shares)]]*2+Tabla1[[#This Row],[Entry Price]]</f>
        <v>57.5</v>
      </c>
      <c r="S137">
        <f>Tabla1[[#This Row],[Initial Risk $]]/Tabla1[[#This Row],[Position Size (shares)]]*2.5+Tabla1[[#This Row],[Entry Price]]</f>
        <v>58</v>
      </c>
      <c r="T137">
        <f>Tabla1[[#This Row],[Initial Risk $]]/Tabla1[[#This Row],[Position Size (shares)]]*3+Tabla1[[#This Row],[Entry Price]]</f>
        <v>58.5</v>
      </c>
    </row>
    <row r="138" spans="1:20" customFormat="1" hidden="1" x14ac:dyDescent="0.25">
      <c r="A138" t="str">
        <f t="shared" si="22"/>
        <v>T-137</v>
      </c>
      <c r="B138" s="1">
        <v>46149</v>
      </c>
      <c r="C138" t="s">
        <v>279</v>
      </c>
      <c r="D138" t="s">
        <v>28</v>
      </c>
      <c r="E138" t="s">
        <v>119</v>
      </c>
      <c r="F138">
        <v>660.83</v>
      </c>
      <c r="G138">
        <v>657.83</v>
      </c>
      <c r="H138">
        <f>Tabla1[[#This Row],[Entry Price]]-(Tabla1[[#This Row],[Entry Price]]-Tabla1[[#This Row],[Initial Stop]])/2</f>
        <v>659.33</v>
      </c>
      <c r="I138">
        <v>2</v>
      </c>
      <c r="J138">
        <f t="shared" si="23"/>
        <v>6</v>
      </c>
      <c r="K138">
        <v>1</v>
      </c>
      <c r="L138">
        <f t="shared" si="20"/>
        <v>6</v>
      </c>
      <c r="M138" t="s">
        <v>72</v>
      </c>
      <c r="N138">
        <f>SUMIF(Executions!B:B,A138,Executions!H:H)</f>
        <v>-6.0199999999999818</v>
      </c>
      <c r="O138">
        <f t="shared" si="21"/>
        <v>-1.0033333333333303</v>
      </c>
      <c r="P138">
        <f>Tabla1[[#This Row],[Initial Risk $]]/Tabla1[[#This Row],[Position Size (shares)]]+Tabla1[[#This Row],[Entry Price]]</f>
        <v>663.83</v>
      </c>
      <c r="Q138">
        <f>Tabla1[[#This Row],[Initial Risk $]]/Tabla1[[#This Row],[Position Size (shares)]]*1.5+Tabla1[[#This Row],[Entry Price]]</f>
        <v>665.33</v>
      </c>
      <c r="R138">
        <f>Tabla1[[#This Row],[Initial Risk $]]/Tabla1[[#This Row],[Position Size (shares)]]*2+Tabla1[[#This Row],[Entry Price]]</f>
        <v>666.83</v>
      </c>
      <c r="S138">
        <f>Tabla1[[#This Row],[Initial Risk $]]/Tabla1[[#This Row],[Position Size (shares)]]*2.5+Tabla1[[#This Row],[Entry Price]]</f>
        <v>668.33</v>
      </c>
      <c r="T138">
        <f>Tabla1[[#This Row],[Initial Risk $]]/Tabla1[[#This Row],[Position Size (shares)]]*3+Tabla1[[#This Row],[Entry Price]]</f>
        <v>669.83</v>
      </c>
    </row>
    <row r="139" spans="1:20" customFormat="1" hidden="1" x14ac:dyDescent="0.25">
      <c r="A139" t="str">
        <f t="shared" si="22"/>
        <v>T-138</v>
      </c>
      <c r="B139" s="1">
        <v>46149</v>
      </c>
      <c r="C139" t="s">
        <v>294</v>
      </c>
      <c r="D139" t="s">
        <v>28</v>
      </c>
      <c r="E139" t="s">
        <v>58</v>
      </c>
      <c r="F139">
        <v>194.41</v>
      </c>
      <c r="G139">
        <v>193.16</v>
      </c>
      <c r="H139">
        <f>Tabla1[[#This Row],[Entry Price]]-(Tabla1[[#This Row],[Entry Price]]-Tabla1[[#This Row],[Initial Stop]])/2</f>
        <v>193.785</v>
      </c>
      <c r="I139">
        <v>4</v>
      </c>
      <c r="J139">
        <f t="shared" si="23"/>
        <v>5</v>
      </c>
      <c r="K139">
        <v>1</v>
      </c>
      <c r="L139">
        <f t="shared" si="20"/>
        <v>5</v>
      </c>
      <c r="M139" t="s">
        <v>72</v>
      </c>
      <c r="N139">
        <f>SUMIF(Executions!B:B,A139,Executions!H:H)</f>
        <v>-5.3199999999999363</v>
      </c>
      <c r="O139">
        <f t="shared" si="21"/>
        <v>-1.0639999999999872</v>
      </c>
      <c r="P139">
        <f>Tabla1[[#This Row],[Initial Risk $]]/Tabla1[[#This Row],[Position Size (shares)]]+Tabla1[[#This Row],[Entry Price]]</f>
        <v>195.66</v>
      </c>
      <c r="Q139">
        <f>Tabla1[[#This Row],[Initial Risk $]]/Tabla1[[#This Row],[Position Size (shares)]]*1.5+Tabla1[[#This Row],[Entry Price]]</f>
        <v>196.285</v>
      </c>
      <c r="R139">
        <f>Tabla1[[#This Row],[Initial Risk $]]/Tabla1[[#This Row],[Position Size (shares)]]*2+Tabla1[[#This Row],[Entry Price]]</f>
        <v>196.91</v>
      </c>
      <c r="S139">
        <f>Tabla1[[#This Row],[Initial Risk $]]/Tabla1[[#This Row],[Position Size (shares)]]*2.5+Tabla1[[#This Row],[Entry Price]]</f>
        <v>197.535</v>
      </c>
      <c r="T139">
        <f>Tabla1[[#This Row],[Initial Risk $]]/Tabla1[[#This Row],[Position Size (shares)]]*3+Tabla1[[#This Row],[Entry Price]]</f>
        <v>198.16</v>
      </c>
    </row>
    <row r="140" spans="1:20" customFormat="1" hidden="1" x14ac:dyDescent="0.25">
      <c r="A140" t="str">
        <f t="shared" si="22"/>
        <v>T-139</v>
      </c>
      <c r="B140" s="1">
        <v>46149</v>
      </c>
      <c r="C140" t="s">
        <v>225</v>
      </c>
      <c r="D140" t="s">
        <v>28</v>
      </c>
      <c r="E140" t="s">
        <v>58</v>
      </c>
      <c r="F140">
        <v>206.45</v>
      </c>
      <c r="G140">
        <v>205.92</v>
      </c>
      <c r="H140">
        <f>Tabla1[[#This Row],[Entry Price]]-(Tabla1[[#This Row],[Entry Price]]-Tabla1[[#This Row],[Initial Stop]])/2</f>
        <v>206.185</v>
      </c>
      <c r="I140">
        <v>3</v>
      </c>
      <c r="J140">
        <f t="shared" si="23"/>
        <v>1.5900000000000034</v>
      </c>
      <c r="K140">
        <v>1</v>
      </c>
      <c r="L140">
        <f t="shared" si="20"/>
        <v>1.5900000000000034</v>
      </c>
      <c r="M140" t="s">
        <v>72</v>
      </c>
      <c r="N140">
        <f>SUMIF(Executions!B:B,A140,Executions!H:H)</f>
        <v>-1.5900000000000034</v>
      </c>
      <c r="O140">
        <f t="shared" si="21"/>
        <v>-1</v>
      </c>
      <c r="P140">
        <f>Tabla1[[#This Row],[Initial Risk $]]/Tabla1[[#This Row],[Position Size (shares)]]+Tabla1[[#This Row],[Entry Price]]</f>
        <v>206.98</v>
      </c>
      <c r="Q140">
        <f>Tabla1[[#This Row],[Initial Risk $]]/Tabla1[[#This Row],[Position Size (shares)]]*1.5+Tabla1[[#This Row],[Entry Price]]</f>
        <v>207.245</v>
      </c>
      <c r="R140">
        <f>Tabla1[[#This Row],[Initial Risk $]]/Tabla1[[#This Row],[Position Size (shares)]]*2+Tabla1[[#This Row],[Entry Price]]</f>
        <v>207.51</v>
      </c>
      <c r="S140">
        <f>Tabla1[[#This Row],[Initial Risk $]]/Tabla1[[#This Row],[Position Size (shares)]]*2.5+Tabla1[[#This Row],[Entry Price]]</f>
        <v>207.77499999999998</v>
      </c>
      <c r="T140">
        <f>Tabla1[[#This Row],[Initial Risk $]]/Tabla1[[#This Row],[Position Size (shares)]]*3+Tabla1[[#This Row],[Entry Price]]</f>
        <v>208.04</v>
      </c>
    </row>
    <row r="141" spans="1:20" customFormat="1" hidden="1" x14ac:dyDescent="0.25">
      <c r="A141" t="str">
        <f t="shared" si="22"/>
        <v>T-140</v>
      </c>
      <c r="B141" s="1">
        <v>46149</v>
      </c>
      <c r="C141" t="s">
        <v>300</v>
      </c>
      <c r="D141" t="s">
        <v>28</v>
      </c>
      <c r="E141" t="s">
        <v>51</v>
      </c>
      <c r="F141">
        <v>180.75</v>
      </c>
      <c r="G141">
        <v>180.01</v>
      </c>
      <c r="H141">
        <f>Tabla1[[#This Row],[Entry Price]]-(Tabla1[[#This Row],[Entry Price]]-Tabla1[[#This Row],[Initial Stop]])/2</f>
        <v>180.38</v>
      </c>
      <c r="I141">
        <v>3</v>
      </c>
      <c r="J141">
        <f t="shared" si="23"/>
        <v>2.2200000000000273</v>
      </c>
      <c r="K141">
        <v>1</v>
      </c>
      <c r="L141">
        <f t="shared" si="20"/>
        <v>2.2200000000000273</v>
      </c>
      <c r="M141" t="s">
        <v>72</v>
      </c>
      <c r="N141">
        <f>SUMIF(Executions!B:B,A141,Executions!H:H)</f>
        <v>-2.1899999999999693</v>
      </c>
      <c r="O141">
        <f t="shared" si="21"/>
        <v>-0.98648648648646053</v>
      </c>
      <c r="P141">
        <f>Tabla1[[#This Row],[Initial Risk $]]/Tabla1[[#This Row],[Position Size (shares)]]+Tabla1[[#This Row],[Entry Price]]</f>
        <v>181.49</v>
      </c>
      <c r="Q141">
        <f>Tabla1[[#This Row],[Initial Risk $]]/Tabla1[[#This Row],[Position Size (shares)]]*1.5+Tabla1[[#This Row],[Entry Price]]</f>
        <v>181.86</v>
      </c>
      <c r="R141">
        <f>Tabla1[[#This Row],[Initial Risk $]]/Tabla1[[#This Row],[Position Size (shares)]]*2+Tabla1[[#This Row],[Entry Price]]</f>
        <v>182.23000000000002</v>
      </c>
      <c r="S141">
        <f>Tabla1[[#This Row],[Initial Risk $]]/Tabla1[[#This Row],[Position Size (shares)]]*2.5+Tabla1[[#This Row],[Entry Price]]</f>
        <v>182.60000000000002</v>
      </c>
      <c r="T141">
        <f>Tabla1[[#This Row],[Initial Risk $]]/Tabla1[[#This Row],[Position Size (shares)]]*3+Tabla1[[#This Row],[Entry Price]]</f>
        <v>182.97000000000003</v>
      </c>
    </row>
    <row r="142" spans="1:20" customFormat="1" hidden="1" x14ac:dyDescent="0.25">
      <c r="A142" t="str">
        <f t="shared" ref="A142:A151" si="24">"T-"&amp; TEXT(ROW()-1,"000")</f>
        <v>T-141</v>
      </c>
      <c r="B142" s="1">
        <v>46150</v>
      </c>
      <c r="C142" t="s">
        <v>95</v>
      </c>
      <c r="D142" t="s">
        <v>28</v>
      </c>
      <c r="E142" t="s">
        <v>51</v>
      </c>
      <c r="F142">
        <v>84.16</v>
      </c>
      <c r="G142">
        <v>83.16</v>
      </c>
      <c r="H142">
        <f>Tabla1[[#This Row],[Entry Price]]-(Tabla1[[#This Row],[Entry Price]]-Tabla1[[#This Row],[Initial Stop]])/2</f>
        <v>83.66</v>
      </c>
      <c r="I142">
        <v>4</v>
      </c>
      <c r="J142">
        <f t="shared" ref="J142:J151" si="25">IF(D142="Long",(F142-G142)*I142,(G142-F142)*0)</f>
        <v>4</v>
      </c>
      <c r="K142">
        <v>1</v>
      </c>
      <c r="L142">
        <f t="shared" si="20"/>
        <v>4</v>
      </c>
      <c r="M142" t="s">
        <v>72</v>
      </c>
      <c r="N142">
        <f>SUMIF(Executions!B:B,A142,Executions!H:H)</f>
        <v>-2.839999999999975</v>
      </c>
      <c r="O142">
        <f t="shared" si="21"/>
        <v>-0.70999999999999375</v>
      </c>
      <c r="P142">
        <f>Tabla1[[#This Row],[Initial Risk $]]/Tabla1[[#This Row],[Position Size (shares)]]+Tabla1[[#This Row],[Entry Price]]</f>
        <v>85.16</v>
      </c>
      <c r="Q142">
        <f>Tabla1[[#This Row],[Initial Risk $]]/Tabla1[[#This Row],[Position Size (shares)]]*1.5+Tabla1[[#This Row],[Entry Price]]</f>
        <v>85.66</v>
      </c>
      <c r="R142">
        <f>Tabla1[[#This Row],[Initial Risk $]]/Tabla1[[#This Row],[Position Size (shares)]]*2+Tabla1[[#This Row],[Entry Price]]</f>
        <v>86.16</v>
      </c>
      <c r="S142">
        <f>Tabla1[[#This Row],[Initial Risk $]]/Tabla1[[#This Row],[Position Size (shares)]]*2.5+Tabla1[[#This Row],[Entry Price]]</f>
        <v>86.66</v>
      </c>
      <c r="T142">
        <f>Tabla1[[#This Row],[Initial Risk $]]/Tabla1[[#This Row],[Position Size (shares)]]*3+Tabla1[[#This Row],[Entry Price]]</f>
        <v>87.16</v>
      </c>
    </row>
    <row r="143" spans="1:20" customFormat="1" hidden="1" x14ac:dyDescent="0.25">
      <c r="A143" t="str">
        <f t="shared" si="24"/>
        <v>T-142</v>
      </c>
      <c r="B143" s="1">
        <v>46150</v>
      </c>
      <c r="C143" t="s">
        <v>164</v>
      </c>
      <c r="D143" t="s">
        <v>28</v>
      </c>
      <c r="E143" t="s">
        <v>58</v>
      </c>
      <c r="F143">
        <v>213.24</v>
      </c>
      <c r="G143">
        <v>212.24</v>
      </c>
      <c r="H143">
        <f>Tabla1[[#This Row],[Entry Price]]-(Tabla1[[#This Row],[Entry Price]]-Tabla1[[#This Row],[Initial Stop]])/2</f>
        <v>212.74</v>
      </c>
      <c r="I143">
        <v>4</v>
      </c>
      <c r="J143">
        <f t="shared" si="25"/>
        <v>4</v>
      </c>
      <c r="K143">
        <v>1</v>
      </c>
      <c r="L143">
        <f t="shared" si="20"/>
        <v>4</v>
      </c>
      <c r="M143" t="s">
        <v>72</v>
      </c>
      <c r="N143">
        <f>SUMIF(Executions!B:B,A143,Executions!H:H)</f>
        <v>10.159999999999968</v>
      </c>
      <c r="O143">
        <f t="shared" si="21"/>
        <v>2.539999999999992</v>
      </c>
      <c r="P143">
        <f>Tabla1[[#This Row],[Initial Risk $]]/Tabla1[[#This Row],[Position Size (shares)]]+Tabla1[[#This Row],[Entry Price]]</f>
        <v>214.24</v>
      </c>
      <c r="Q143">
        <f>Tabla1[[#This Row],[Initial Risk $]]/Tabla1[[#This Row],[Position Size (shares)]]*1.5+Tabla1[[#This Row],[Entry Price]]</f>
        <v>214.74</v>
      </c>
      <c r="R143">
        <f>Tabla1[[#This Row],[Initial Risk $]]/Tabla1[[#This Row],[Position Size (shares)]]*2+Tabla1[[#This Row],[Entry Price]]</f>
        <v>215.24</v>
      </c>
      <c r="S143">
        <f>Tabla1[[#This Row],[Initial Risk $]]/Tabla1[[#This Row],[Position Size (shares)]]*2.5+Tabla1[[#This Row],[Entry Price]]</f>
        <v>215.74</v>
      </c>
      <c r="T143">
        <f>Tabla1[[#This Row],[Initial Risk $]]/Tabla1[[#This Row],[Position Size (shares)]]*3+Tabla1[[#This Row],[Entry Price]]</f>
        <v>216.24</v>
      </c>
    </row>
    <row r="144" spans="1:20" customFormat="1" hidden="1" x14ac:dyDescent="0.25">
      <c r="A144" t="str">
        <f t="shared" si="24"/>
        <v>T-143</v>
      </c>
      <c r="B144" s="1">
        <v>46150</v>
      </c>
      <c r="C144" t="s">
        <v>302</v>
      </c>
      <c r="D144" t="s">
        <v>28</v>
      </c>
      <c r="E144" t="s">
        <v>58</v>
      </c>
      <c r="F144">
        <v>12.56</v>
      </c>
      <c r="G144">
        <v>11.97</v>
      </c>
      <c r="H144">
        <f>Tabla1[[#This Row],[Entry Price]]-(Tabla1[[#This Row],[Entry Price]]-Tabla1[[#This Row],[Initial Stop]])/2</f>
        <v>12.265000000000001</v>
      </c>
      <c r="I144">
        <v>10</v>
      </c>
      <c r="J144">
        <f t="shared" si="25"/>
        <v>5.8999999999999986</v>
      </c>
      <c r="K144">
        <v>1</v>
      </c>
      <c r="L144">
        <f t="shared" si="20"/>
        <v>5.8999999999999986</v>
      </c>
      <c r="M144" t="s">
        <v>72</v>
      </c>
      <c r="N144">
        <f>SUMIF(Executions!B:B,A144,Executions!H:H)</f>
        <v>5.0999999999999979</v>
      </c>
      <c r="O144">
        <f t="shared" si="21"/>
        <v>0.86440677966101676</v>
      </c>
      <c r="P144">
        <f>Tabla1[[#This Row],[Initial Risk $]]/Tabla1[[#This Row],[Position Size (shares)]]+Tabla1[[#This Row],[Entry Price]]</f>
        <v>13.15</v>
      </c>
      <c r="Q144">
        <f>Tabla1[[#This Row],[Initial Risk $]]/Tabla1[[#This Row],[Position Size (shares)]]*1.5+Tabla1[[#This Row],[Entry Price]]</f>
        <v>13.445</v>
      </c>
      <c r="R144">
        <f>Tabla1[[#This Row],[Initial Risk $]]/Tabla1[[#This Row],[Position Size (shares)]]*2+Tabla1[[#This Row],[Entry Price]]</f>
        <v>13.74</v>
      </c>
      <c r="S144">
        <f>Tabla1[[#This Row],[Initial Risk $]]/Tabla1[[#This Row],[Position Size (shares)]]*2.5+Tabla1[[#This Row],[Entry Price]]</f>
        <v>14.035</v>
      </c>
      <c r="T144">
        <f>Tabla1[[#This Row],[Initial Risk $]]/Tabla1[[#This Row],[Position Size (shares)]]*3+Tabla1[[#This Row],[Entry Price]]</f>
        <v>14.33</v>
      </c>
    </row>
    <row r="145" spans="1:20" customFormat="1" hidden="1" x14ac:dyDescent="0.25">
      <c r="A145" t="str">
        <f t="shared" si="24"/>
        <v>T-144</v>
      </c>
      <c r="B145" s="1">
        <v>46150</v>
      </c>
      <c r="C145" t="s">
        <v>303</v>
      </c>
      <c r="D145" t="s">
        <v>28</v>
      </c>
      <c r="E145" t="s">
        <v>119</v>
      </c>
      <c r="F145">
        <v>4.01</v>
      </c>
      <c r="G145">
        <v>3.84</v>
      </c>
      <c r="H145">
        <f>Tabla1[[#This Row],[Entry Price]]-(Tabla1[[#This Row],[Entry Price]]-Tabla1[[#This Row],[Initial Stop]])/2</f>
        <v>3.9249999999999998</v>
      </c>
      <c r="I145">
        <v>20</v>
      </c>
      <c r="J145">
        <f t="shared" si="25"/>
        <v>3.3999999999999986</v>
      </c>
      <c r="K145">
        <v>1</v>
      </c>
      <c r="L145">
        <f t="shared" si="20"/>
        <v>3.3999999999999986</v>
      </c>
      <c r="M145" t="s">
        <v>72</v>
      </c>
      <c r="N145">
        <f>SUMIF(Executions!B:B,A145,Executions!H:H)</f>
        <v>-3.3999999999999986</v>
      </c>
      <c r="O145">
        <f t="shared" si="21"/>
        <v>-1</v>
      </c>
      <c r="P145">
        <f>Tabla1[[#This Row],[Initial Risk $]]/Tabla1[[#This Row],[Position Size (shares)]]+Tabla1[[#This Row],[Entry Price]]</f>
        <v>4.18</v>
      </c>
      <c r="Q145">
        <f>Tabla1[[#This Row],[Initial Risk $]]/Tabla1[[#This Row],[Position Size (shares)]]*1.5+Tabla1[[#This Row],[Entry Price]]</f>
        <v>4.2649999999999997</v>
      </c>
      <c r="R145">
        <f>Tabla1[[#This Row],[Initial Risk $]]/Tabla1[[#This Row],[Position Size (shares)]]*2+Tabla1[[#This Row],[Entry Price]]</f>
        <v>4.3499999999999996</v>
      </c>
      <c r="S145">
        <f>Tabla1[[#This Row],[Initial Risk $]]/Tabla1[[#This Row],[Position Size (shares)]]*2.5+Tabla1[[#This Row],[Entry Price]]</f>
        <v>4.4349999999999996</v>
      </c>
      <c r="T145">
        <f>Tabla1[[#This Row],[Initial Risk $]]/Tabla1[[#This Row],[Position Size (shares)]]*3+Tabla1[[#This Row],[Entry Price]]</f>
        <v>4.5199999999999996</v>
      </c>
    </row>
    <row r="146" spans="1:20" customFormat="1" hidden="1" x14ac:dyDescent="0.25">
      <c r="A146" t="str">
        <f t="shared" si="24"/>
        <v>T-145</v>
      </c>
      <c r="B146" s="1">
        <v>46150</v>
      </c>
      <c r="C146" t="s">
        <v>164</v>
      </c>
      <c r="D146" t="s">
        <v>28</v>
      </c>
      <c r="E146" t="s">
        <v>58</v>
      </c>
      <c r="F146">
        <v>216.08</v>
      </c>
      <c r="G146">
        <v>215.08</v>
      </c>
      <c r="H146">
        <f>Tabla1[[#This Row],[Entry Price]]-(Tabla1[[#This Row],[Entry Price]]-Tabla1[[#This Row],[Initial Stop]])/2</f>
        <v>215.58</v>
      </c>
      <c r="I146">
        <v>4</v>
      </c>
      <c r="J146">
        <f t="shared" si="25"/>
        <v>4</v>
      </c>
      <c r="K146">
        <v>1</v>
      </c>
      <c r="L146">
        <f t="shared" si="20"/>
        <v>4</v>
      </c>
      <c r="M146" t="s">
        <v>72</v>
      </c>
      <c r="N146">
        <f>SUMIF(Executions!B:B,A146,Executions!H:H)</f>
        <v>-4</v>
      </c>
      <c r="O146">
        <f t="shared" si="21"/>
        <v>-1</v>
      </c>
      <c r="P146">
        <f>Tabla1[[#This Row],[Initial Risk $]]/Tabla1[[#This Row],[Position Size (shares)]]+Tabla1[[#This Row],[Entry Price]]</f>
        <v>217.08</v>
      </c>
      <c r="Q146">
        <f>Tabla1[[#This Row],[Initial Risk $]]/Tabla1[[#This Row],[Position Size (shares)]]*1.5+Tabla1[[#This Row],[Entry Price]]</f>
        <v>217.58</v>
      </c>
      <c r="R146">
        <f>Tabla1[[#This Row],[Initial Risk $]]/Tabla1[[#This Row],[Position Size (shares)]]*2+Tabla1[[#This Row],[Entry Price]]</f>
        <v>218.08</v>
      </c>
      <c r="S146">
        <f>Tabla1[[#This Row],[Initial Risk $]]/Tabla1[[#This Row],[Position Size (shares)]]*2.5+Tabla1[[#This Row],[Entry Price]]</f>
        <v>218.58</v>
      </c>
      <c r="T146">
        <f>Tabla1[[#This Row],[Initial Risk $]]/Tabla1[[#This Row],[Position Size (shares)]]*3+Tabla1[[#This Row],[Entry Price]]</f>
        <v>219.08</v>
      </c>
    </row>
    <row r="147" spans="1:20" customFormat="1" hidden="1" x14ac:dyDescent="0.25">
      <c r="A147" t="str">
        <f t="shared" si="24"/>
        <v>T-146</v>
      </c>
      <c r="B147" s="1">
        <v>46150</v>
      </c>
      <c r="C147" t="s">
        <v>130</v>
      </c>
      <c r="D147" t="s">
        <v>28</v>
      </c>
      <c r="E147" t="s">
        <v>58</v>
      </c>
      <c r="F147">
        <v>434.08</v>
      </c>
      <c r="G147">
        <v>432.85</v>
      </c>
      <c r="H147">
        <f>Tabla1[[#This Row],[Entry Price]]-(Tabla1[[#This Row],[Entry Price]]-Tabla1[[#This Row],[Initial Stop]])/2</f>
        <v>433.46500000000003</v>
      </c>
      <c r="I147">
        <v>3</v>
      </c>
      <c r="J147">
        <f t="shared" si="25"/>
        <v>3.689999999999884</v>
      </c>
      <c r="K147">
        <v>1</v>
      </c>
      <c r="L147">
        <f t="shared" si="20"/>
        <v>3.689999999999884</v>
      </c>
      <c r="M147" t="s">
        <v>72</v>
      </c>
      <c r="N147">
        <f>SUMIF(Executions!B:B,A147,Executions!H:H)</f>
        <v>14.130000000000109</v>
      </c>
      <c r="O147">
        <f t="shared" si="21"/>
        <v>3.8292682926830768</v>
      </c>
      <c r="P147">
        <f>Tabla1[[#This Row],[Initial Risk $]]/Tabla1[[#This Row],[Position Size (shares)]]+Tabla1[[#This Row],[Entry Price]]</f>
        <v>435.30999999999995</v>
      </c>
      <c r="Q147">
        <f>Tabla1[[#This Row],[Initial Risk $]]/Tabla1[[#This Row],[Position Size (shares)]]*1.5+Tabla1[[#This Row],[Entry Price]]</f>
        <v>435.92499999999995</v>
      </c>
      <c r="R147">
        <f>Tabla1[[#This Row],[Initial Risk $]]/Tabla1[[#This Row],[Position Size (shares)]]*2+Tabla1[[#This Row],[Entry Price]]</f>
        <v>436.53999999999991</v>
      </c>
      <c r="S147">
        <f>Tabla1[[#This Row],[Initial Risk $]]/Tabla1[[#This Row],[Position Size (shares)]]*2.5+Tabla1[[#This Row],[Entry Price]]</f>
        <v>437.15499999999986</v>
      </c>
      <c r="T147">
        <f>Tabla1[[#This Row],[Initial Risk $]]/Tabla1[[#This Row],[Position Size (shares)]]*3+Tabla1[[#This Row],[Entry Price]]</f>
        <v>437.76999999999987</v>
      </c>
    </row>
    <row r="148" spans="1:20" customFormat="1" hidden="1" x14ac:dyDescent="0.25">
      <c r="A148" t="str">
        <f t="shared" si="24"/>
        <v>T-147</v>
      </c>
      <c r="B148" s="1">
        <v>46150</v>
      </c>
      <c r="C148" t="s">
        <v>287</v>
      </c>
      <c r="D148" t="s">
        <v>28</v>
      </c>
      <c r="E148" t="s">
        <v>119</v>
      </c>
      <c r="F148">
        <v>14.71</v>
      </c>
      <c r="G148">
        <v>13.88</v>
      </c>
      <c r="H148">
        <f>Tabla1[[#This Row],[Entry Price]]-(Tabla1[[#This Row],[Entry Price]]-Tabla1[[#This Row],[Initial Stop]])/2</f>
        <v>14.295000000000002</v>
      </c>
      <c r="I148">
        <v>6</v>
      </c>
      <c r="J148">
        <f t="shared" si="25"/>
        <v>4.9800000000000004</v>
      </c>
      <c r="K148">
        <v>1</v>
      </c>
      <c r="L148">
        <f t="shared" si="20"/>
        <v>4.9800000000000004</v>
      </c>
      <c r="M148" t="s">
        <v>72</v>
      </c>
      <c r="N148">
        <f>SUMIF(Executions!B:B,A148,Executions!H:H)</f>
        <v>-4.9800000000000004</v>
      </c>
      <c r="O148">
        <f t="shared" si="21"/>
        <v>-1</v>
      </c>
      <c r="P148">
        <f>Tabla1[[#This Row],[Initial Risk $]]/Tabla1[[#This Row],[Position Size (shares)]]+Tabla1[[#This Row],[Entry Price]]</f>
        <v>15.540000000000001</v>
      </c>
      <c r="Q148">
        <f>Tabla1[[#This Row],[Initial Risk $]]/Tabla1[[#This Row],[Position Size (shares)]]*1.5+Tabla1[[#This Row],[Entry Price]]</f>
        <v>15.955000000000002</v>
      </c>
      <c r="R148">
        <f>Tabla1[[#This Row],[Initial Risk $]]/Tabla1[[#This Row],[Position Size (shares)]]*2+Tabla1[[#This Row],[Entry Price]]</f>
        <v>16.37</v>
      </c>
      <c r="S148">
        <f>Tabla1[[#This Row],[Initial Risk $]]/Tabla1[[#This Row],[Position Size (shares)]]*2.5+Tabla1[[#This Row],[Entry Price]]</f>
        <v>16.785</v>
      </c>
      <c r="T148">
        <f>Tabla1[[#This Row],[Initial Risk $]]/Tabla1[[#This Row],[Position Size (shares)]]*3+Tabla1[[#This Row],[Entry Price]]</f>
        <v>17.200000000000003</v>
      </c>
    </row>
    <row r="149" spans="1:20" customFormat="1" hidden="1" x14ac:dyDescent="0.25">
      <c r="A149" t="str">
        <f t="shared" si="24"/>
        <v>T-148</v>
      </c>
      <c r="B149" s="1">
        <v>46150</v>
      </c>
      <c r="C149" t="s">
        <v>225</v>
      </c>
      <c r="D149" t="s">
        <v>28</v>
      </c>
      <c r="E149" t="s">
        <v>119</v>
      </c>
      <c r="F149">
        <v>219.64</v>
      </c>
      <c r="G149">
        <v>218.01</v>
      </c>
      <c r="H149">
        <f>Tabla1[[#This Row],[Entry Price]]-(Tabla1[[#This Row],[Entry Price]]-Tabla1[[#This Row],[Initial Stop]])/2</f>
        <v>218.82499999999999</v>
      </c>
      <c r="I149">
        <v>4</v>
      </c>
      <c r="J149">
        <f t="shared" si="25"/>
        <v>6.5199999999999818</v>
      </c>
      <c r="K149">
        <v>1</v>
      </c>
      <c r="L149">
        <f t="shared" si="20"/>
        <v>6.5199999999999818</v>
      </c>
      <c r="M149" t="s">
        <v>72</v>
      </c>
      <c r="N149">
        <f>SUMIF(Executions!B:B,A149,Executions!H:H)</f>
        <v>-6.8799999999999955</v>
      </c>
      <c r="O149">
        <f t="shared" si="21"/>
        <v>-1.0552147239263827</v>
      </c>
      <c r="P149">
        <f>Tabla1[[#This Row],[Initial Risk $]]/Tabla1[[#This Row],[Position Size (shares)]]+Tabla1[[#This Row],[Entry Price]]</f>
        <v>221.26999999999998</v>
      </c>
      <c r="Q149">
        <f>Tabla1[[#This Row],[Initial Risk $]]/Tabla1[[#This Row],[Position Size (shares)]]*1.5+Tabla1[[#This Row],[Entry Price]]</f>
        <v>222.08499999999998</v>
      </c>
      <c r="R149">
        <f>Tabla1[[#This Row],[Initial Risk $]]/Tabla1[[#This Row],[Position Size (shares)]]*2+Tabla1[[#This Row],[Entry Price]]</f>
        <v>222.89999999999998</v>
      </c>
      <c r="S149">
        <f>Tabla1[[#This Row],[Initial Risk $]]/Tabla1[[#This Row],[Position Size (shares)]]*2.5+Tabla1[[#This Row],[Entry Price]]</f>
        <v>223.71499999999997</v>
      </c>
      <c r="T149">
        <f>Tabla1[[#This Row],[Initial Risk $]]/Tabla1[[#This Row],[Position Size (shares)]]*3+Tabla1[[#This Row],[Entry Price]]</f>
        <v>224.52999999999997</v>
      </c>
    </row>
    <row r="150" spans="1:20" customFormat="1" hidden="1" x14ac:dyDescent="0.25">
      <c r="A150" t="str">
        <f t="shared" si="24"/>
        <v>T-149</v>
      </c>
      <c r="B150" s="1">
        <v>46150</v>
      </c>
      <c r="C150" t="s">
        <v>225</v>
      </c>
      <c r="D150" t="s">
        <v>28</v>
      </c>
      <c r="E150" t="s">
        <v>119</v>
      </c>
      <c r="F150">
        <v>218.3</v>
      </c>
      <c r="G150">
        <v>217.05</v>
      </c>
      <c r="H150">
        <f>Tabla1[[#This Row],[Entry Price]]-(Tabla1[[#This Row],[Entry Price]]-Tabla1[[#This Row],[Initial Stop]])/2</f>
        <v>217.67500000000001</v>
      </c>
      <c r="I150">
        <v>4</v>
      </c>
      <c r="J150">
        <f t="shared" si="25"/>
        <v>5</v>
      </c>
      <c r="K150">
        <v>1</v>
      </c>
      <c r="L150">
        <f t="shared" si="20"/>
        <v>5</v>
      </c>
      <c r="M150" t="s">
        <v>72</v>
      </c>
      <c r="N150">
        <f>SUMIF(Executions!B:B,A150,Executions!H:H)</f>
        <v>-5.2000000000000455</v>
      </c>
      <c r="O150">
        <f t="shared" si="21"/>
        <v>-1.0400000000000091</v>
      </c>
      <c r="P150">
        <f>Tabla1[[#This Row],[Initial Risk $]]/Tabla1[[#This Row],[Position Size (shares)]]+Tabla1[[#This Row],[Entry Price]]</f>
        <v>219.55</v>
      </c>
      <c r="Q150">
        <f>Tabla1[[#This Row],[Initial Risk $]]/Tabla1[[#This Row],[Position Size (shares)]]*1.5+Tabla1[[#This Row],[Entry Price]]</f>
        <v>220.17500000000001</v>
      </c>
      <c r="R150">
        <f>Tabla1[[#This Row],[Initial Risk $]]/Tabla1[[#This Row],[Position Size (shares)]]*2+Tabla1[[#This Row],[Entry Price]]</f>
        <v>220.8</v>
      </c>
      <c r="S150">
        <f>Tabla1[[#This Row],[Initial Risk $]]/Tabla1[[#This Row],[Position Size (shares)]]*2.5+Tabla1[[#This Row],[Entry Price]]</f>
        <v>221.42500000000001</v>
      </c>
      <c r="T150">
        <f>Tabla1[[#This Row],[Initial Risk $]]/Tabla1[[#This Row],[Position Size (shares)]]*3+Tabla1[[#This Row],[Entry Price]]</f>
        <v>222.05</v>
      </c>
    </row>
    <row r="151" spans="1:20" customFormat="1" hidden="1" x14ac:dyDescent="0.25">
      <c r="A151" t="str">
        <f t="shared" si="24"/>
        <v>T-150</v>
      </c>
      <c r="B151" s="1">
        <v>46150</v>
      </c>
      <c r="C151" t="s">
        <v>225</v>
      </c>
      <c r="D151" t="s">
        <v>28</v>
      </c>
      <c r="E151" t="s">
        <v>58</v>
      </c>
      <c r="F151">
        <v>218.92</v>
      </c>
      <c r="G151">
        <v>217.92</v>
      </c>
      <c r="H151">
        <f>Tabla1[[#This Row],[Entry Price]]-(Tabla1[[#This Row],[Entry Price]]-Tabla1[[#This Row],[Initial Stop]])/2</f>
        <v>218.42</v>
      </c>
      <c r="I151">
        <v>4</v>
      </c>
      <c r="J151">
        <f t="shared" si="25"/>
        <v>4</v>
      </c>
      <c r="K151">
        <v>1</v>
      </c>
      <c r="L151">
        <f t="shared" si="20"/>
        <v>4</v>
      </c>
      <c r="M151" t="s">
        <v>72</v>
      </c>
      <c r="N151">
        <f>SUMIF(Executions!B:B,A151,Executions!H:H)</f>
        <v>-4.4799999999999045</v>
      </c>
      <c r="O151">
        <f t="shared" si="21"/>
        <v>-1.1199999999999761</v>
      </c>
      <c r="P151">
        <f>Tabla1[[#This Row],[Initial Risk $]]/Tabla1[[#This Row],[Position Size (shares)]]+Tabla1[[#This Row],[Entry Price]]</f>
        <v>219.92</v>
      </c>
      <c r="Q151">
        <f>Tabla1[[#This Row],[Initial Risk $]]/Tabla1[[#This Row],[Position Size (shares)]]*1.5+Tabla1[[#This Row],[Entry Price]]</f>
        <v>220.42</v>
      </c>
      <c r="R151">
        <f>Tabla1[[#This Row],[Initial Risk $]]/Tabla1[[#This Row],[Position Size (shares)]]*2+Tabla1[[#This Row],[Entry Price]]</f>
        <v>220.92</v>
      </c>
      <c r="S151">
        <f>Tabla1[[#This Row],[Initial Risk $]]/Tabla1[[#This Row],[Position Size (shares)]]*2.5+Tabla1[[#This Row],[Entry Price]]</f>
        <v>221.42</v>
      </c>
      <c r="T151">
        <f>Tabla1[[#This Row],[Initial Risk $]]/Tabla1[[#This Row],[Position Size (shares)]]*3+Tabla1[[#This Row],[Entry Price]]</f>
        <v>221.92</v>
      </c>
    </row>
    <row r="152" spans="1:20" customFormat="1" hidden="1" x14ac:dyDescent="0.25">
      <c r="A152" t="str">
        <f t="shared" ref="A152:A159" si="26">"T-"&amp; TEXT(ROW()-1,"000")</f>
        <v>T-151</v>
      </c>
      <c r="B152" s="1">
        <v>46153</v>
      </c>
      <c r="C152" t="s">
        <v>225</v>
      </c>
      <c r="D152" t="s">
        <v>28</v>
      </c>
      <c r="E152" t="s">
        <v>58</v>
      </c>
      <c r="F152">
        <v>232</v>
      </c>
      <c r="G152">
        <v>231</v>
      </c>
      <c r="H152">
        <f>Tabla1[[#This Row],[Entry Price]]-(Tabla1[[#This Row],[Entry Price]]-Tabla1[[#This Row],[Initial Stop]])/2</f>
        <v>231.5</v>
      </c>
      <c r="I152">
        <v>4</v>
      </c>
      <c r="J152">
        <f t="shared" ref="J152:J159" si="27">IF(D152="Long",(F152-G152)*I152,(G152-F152)*0)</f>
        <v>4</v>
      </c>
      <c r="K152">
        <v>1</v>
      </c>
      <c r="L152">
        <f t="shared" si="20"/>
        <v>4</v>
      </c>
      <c r="M152" t="s">
        <v>72</v>
      </c>
      <c r="N152">
        <f>SUMIF(Executions!B:B,A152,Executions!H:H)</f>
        <v>26.559999999999945</v>
      </c>
      <c r="O152">
        <f t="shared" si="21"/>
        <v>6.6399999999999864</v>
      </c>
      <c r="P152">
        <f>Tabla1[[#This Row],[Initial Risk $]]/Tabla1[[#This Row],[Position Size (shares)]]+Tabla1[[#This Row],[Entry Price]]</f>
        <v>233</v>
      </c>
      <c r="Q152">
        <f>Tabla1[[#This Row],[Initial Risk $]]/Tabla1[[#This Row],[Position Size (shares)]]*1.5+Tabla1[[#This Row],[Entry Price]]</f>
        <v>233.5</v>
      </c>
      <c r="R152">
        <f>Tabla1[[#This Row],[Initial Risk $]]/Tabla1[[#This Row],[Position Size (shares)]]*2+Tabla1[[#This Row],[Entry Price]]</f>
        <v>234</v>
      </c>
      <c r="S152">
        <f>Tabla1[[#This Row],[Initial Risk $]]/Tabla1[[#This Row],[Position Size (shares)]]*2.5+Tabla1[[#This Row],[Entry Price]]</f>
        <v>234.5</v>
      </c>
      <c r="T152">
        <f>Tabla1[[#This Row],[Initial Risk $]]/Tabla1[[#This Row],[Position Size (shares)]]*3+Tabla1[[#This Row],[Entry Price]]</f>
        <v>235</v>
      </c>
    </row>
    <row r="153" spans="1:20" customFormat="1" hidden="1" x14ac:dyDescent="0.25">
      <c r="A153" t="str">
        <f t="shared" si="26"/>
        <v>T-152</v>
      </c>
      <c r="B153" s="1">
        <v>46153</v>
      </c>
      <c r="C153" t="s">
        <v>225</v>
      </c>
      <c r="D153" t="s">
        <v>28</v>
      </c>
      <c r="E153" t="s">
        <v>58</v>
      </c>
      <c r="F153">
        <v>240.53</v>
      </c>
      <c r="G153">
        <v>238.53</v>
      </c>
      <c r="H153">
        <f>Tabla1[[#This Row],[Entry Price]]-(Tabla1[[#This Row],[Entry Price]]-Tabla1[[#This Row],[Initial Stop]])/2</f>
        <v>239.53</v>
      </c>
      <c r="I153">
        <v>4</v>
      </c>
      <c r="J153">
        <f t="shared" si="27"/>
        <v>8</v>
      </c>
      <c r="K153">
        <v>1</v>
      </c>
      <c r="L153">
        <f t="shared" si="20"/>
        <v>8</v>
      </c>
      <c r="M153" t="s">
        <v>72</v>
      </c>
      <c r="N153">
        <f>SUMIF(Executions!B:B,A153,Executions!H:H)</f>
        <v>-8.5600000000000591</v>
      </c>
      <c r="O153">
        <f t="shared" si="21"/>
        <v>-1.0700000000000074</v>
      </c>
      <c r="P153">
        <f>Tabla1[[#This Row],[Initial Risk $]]/Tabla1[[#This Row],[Position Size (shares)]]+Tabla1[[#This Row],[Entry Price]]</f>
        <v>242.53</v>
      </c>
      <c r="Q153">
        <f>Tabla1[[#This Row],[Initial Risk $]]/Tabla1[[#This Row],[Position Size (shares)]]*1.5+Tabla1[[#This Row],[Entry Price]]</f>
        <v>243.53</v>
      </c>
      <c r="R153">
        <f>Tabla1[[#This Row],[Initial Risk $]]/Tabla1[[#This Row],[Position Size (shares)]]*2+Tabla1[[#This Row],[Entry Price]]</f>
        <v>244.53</v>
      </c>
      <c r="S153">
        <f>Tabla1[[#This Row],[Initial Risk $]]/Tabla1[[#This Row],[Position Size (shares)]]*2.5+Tabla1[[#This Row],[Entry Price]]</f>
        <v>245.53</v>
      </c>
      <c r="T153">
        <f>Tabla1[[#This Row],[Initial Risk $]]/Tabla1[[#This Row],[Position Size (shares)]]*3+Tabla1[[#This Row],[Entry Price]]</f>
        <v>246.53</v>
      </c>
    </row>
    <row r="154" spans="1:20" customFormat="1" hidden="1" x14ac:dyDescent="0.25">
      <c r="A154" t="str">
        <f t="shared" si="26"/>
        <v>T-153</v>
      </c>
      <c r="B154" s="1">
        <v>46153</v>
      </c>
      <c r="C154" t="s">
        <v>317</v>
      </c>
      <c r="D154" t="s">
        <v>28</v>
      </c>
      <c r="E154" t="s">
        <v>58</v>
      </c>
      <c r="F154">
        <v>56.37</v>
      </c>
      <c r="G154">
        <v>55.16</v>
      </c>
      <c r="H154">
        <f>Tabla1[[#This Row],[Entry Price]]-(Tabla1[[#This Row],[Entry Price]]-Tabla1[[#This Row],[Initial Stop]])/2</f>
        <v>55.765000000000001</v>
      </c>
      <c r="I154">
        <v>5</v>
      </c>
      <c r="J154">
        <f t="shared" si="27"/>
        <v>6.0500000000000043</v>
      </c>
      <c r="K154">
        <v>1</v>
      </c>
      <c r="L154">
        <f t="shared" si="20"/>
        <v>6.0500000000000043</v>
      </c>
      <c r="M154" t="s">
        <v>72</v>
      </c>
      <c r="N154">
        <f>SUMIF(Executions!B:B,A154,Executions!H:H)</f>
        <v>-6.25</v>
      </c>
      <c r="O154">
        <f t="shared" si="21"/>
        <v>-1.0330578512396686</v>
      </c>
      <c r="P154">
        <f>Tabla1[[#This Row],[Initial Risk $]]/Tabla1[[#This Row],[Position Size (shares)]]+Tabla1[[#This Row],[Entry Price]]</f>
        <v>57.58</v>
      </c>
      <c r="Q154">
        <f>Tabla1[[#This Row],[Initial Risk $]]/Tabla1[[#This Row],[Position Size (shares)]]*1.5+Tabla1[[#This Row],[Entry Price]]</f>
        <v>58.185000000000002</v>
      </c>
      <c r="R154">
        <f>Tabla1[[#This Row],[Initial Risk $]]/Tabla1[[#This Row],[Position Size (shares)]]*2+Tabla1[[#This Row],[Entry Price]]</f>
        <v>58.79</v>
      </c>
      <c r="S154">
        <f>Tabla1[[#This Row],[Initial Risk $]]/Tabla1[[#This Row],[Position Size (shares)]]*2.5+Tabla1[[#This Row],[Entry Price]]</f>
        <v>59.394999999999996</v>
      </c>
      <c r="T154">
        <f>Tabla1[[#This Row],[Initial Risk $]]/Tabla1[[#This Row],[Position Size (shares)]]*3+Tabla1[[#This Row],[Entry Price]]</f>
        <v>60</v>
      </c>
    </row>
    <row r="155" spans="1:20" customFormat="1" hidden="1" x14ac:dyDescent="0.25">
      <c r="A155" t="str">
        <f t="shared" si="26"/>
        <v>T-154</v>
      </c>
      <c r="B155" s="1">
        <v>46153</v>
      </c>
      <c r="C155" t="s">
        <v>279</v>
      </c>
      <c r="D155" t="s">
        <v>28</v>
      </c>
      <c r="E155" t="s">
        <v>58</v>
      </c>
      <c r="F155">
        <v>770.31</v>
      </c>
      <c r="G155">
        <v>768.31</v>
      </c>
      <c r="H155">
        <f>Tabla1[[#This Row],[Entry Price]]-(Tabla1[[#This Row],[Entry Price]]-Tabla1[[#This Row],[Initial Stop]])/2</f>
        <v>769.31</v>
      </c>
      <c r="I155">
        <v>2</v>
      </c>
      <c r="J155">
        <f t="shared" si="27"/>
        <v>4</v>
      </c>
      <c r="K155">
        <v>1</v>
      </c>
      <c r="L155">
        <f t="shared" si="20"/>
        <v>4</v>
      </c>
      <c r="M155" t="s">
        <v>72</v>
      </c>
      <c r="N155">
        <f>SUMIF(Executions!B:B,A155,Executions!H:H)</f>
        <v>7.9000000000000909</v>
      </c>
      <c r="O155">
        <f t="shared" si="21"/>
        <v>1.9750000000000227</v>
      </c>
      <c r="P155">
        <f>Tabla1[[#This Row],[Initial Risk $]]/Tabla1[[#This Row],[Position Size (shares)]]+Tabla1[[#This Row],[Entry Price]]</f>
        <v>772.31</v>
      </c>
      <c r="Q155">
        <f>Tabla1[[#This Row],[Initial Risk $]]/Tabla1[[#This Row],[Position Size (shares)]]*1.5+Tabla1[[#This Row],[Entry Price]]</f>
        <v>773.31</v>
      </c>
      <c r="R155">
        <f>Tabla1[[#This Row],[Initial Risk $]]/Tabla1[[#This Row],[Position Size (shares)]]*2+Tabla1[[#This Row],[Entry Price]]</f>
        <v>774.31</v>
      </c>
      <c r="S155">
        <f>Tabla1[[#This Row],[Initial Risk $]]/Tabla1[[#This Row],[Position Size (shares)]]*2.5+Tabla1[[#This Row],[Entry Price]]</f>
        <v>775.31</v>
      </c>
      <c r="T155">
        <f>Tabla1[[#This Row],[Initial Risk $]]/Tabla1[[#This Row],[Position Size (shares)]]*3+Tabla1[[#This Row],[Entry Price]]</f>
        <v>776.31</v>
      </c>
    </row>
    <row r="156" spans="1:20" customFormat="1" hidden="1" x14ac:dyDescent="0.25">
      <c r="A156" t="str">
        <f t="shared" si="26"/>
        <v>T-155</v>
      </c>
      <c r="B156" s="1">
        <v>46153</v>
      </c>
      <c r="C156" t="s">
        <v>279</v>
      </c>
      <c r="D156" t="s">
        <v>28</v>
      </c>
      <c r="E156" t="s">
        <v>58</v>
      </c>
      <c r="F156">
        <v>787.07</v>
      </c>
      <c r="G156">
        <v>784.07</v>
      </c>
      <c r="H156">
        <f>Tabla1[[#This Row],[Entry Price]]-(Tabla1[[#This Row],[Entry Price]]-Tabla1[[#This Row],[Initial Stop]])/2</f>
        <v>785.57</v>
      </c>
      <c r="I156">
        <v>2</v>
      </c>
      <c r="J156">
        <f t="shared" si="27"/>
        <v>6</v>
      </c>
      <c r="K156">
        <v>1</v>
      </c>
      <c r="L156">
        <f t="shared" si="20"/>
        <v>6</v>
      </c>
      <c r="M156" t="s">
        <v>72</v>
      </c>
      <c r="N156">
        <f>SUMIF(Executions!B:B,A156,Executions!H:H)</f>
        <v>-6.0800000000001546</v>
      </c>
      <c r="O156">
        <f t="shared" si="21"/>
        <v>-1.0133333333333592</v>
      </c>
      <c r="P156">
        <f>Tabla1[[#This Row],[Initial Risk $]]/Tabla1[[#This Row],[Position Size (shares)]]+Tabla1[[#This Row],[Entry Price]]</f>
        <v>790.07</v>
      </c>
      <c r="Q156">
        <f>Tabla1[[#This Row],[Initial Risk $]]/Tabla1[[#This Row],[Position Size (shares)]]*1.5+Tabla1[[#This Row],[Entry Price]]</f>
        <v>791.57</v>
      </c>
      <c r="R156">
        <f>Tabla1[[#This Row],[Initial Risk $]]/Tabla1[[#This Row],[Position Size (shares)]]*2+Tabla1[[#This Row],[Entry Price]]</f>
        <v>793.07</v>
      </c>
      <c r="S156">
        <f>Tabla1[[#This Row],[Initial Risk $]]/Tabla1[[#This Row],[Position Size (shares)]]*2.5+Tabla1[[#This Row],[Entry Price]]</f>
        <v>794.57</v>
      </c>
      <c r="T156">
        <f>Tabla1[[#This Row],[Initial Risk $]]/Tabla1[[#This Row],[Position Size (shares)]]*3+Tabla1[[#This Row],[Entry Price]]</f>
        <v>796.07</v>
      </c>
    </row>
    <row r="157" spans="1:20" customFormat="1" hidden="1" x14ac:dyDescent="0.25">
      <c r="A157" t="str">
        <f t="shared" si="26"/>
        <v>T-156</v>
      </c>
      <c r="B157" s="1">
        <v>46153</v>
      </c>
      <c r="C157" t="s">
        <v>279</v>
      </c>
      <c r="D157" t="s">
        <v>28</v>
      </c>
      <c r="E157" t="s">
        <v>58</v>
      </c>
      <c r="F157">
        <v>788.75</v>
      </c>
      <c r="G157">
        <v>783.41</v>
      </c>
      <c r="H157">
        <f>Tabla1[[#This Row],[Entry Price]]-(Tabla1[[#This Row],[Entry Price]]-Tabla1[[#This Row],[Initial Stop]])/2</f>
        <v>786.07999999999993</v>
      </c>
      <c r="I157">
        <v>2</v>
      </c>
      <c r="J157">
        <f t="shared" si="27"/>
        <v>10.680000000000064</v>
      </c>
      <c r="K157">
        <v>1</v>
      </c>
      <c r="L157">
        <f t="shared" si="20"/>
        <v>10.680000000000064</v>
      </c>
      <c r="M157" t="s">
        <v>72</v>
      </c>
      <c r="N157">
        <f>SUMIF(Executions!B:B,A157,Executions!H:H)</f>
        <v>-10.680000000000064</v>
      </c>
      <c r="O157">
        <f t="shared" si="21"/>
        <v>-1</v>
      </c>
      <c r="P157">
        <f>Tabla1[[#This Row],[Initial Risk $]]/Tabla1[[#This Row],[Position Size (shares)]]+Tabla1[[#This Row],[Entry Price]]</f>
        <v>794.09</v>
      </c>
      <c r="Q157">
        <f>Tabla1[[#This Row],[Initial Risk $]]/Tabla1[[#This Row],[Position Size (shares)]]*1.5+Tabla1[[#This Row],[Entry Price]]</f>
        <v>796.76</v>
      </c>
      <c r="R157">
        <f>Tabla1[[#This Row],[Initial Risk $]]/Tabla1[[#This Row],[Position Size (shares)]]*2+Tabla1[[#This Row],[Entry Price]]</f>
        <v>799.43000000000006</v>
      </c>
      <c r="S157">
        <f>Tabla1[[#This Row],[Initial Risk $]]/Tabla1[[#This Row],[Position Size (shares)]]*2.5+Tabla1[[#This Row],[Entry Price]]</f>
        <v>802.10000000000014</v>
      </c>
      <c r="T157">
        <f>Tabla1[[#This Row],[Initial Risk $]]/Tabla1[[#This Row],[Position Size (shares)]]*3+Tabla1[[#This Row],[Entry Price]]</f>
        <v>804.7700000000001</v>
      </c>
    </row>
    <row r="158" spans="1:20" customFormat="1" hidden="1" x14ac:dyDescent="0.25">
      <c r="A158" t="str">
        <f t="shared" si="26"/>
        <v>T-157</v>
      </c>
      <c r="B158" s="1">
        <v>46153</v>
      </c>
      <c r="C158" t="s">
        <v>225</v>
      </c>
      <c r="D158" t="s">
        <v>28</v>
      </c>
      <c r="E158" t="s">
        <v>58</v>
      </c>
      <c r="F158">
        <v>235.82</v>
      </c>
      <c r="G158">
        <v>231.84</v>
      </c>
      <c r="H158">
        <f>Tabla1[[#This Row],[Entry Price]]-(Tabla1[[#This Row],[Entry Price]]-Tabla1[[#This Row],[Initial Stop]])/2</f>
        <v>233.82999999999998</v>
      </c>
      <c r="I158">
        <v>2</v>
      </c>
      <c r="J158">
        <f t="shared" si="27"/>
        <v>7.9599999999999795</v>
      </c>
      <c r="K158">
        <v>1</v>
      </c>
      <c r="L158">
        <f t="shared" si="20"/>
        <v>7.9599999999999795</v>
      </c>
      <c r="M158" t="s">
        <v>72</v>
      </c>
      <c r="N158">
        <f>SUMIF(Executions!B:B,A158,Executions!H:H)</f>
        <v>-8.1999999999999886</v>
      </c>
      <c r="O158">
        <f t="shared" si="21"/>
        <v>-1.0301507537688455</v>
      </c>
      <c r="P158">
        <f>Tabla1[[#This Row],[Initial Risk $]]/Tabla1[[#This Row],[Position Size (shares)]]+Tabla1[[#This Row],[Entry Price]]</f>
        <v>239.79999999999998</v>
      </c>
      <c r="Q158">
        <f>Tabla1[[#This Row],[Initial Risk $]]/Tabla1[[#This Row],[Position Size (shares)]]*1.5+Tabla1[[#This Row],[Entry Price]]</f>
        <v>241.78999999999996</v>
      </c>
      <c r="R158">
        <f>Tabla1[[#This Row],[Initial Risk $]]/Tabla1[[#This Row],[Position Size (shares)]]*2+Tabla1[[#This Row],[Entry Price]]</f>
        <v>243.77999999999997</v>
      </c>
      <c r="S158">
        <f>Tabla1[[#This Row],[Initial Risk $]]/Tabla1[[#This Row],[Position Size (shares)]]*2.5+Tabla1[[#This Row],[Entry Price]]</f>
        <v>245.76999999999998</v>
      </c>
      <c r="T158">
        <f>Tabla1[[#This Row],[Initial Risk $]]/Tabla1[[#This Row],[Position Size (shares)]]*3+Tabla1[[#This Row],[Entry Price]]</f>
        <v>247.75999999999996</v>
      </c>
    </row>
    <row r="159" spans="1:20" customFormat="1" hidden="1" x14ac:dyDescent="0.25">
      <c r="A159" t="str">
        <f t="shared" si="26"/>
        <v>T-158</v>
      </c>
      <c r="B159" s="1">
        <v>46153</v>
      </c>
      <c r="C159" t="s">
        <v>323</v>
      </c>
      <c r="D159" t="s">
        <v>28</v>
      </c>
      <c r="E159" t="s">
        <v>60</v>
      </c>
      <c r="F159">
        <v>14.64</v>
      </c>
      <c r="G159">
        <v>14.24</v>
      </c>
      <c r="H159">
        <f>Tabla1[[#This Row],[Entry Price]]-(Tabla1[[#This Row],[Entry Price]]-Tabla1[[#This Row],[Initial Stop]])/2</f>
        <v>14.440000000000001</v>
      </c>
      <c r="I159">
        <v>10</v>
      </c>
      <c r="J159">
        <f t="shared" si="27"/>
        <v>4.0000000000000036</v>
      </c>
      <c r="K159">
        <v>1</v>
      </c>
      <c r="L159">
        <f t="shared" si="20"/>
        <v>4.0000000000000036</v>
      </c>
      <c r="M159" t="s">
        <v>72</v>
      </c>
      <c r="N159">
        <f>SUMIF(Executions!B:B,A159,Executions!H:H)</f>
        <v>-4.0000000000000036</v>
      </c>
      <c r="O159">
        <f t="shared" si="21"/>
        <v>-1</v>
      </c>
      <c r="P159">
        <f>Tabla1[[#This Row],[Initial Risk $]]/Tabla1[[#This Row],[Position Size (shares)]]+Tabla1[[#This Row],[Entry Price]]</f>
        <v>15.040000000000001</v>
      </c>
      <c r="Q159">
        <f>Tabla1[[#This Row],[Initial Risk $]]/Tabla1[[#This Row],[Position Size (shares)]]*1.5+Tabla1[[#This Row],[Entry Price]]</f>
        <v>15.240000000000002</v>
      </c>
      <c r="R159">
        <f>Tabla1[[#This Row],[Initial Risk $]]/Tabla1[[#This Row],[Position Size (shares)]]*2+Tabla1[[#This Row],[Entry Price]]</f>
        <v>15.440000000000001</v>
      </c>
      <c r="S159">
        <f>Tabla1[[#This Row],[Initial Risk $]]/Tabla1[[#This Row],[Position Size (shares)]]*2.5+Tabla1[[#This Row],[Entry Price]]</f>
        <v>15.64</v>
      </c>
      <c r="T159">
        <f>Tabla1[[#This Row],[Initial Risk $]]/Tabla1[[#This Row],[Position Size (shares)]]*3+Tabla1[[#This Row],[Entry Price]]</f>
        <v>15.840000000000002</v>
      </c>
    </row>
    <row r="160" spans="1:20" customFormat="1" hidden="1" x14ac:dyDescent="0.25">
      <c r="A160" t="str">
        <f t="shared" ref="A160:A168" si="28">"T-"&amp; TEXT(ROW()-1,"000")</f>
        <v>T-159</v>
      </c>
      <c r="B160" s="1">
        <v>46154</v>
      </c>
      <c r="C160" t="s">
        <v>325</v>
      </c>
      <c r="D160" t="s">
        <v>28</v>
      </c>
      <c r="E160" t="s">
        <v>51</v>
      </c>
      <c r="F160">
        <v>245.5</v>
      </c>
      <c r="G160">
        <v>243.59</v>
      </c>
      <c r="H160">
        <f>Tabla1[[#This Row],[Entry Price]]-(Tabla1[[#This Row],[Entry Price]]-Tabla1[[#This Row],[Initial Stop]])/2</f>
        <v>244.54500000000002</v>
      </c>
      <c r="I160">
        <v>4</v>
      </c>
      <c r="J160">
        <f t="shared" ref="J160:J168" si="29">IF(D160="Long",(F160-G160)*I160,(G160-F160)*0)</f>
        <v>7.6399999999999864</v>
      </c>
      <c r="K160">
        <v>1</v>
      </c>
      <c r="L160">
        <f t="shared" si="20"/>
        <v>7.6399999999999864</v>
      </c>
      <c r="M160" t="s">
        <v>72</v>
      </c>
      <c r="N160">
        <f>SUMIF(Executions!B:B,A160,Executions!H:H)</f>
        <v>-7.6399999999999864</v>
      </c>
      <c r="O160">
        <f t="shared" si="21"/>
        <v>-1</v>
      </c>
      <c r="P160">
        <f>Tabla1[[#This Row],[Initial Risk $]]/Tabla1[[#This Row],[Position Size (shares)]]+Tabla1[[#This Row],[Entry Price]]</f>
        <v>247.41</v>
      </c>
      <c r="Q160">
        <f>Tabla1[[#This Row],[Initial Risk $]]/Tabla1[[#This Row],[Position Size (shares)]]*1.5+Tabla1[[#This Row],[Entry Price]]</f>
        <v>248.36500000000001</v>
      </c>
      <c r="R160">
        <f>Tabla1[[#This Row],[Initial Risk $]]/Tabla1[[#This Row],[Position Size (shares)]]*2+Tabla1[[#This Row],[Entry Price]]</f>
        <v>249.32</v>
      </c>
      <c r="S160">
        <f>Tabla1[[#This Row],[Initial Risk $]]/Tabla1[[#This Row],[Position Size (shares)]]*2.5+Tabla1[[#This Row],[Entry Price]]</f>
        <v>250.27499999999998</v>
      </c>
      <c r="T160">
        <f>Tabla1[[#This Row],[Initial Risk $]]/Tabla1[[#This Row],[Position Size (shares)]]*3+Tabla1[[#This Row],[Entry Price]]</f>
        <v>251.23</v>
      </c>
    </row>
    <row r="161" spans="1:20" customFormat="1" hidden="1" x14ac:dyDescent="0.25">
      <c r="A161" t="str">
        <f t="shared" si="28"/>
        <v>T-160</v>
      </c>
      <c r="B161" s="1">
        <v>46154</v>
      </c>
      <c r="C161" t="s">
        <v>326</v>
      </c>
      <c r="D161" t="s">
        <v>28</v>
      </c>
      <c r="E161" t="s">
        <v>58</v>
      </c>
      <c r="F161">
        <v>99.69</v>
      </c>
      <c r="G161">
        <v>98.68</v>
      </c>
      <c r="H161">
        <f>Tabla1[[#This Row],[Entry Price]]-(Tabla1[[#This Row],[Entry Price]]-Tabla1[[#This Row],[Initial Stop]])/2</f>
        <v>99.185000000000002</v>
      </c>
      <c r="I161">
        <v>4</v>
      </c>
      <c r="J161">
        <f t="shared" si="29"/>
        <v>4.0399999999999636</v>
      </c>
      <c r="K161">
        <v>1</v>
      </c>
      <c r="L161">
        <f t="shared" si="20"/>
        <v>4.0399999999999636</v>
      </c>
      <c r="M161" t="s">
        <v>72</v>
      </c>
      <c r="N161">
        <f>SUMIF(Executions!B:B,A161,Executions!H:H)</f>
        <v>-4.0399999999999636</v>
      </c>
      <c r="O161">
        <f t="shared" si="21"/>
        <v>-1</v>
      </c>
      <c r="P161">
        <f>Tabla1[[#This Row],[Initial Risk $]]/Tabla1[[#This Row],[Position Size (shares)]]+Tabla1[[#This Row],[Entry Price]]</f>
        <v>100.69999999999999</v>
      </c>
      <c r="Q161">
        <f>Tabla1[[#This Row],[Initial Risk $]]/Tabla1[[#This Row],[Position Size (shares)]]*1.5+Tabla1[[#This Row],[Entry Price]]</f>
        <v>101.20499999999998</v>
      </c>
      <c r="R161">
        <f>Tabla1[[#This Row],[Initial Risk $]]/Tabla1[[#This Row],[Position Size (shares)]]*2+Tabla1[[#This Row],[Entry Price]]</f>
        <v>101.70999999999998</v>
      </c>
      <c r="S161">
        <f>Tabla1[[#This Row],[Initial Risk $]]/Tabla1[[#This Row],[Position Size (shares)]]*2.5+Tabla1[[#This Row],[Entry Price]]</f>
        <v>102.21499999999997</v>
      </c>
      <c r="T161">
        <f>Tabla1[[#This Row],[Initial Risk $]]/Tabla1[[#This Row],[Position Size (shares)]]*3+Tabla1[[#This Row],[Entry Price]]</f>
        <v>102.71999999999997</v>
      </c>
    </row>
    <row r="162" spans="1:20" customFormat="1" hidden="1" x14ac:dyDescent="0.25">
      <c r="A162" t="str">
        <f t="shared" si="28"/>
        <v>T-161</v>
      </c>
      <c r="B162" s="1">
        <v>46154</v>
      </c>
      <c r="C162" t="s">
        <v>327</v>
      </c>
      <c r="D162" t="s">
        <v>28</v>
      </c>
      <c r="E162" t="s">
        <v>119</v>
      </c>
      <c r="F162">
        <v>178.41</v>
      </c>
      <c r="G162">
        <v>173.75</v>
      </c>
      <c r="H162">
        <f>Tabla1[[#This Row],[Entry Price]]-(Tabla1[[#This Row],[Entry Price]]-Tabla1[[#This Row],[Initial Stop]])/2</f>
        <v>176.07999999999998</v>
      </c>
      <c r="I162">
        <v>2</v>
      </c>
      <c r="J162">
        <f t="shared" si="29"/>
        <v>9.3199999999999932</v>
      </c>
      <c r="K162">
        <v>1</v>
      </c>
      <c r="L162">
        <f t="shared" si="20"/>
        <v>9.3199999999999932</v>
      </c>
      <c r="M162" t="s">
        <v>72</v>
      </c>
      <c r="N162">
        <f>SUMIF(Executions!B:B,A162,Executions!H:H)</f>
        <v>-8.1800000000000068</v>
      </c>
      <c r="O162">
        <f t="shared" si="21"/>
        <v>-0.87768240343347781</v>
      </c>
      <c r="P162">
        <f>Tabla1[[#This Row],[Initial Risk $]]/Tabla1[[#This Row],[Position Size (shares)]]+Tabla1[[#This Row],[Entry Price]]</f>
        <v>183.07</v>
      </c>
      <c r="Q162">
        <f>Tabla1[[#This Row],[Initial Risk $]]/Tabla1[[#This Row],[Position Size (shares)]]*1.5+Tabla1[[#This Row],[Entry Price]]</f>
        <v>185.39999999999998</v>
      </c>
      <c r="R162">
        <f>Tabla1[[#This Row],[Initial Risk $]]/Tabla1[[#This Row],[Position Size (shares)]]*2+Tabla1[[#This Row],[Entry Price]]</f>
        <v>187.73</v>
      </c>
      <c r="S162">
        <f>Tabla1[[#This Row],[Initial Risk $]]/Tabla1[[#This Row],[Position Size (shares)]]*2.5+Tabla1[[#This Row],[Entry Price]]</f>
        <v>190.06</v>
      </c>
      <c r="T162">
        <f>Tabla1[[#This Row],[Initial Risk $]]/Tabla1[[#This Row],[Position Size (shares)]]*3+Tabla1[[#This Row],[Entry Price]]</f>
        <v>192.39</v>
      </c>
    </row>
    <row r="163" spans="1:20" customFormat="1" hidden="1" x14ac:dyDescent="0.25">
      <c r="A163" t="str">
        <f t="shared" si="28"/>
        <v>T-162</v>
      </c>
      <c r="B163" s="1">
        <v>46154</v>
      </c>
      <c r="C163" t="s">
        <v>328</v>
      </c>
      <c r="D163" t="s">
        <v>28</v>
      </c>
      <c r="E163" t="s">
        <v>51</v>
      </c>
      <c r="F163">
        <v>12.72</v>
      </c>
      <c r="G163">
        <v>12.64</v>
      </c>
      <c r="H163">
        <f>Tabla1[[#This Row],[Entry Price]]-(Tabla1[[#This Row],[Entry Price]]-Tabla1[[#This Row],[Initial Stop]])/2</f>
        <v>12.68</v>
      </c>
      <c r="I163">
        <v>20</v>
      </c>
      <c r="J163">
        <f t="shared" si="29"/>
        <v>1.6000000000000014</v>
      </c>
      <c r="K163">
        <v>1</v>
      </c>
      <c r="L163">
        <f t="shared" si="20"/>
        <v>1.6000000000000014</v>
      </c>
      <c r="M163" t="s">
        <v>72</v>
      </c>
      <c r="N163">
        <f>SUMIF(Executions!B:B,A163,Executions!H:H)</f>
        <v>-1.6000000000000014</v>
      </c>
      <c r="O163">
        <f t="shared" si="21"/>
        <v>-1</v>
      </c>
      <c r="P163">
        <f>Tabla1[[#This Row],[Initial Risk $]]/Tabla1[[#This Row],[Position Size (shares)]]+Tabla1[[#This Row],[Entry Price]]</f>
        <v>12.8</v>
      </c>
      <c r="Q163">
        <f>Tabla1[[#This Row],[Initial Risk $]]/Tabla1[[#This Row],[Position Size (shares)]]*1.5+Tabla1[[#This Row],[Entry Price]]</f>
        <v>12.84</v>
      </c>
      <c r="R163">
        <f>Tabla1[[#This Row],[Initial Risk $]]/Tabla1[[#This Row],[Position Size (shares)]]*2+Tabla1[[#This Row],[Entry Price]]</f>
        <v>12.88</v>
      </c>
      <c r="S163">
        <f>Tabla1[[#This Row],[Initial Risk $]]/Tabla1[[#This Row],[Position Size (shares)]]*2.5+Tabla1[[#This Row],[Entry Price]]</f>
        <v>12.920000000000002</v>
      </c>
      <c r="T163">
        <f>Tabla1[[#This Row],[Initial Risk $]]/Tabla1[[#This Row],[Position Size (shares)]]*3+Tabla1[[#This Row],[Entry Price]]</f>
        <v>12.96</v>
      </c>
    </row>
    <row r="164" spans="1:20" customFormat="1" hidden="1" x14ac:dyDescent="0.25">
      <c r="A164" t="str">
        <f t="shared" si="28"/>
        <v>T-163</v>
      </c>
      <c r="B164" s="1">
        <v>46154</v>
      </c>
      <c r="C164" t="s">
        <v>325</v>
      </c>
      <c r="D164" t="s">
        <v>28</v>
      </c>
      <c r="E164" t="s">
        <v>51</v>
      </c>
      <c r="F164">
        <v>245.48</v>
      </c>
      <c r="G164">
        <v>243.48</v>
      </c>
      <c r="H164">
        <f>Tabla1[[#This Row],[Entry Price]]-(Tabla1[[#This Row],[Entry Price]]-Tabla1[[#This Row],[Initial Stop]])/2</f>
        <v>244.48</v>
      </c>
      <c r="I164">
        <v>4</v>
      </c>
      <c r="J164">
        <f t="shared" si="29"/>
        <v>8</v>
      </c>
      <c r="K164">
        <v>1</v>
      </c>
      <c r="L164">
        <f t="shared" si="20"/>
        <v>8</v>
      </c>
      <c r="M164" t="s">
        <v>72</v>
      </c>
      <c r="N164">
        <f>SUMIF(Executions!B:B,A164,Executions!H:H)</f>
        <v>52.840000000000032</v>
      </c>
      <c r="O164">
        <f t="shared" si="21"/>
        <v>6.605000000000004</v>
      </c>
      <c r="P164">
        <f>Tabla1[[#This Row],[Initial Risk $]]/Tabla1[[#This Row],[Position Size (shares)]]+Tabla1[[#This Row],[Entry Price]]</f>
        <v>247.48</v>
      </c>
      <c r="Q164">
        <f>Tabla1[[#This Row],[Initial Risk $]]/Tabla1[[#This Row],[Position Size (shares)]]*1.5+Tabla1[[#This Row],[Entry Price]]</f>
        <v>248.48</v>
      </c>
      <c r="R164">
        <f>Tabla1[[#This Row],[Initial Risk $]]/Tabla1[[#This Row],[Position Size (shares)]]*2+Tabla1[[#This Row],[Entry Price]]</f>
        <v>249.48</v>
      </c>
      <c r="S164">
        <f>Tabla1[[#This Row],[Initial Risk $]]/Tabla1[[#This Row],[Position Size (shares)]]*2.5+Tabla1[[#This Row],[Entry Price]]</f>
        <v>250.48</v>
      </c>
      <c r="T164">
        <f>Tabla1[[#This Row],[Initial Risk $]]/Tabla1[[#This Row],[Position Size (shares)]]*3+Tabla1[[#This Row],[Entry Price]]</f>
        <v>251.48</v>
      </c>
    </row>
    <row r="165" spans="1:20" customFormat="1" hidden="1" x14ac:dyDescent="0.25">
      <c r="A165" t="str">
        <f t="shared" si="28"/>
        <v>T-164</v>
      </c>
      <c r="B165" s="1">
        <v>46154</v>
      </c>
      <c r="C165" t="s">
        <v>279</v>
      </c>
      <c r="D165" t="s">
        <v>28</v>
      </c>
      <c r="E165" t="s">
        <v>58</v>
      </c>
      <c r="F165">
        <v>773.49</v>
      </c>
      <c r="G165">
        <v>767.49</v>
      </c>
      <c r="H165">
        <f>Tabla1[[#This Row],[Entry Price]]-(Tabla1[[#This Row],[Entry Price]]-Tabla1[[#This Row],[Initial Stop]])/2</f>
        <v>770.49</v>
      </c>
      <c r="I165">
        <v>2</v>
      </c>
      <c r="J165">
        <f t="shared" si="29"/>
        <v>12</v>
      </c>
      <c r="K165">
        <v>1</v>
      </c>
      <c r="L165">
        <f t="shared" si="20"/>
        <v>12</v>
      </c>
      <c r="M165" t="s">
        <v>72</v>
      </c>
      <c r="N165">
        <f>SUMIF(Executions!B:B,A165,Executions!H:H)</f>
        <v>-11.740000000000009</v>
      </c>
      <c r="O165">
        <f t="shared" si="21"/>
        <v>-0.97833333333333405</v>
      </c>
      <c r="P165">
        <f>Tabla1[[#This Row],[Initial Risk $]]/Tabla1[[#This Row],[Position Size (shares)]]+Tabla1[[#This Row],[Entry Price]]</f>
        <v>779.49</v>
      </c>
      <c r="Q165">
        <f>Tabla1[[#This Row],[Initial Risk $]]/Tabla1[[#This Row],[Position Size (shares)]]*1.5+Tabla1[[#This Row],[Entry Price]]</f>
        <v>782.49</v>
      </c>
      <c r="R165">
        <f>Tabla1[[#This Row],[Initial Risk $]]/Tabla1[[#This Row],[Position Size (shares)]]*2+Tabla1[[#This Row],[Entry Price]]</f>
        <v>785.49</v>
      </c>
      <c r="S165">
        <f>Tabla1[[#This Row],[Initial Risk $]]/Tabla1[[#This Row],[Position Size (shares)]]*2.5+Tabla1[[#This Row],[Entry Price]]</f>
        <v>788.49</v>
      </c>
      <c r="T165">
        <f>Tabla1[[#This Row],[Initial Risk $]]/Tabla1[[#This Row],[Position Size (shares)]]*3+Tabla1[[#This Row],[Entry Price]]</f>
        <v>791.49</v>
      </c>
    </row>
    <row r="166" spans="1:20" customFormat="1" hidden="1" x14ac:dyDescent="0.25">
      <c r="A166" t="str">
        <f t="shared" si="28"/>
        <v>T-165</v>
      </c>
      <c r="B166" s="1">
        <v>46154</v>
      </c>
      <c r="C166" t="s">
        <v>279</v>
      </c>
      <c r="D166" t="s">
        <v>28</v>
      </c>
      <c r="E166" t="s">
        <v>58</v>
      </c>
      <c r="F166">
        <v>764.87</v>
      </c>
      <c r="G166">
        <v>760.87</v>
      </c>
      <c r="H166">
        <f>Tabla1[[#This Row],[Entry Price]]-(Tabla1[[#This Row],[Entry Price]]-Tabla1[[#This Row],[Initial Stop]])/2</f>
        <v>762.87</v>
      </c>
      <c r="I166">
        <v>2</v>
      </c>
      <c r="J166">
        <f t="shared" si="29"/>
        <v>8</v>
      </c>
      <c r="K166">
        <v>1</v>
      </c>
      <c r="L166">
        <f t="shared" si="20"/>
        <v>8</v>
      </c>
      <c r="M166" t="s">
        <v>72</v>
      </c>
      <c r="N166">
        <f>SUMIF(Executions!B:B,A166,Executions!H:H)</f>
        <v>-8.2400000000000091</v>
      </c>
      <c r="O166">
        <f t="shared" si="21"/>
        <v>-1.0300000000000011</v>
      </c>
      <c r="P166">
        <f>Tabla1[[#This Row],[Initial Risk $]]/Tabla1[[#This Row],[Position Size (shares)]]+Tabla1[[#This Row],[Entry Price]]</f>
        <v>768.87</v>
      </c>
      <c r="Q166">
        <f>Tabla1[[#This Row],[Initial Risk $]]/Tabla1[[#This Row],[Position Size (shares)]]*1.5+Tabla1[[#This Row],[Entry Price]]</f>
        <v>770.87</v>
      </c>
      <c r="R166">
        <f>Tabla1[[#This Row],[Initial Risk $]]/Tabla1[[#This Row],[Position Size (shares)]]*2+Tabla1[[#This Row],[Entry Price]]</f>
        <v>772.87</v>
      </c>
      <c r="S166">
        <f>Tabla1[[#This Row],[Initial Risk $]]/Tabla1[[#This Row],[Position Size (shares)]]*2.5+Tabla1[[#This Row],[Entry Price]]</f>
        <v>774.87</v>
      </c>
      <c r="T166">
        <f>Tabla1[[#This Row],[Initial Risk $]]/Tabla1[[#This Row],[Position Size (shares)]]*3+Tabla1[[#This Row],[Entry Price]]</f>
        <v>776.87</v>
      </c>
    </row>
    <row r="167" spans="1:20" customFormat="1" hidden="1" x14ac:dyDescent="0.25">
      <c r="A167" t="str">
        <f t="shared" si="28"/>
        <v>T-166</v>
      </c>
      <c r="B167" s="1">
        <v>46154</v>
      </c>
      <c r="C167" t="s">
        <v>279</v>
      </c>
      <c r="D167" t="s">
        <v>28</v>
      </c>
      <c r="E167" t="s">
        <v>58</v>
      </c>
      <c r="F167">
        <v>765.2</v>
      </c>
      <c r="G167">
        <v>758.2</v>
      </c>
      <c r="H167">
        <f>Tabla1[[#This Row],[Entry Price]]-(Tabla1[[#This Row],[Entry Price]]-Tabla1[[#This Row],[Initial Stop]])/2</f>
        <v>761.7</v>
      </c>
      <c r="I167">
        <v>2</v>
      </c>
      <c r="J167">
        <f t="shared" si="29"/>
        <v>14</v>
      </c>
      <c r="K167">
        <v>1</v>
      </c>
      <c r="L167">
        <f t="shared" si="20"/>
        <v>14</v>
      </c>
      <c r="M167" t="s">
        <v>72</v>
      </c>
      <c r="N167">
        <f>SUMIF(Executions!B:B,A167,Executions!H:H)</f>
        <v>-14</v>
      </c>
      <c r="O167">
        <f t="shared" si="21"/>
        <v>-1</v>
      </c>
      <c r="P167">
        <f>Tabla1[[#This Row],[Initial Risk $]]/Tabla1[[#This Row],[Position Size (shares)]]+Tabla1[[#This Row],[Entry Price]]</f>
        <v>772.2</v>
      </c>
      <c r="Q167">
        <f>Tabla1[[#This Row],[Initial Risk $]]/Tabla1[[#This Row],[Position Size (shares)]]*1.5+Tabla1[[#This Row],[Entry Price]]</f>
        <v>775.7</v>
      </c>
      <c r="R167">
        <f>Tabla1[[#This Row],[Initial Risk $]]/Tabla1[[#This Row],[Position Size (shares)]]*2+Tabla1[[#This Row],[Entry Price]]</f>
        <v>779.2</v>
      </c>
      <c r="S167">
        <f>Tabla1[[#This Row],[Initial Risk $]]/Tabla1[[#This Row],[Position Size (shares)]]*2.5+Tabla1[[#This Row],[Entry Price]]</f>
        <v>782.7</v>
      </c>
      <c r="T167">
        <f>Tabla1[[#This Row],[Initial Risk $]]/Tabla1[[#This Row],[Position Size (shares)]]*3+Tabla1[[#This Row],[Entry Price]]</f>
        <v>786.2</v>
      </c>
    </row>
    <row r="168" spans="1:20" customFormat="1" hidden="1" x14ac:dyDescent="0.25">
      <c r="A168" t="str">
        <f t="shared" si="28"/>
        <v>T-167</v>
      </c>
      <c r="B168" s="1">
        <v>46154</v>
      </c>
      <c r="C168" t="s">
        <v>328</v>
      </c>
      <c r="D168" t="s">
        <v>28</v>
      </c>
      <c r="E168" t="s">
        <v>51</v>
      </c>
      <c r="F168">
        <v>11.6</v>
      </c>
      <c r="G168">
        <v>11.1</v>
      </c>
      <c r="H168">
        <f>Tabla1[[#This Row],[Entry Price]]-(Tabla1[[#This Row],[Entry Price]]-Tabla1[[#This Row],[Initial Stop]])/2</f>
        <v>11.35</v>
      </c>
      <c r="I168">
        <v>8</v>
      </c>
      <c r="J168">
        <f t="shared" si="29"/>
        <v>4</v>
      </c>
      <c r="K168">
        <v>1</v>
      </c>
      <c r="L168">
        <f t="shared" si="20"/>
        <v>4</v>
      </c>
      <c r="M168" t="s">
        <v>72</v>
      </c>
      <c r="N168">
        <f>SUMIF(Executions!B:B,A168,Executions!H:H)</f>
        <v>-4.1599999999999966</v>
      </c>
      <c r="O168">
        <f t="shared" si="21"/>
        <v>-1.0399999999999991</v>
      </c>
      <c r="P168">
        <f>Tabla1[[#This Row],[Initial Risk $]]/Tabla1[[#This Row],[Position Size (shares)]]+Tabla1[[#This Row],[Entry Price]]</f>
        <v>12.1</v>
      </c>
      <c r="Q168">
        <f>Tabla1[[#This Row],[Initial Risk $]]/Tabla1[[#This Row],[Position Size (shares)]]*1.5+Tabla1[[#This Row],[Entry Price]]</f>
        <v>12.35</v>
      </c>
      <c r="R168">
        <f>Tabla1[[#This Row],[Initial Risk $]]/Tabla1[[#This Row],[Position Size (shares)]]*2+Tabla1[[#This Row],[Entry Price]]</f>
        <v>12.6</v>
      </c>
      <c r="S168">
        <f>Tabla1[[#This Row],[Initial Risk $]]/Tabla1[[#This Row],[Position Size (shares)]]*2.5+Tabla1[[#This Row],[Entry Price]]</f>
        <v>12.85</v>
      </c>
      <c r="T168">
        <f>Tabla1[[#This Row],[Initial Risk $]]/Tabla1[[#This Row],[Position Size (shares)]]*3+Tabla1[[#This Row],[Entry Price]]</f>
        <v>13.1</v>
      </c>
    </row>
    <row r="169" spans="1:20" customFormat="1" hidden="1" x14ac:dyDescent="0.25">
      <c r="A169" t="str">
        <f t="shared" ref="A169:A178" si="30">"T-"&amp; TEXT(ROW()-1,"000")</f>
        <v>T-168</v>
      </c>
      <c r="B169" s="1">
        <v>46155</v>
      </c>
      <c r="C169" t="s">
        <v>279</v>
      </c>
      <c r="D169" t="s">
        <v>28</v>
      </c>
      <c r="E169" t="s">
        <v>58</v>
      </c>
      <c r="F169">
        <v>805</v>
      </c>
      <c r="G169">
        <v>802</v>
      </c>
      <c r="H169">
        <f>Tabla1[[#This Row],[Entry Price]]-(Tabla1[[#This Row],[Entry Price]]-Tabla1[[#This Row],[Initial Stop]])/2</f>
        <v>803.5</v>
      </c>
      <c r="I169">
        <v>2</v>
      </c>
      <c r="J169">
        <f t="shared" ref="J169:J178" si="31">IF(D169="Long",(F169-G169)*I169,(G169-F169)*0)</f>
        <v>6</v>
      </c>
      <c r="K169">
        <v>1</v>
      </c>
      <c r="L169">
        <f t="shared" si="20"/>
        <v>6</v>
      </c>
      <c r="M169" t="s">
        <v>72</v>
      </c>
      <c r="N169">
        <f>SUMIF(Executions!B:B,A169,Executions!H:H)</f>
        <v>-6</v>
      </c>
      <c r="O169">
        <f t="shared" si="21"/>
        <v>-1</v>
      </c>
      <c r="P169">
        <f>Tabla1[[#This Row],[Initial Risk $]]/Tabla1[[#This Row],[Position Size (shares)]]+Tabla1[[#This Row],[Entry Price]]</f>
        <v>808</v>
      </c>
      <c r="Q169">
        <f>Tabla1[[#This Row],[Initial Risk $]]/Tabla1[[#This Row],[Position Size (shares)]]*1.5+Tabla1[[#This Row],[Entry Price]]</f>
        <v>809.5</v>
      </c>
      <c r="R169">
        <f>Tabla1[[#This Row],[Initial Risk $]]/Tabla1[[#This Row],[Position Size (shares)]]*2+Tabla1[[#This Row],[Entry Price]]</f>
        <v>811</v>
      </c>
      <c r="S169">
        <f>Tabla1[[#This Row],[Initial Risk $]]/Tabla1[[#This Row],[Position Size (shares)]]*2.5+Tabla1[[#This Row],[Entry Price]]</f>
        <v>812.5</v>
      </c>
      <c r="T169">
        <f>Tabla1[[#This Row],[Initial Risk $]]/Tabla1[[#This Row],[Position Size (shares)]]*3+Tabla1[[#This Row],[Entry Price]]</f>
        <v>814</v>
      </c>
    </row>
    <row r="170" spans="1:20" customFormat="1" hidden="1" x14ac:dyDescent="0.25">
      <c r="A170" t="str">
        <f t="shared" si="30"/>
        <v>T-169</v>
      </c>
      <c r="B170" s="1">
        <v>46155</v>
      </c>
      <c r="C170" t="s">
        <v>164</v>
      </c>
      <c r="D170" t="s">
        <v>28</v>
      </c>
      <c r="E170" t="s">
        <v>58</v>
      </c>
      <c r="F170">
        <v>224.84</v>
      </c>
      <c r="G170">
        <v>223.84</v>
      </c>
      <c r="H170">
        <f>Tabla1[[#This Row],[Entry Price]]-(Tabla1[[#This Row],[Entry Price]]-Tabla1[[#This Row],[Initial Stop]])/2</f>
        <v>224.34</v>
      </c>
      <c r="I170">
        <v>4</v>
      </c>
      <c r="J170">
        <f t="shared" si="31"/>
        <v>4</v>
      </c>
      <c r="K170">
        <v>1</v>
      </c>
      <c r="L170">
        <f t="shared" si="20"/>
        <v>4</v>
      </c>
      <c r="M170" t="s">
        <v>72</v>
      </c>
      <c r="N170">
        <f>SUMIF(Executions!B:B,A170,Executions!H:H)</f>
        <v>-4</v>
      </c>
      <c r="O170">
        <f t="shared" si="21"/>
        <v>-1</v>
      </c>
      <c r="P170">
        <f>Tabla1[[#This Row],[Initial Risk $]]/Tabla1[[#This Row],[Position Size (shares)]]+Tabla1[[#This Row],[Entry Price]]</f>
        <v>225.84</v>
      </c>
      <c r="Q170">
        <f>Tabla1[[#This Row],[Initial Risk $]]/Tabla1[[#This Row],[Position Size (shares)]]*1.5+Tabla1[[#This Row],[Entry Price]]</f>
        <v>226.34</v>
      </c>
      <c r="R170">
        <f>Tabla1[[#This Row],[Initial Risk $]]/Tabla1[[#This Row],[Position Size (shares)]]*2+Tabla1[[#This Row],[Entry Price]]</f>
        <v>226.84</v>
      </c>
      <c r="S170">
        <f>Tabla1[[#This Row],[Initial Risk $]]/Tabla1[[#This Row],[Position Size (shares)]]*2.5+Tabla1[[#This Row],[Entry Price]]</f>
        <v>227.34</v>
      </c>
      <c r="T170">
        <f>Tabla1[[#This Row],[Initial Risk $]]/Tabla1[[#This Row],[Position Size (shares)]]*3+Tabla1[[#This Row],[Entry Price]]</f>
        <v>227.84</v>
      </c>
    </row>
    <row r="171" spans="1:20" customFormat="1" hidden="1" x14ac:dyDescent="0.25">
      <c r="A171" t="str">
        <f t="shared" si="30"/>
        <v>T-170</v>
      </c>
      <c r="B171" s="1">
        <v>46155</v>
      </c>
      <c r="C171" t="s">
        <v>341</v>
      </c>
      <c r="D171" t="s">
        <v>28</v>
      </c>
      <c r="E171" t="s">
        <v>58</v>
      </c>
      <c r="F171">
        <v>305.64999999999998</v>
      </c>
      <c r="G171">
        <v>303.39</v>
      </c>
      <c r="H171">
        <f>Tabla1[[#This Row],[Entry Price]]-(Tabla1[[#This Row],[Entry Price]]-Tabla1[[#This Row],[Initial Stop]])/2</f>
        <v>304.52</v>
      </c>
      <c r="I171">
        <v>3</v>
      </c>
      <c r="J171">
        <f t="shared" si="31"/>
        <v>6.7799999999999727</v>
      </c>
      <c r="K171">
        <v>1</v>
      </c>
      <c r="L171">
        <f t="shared" si="20"/>
        <v>6.7799999999999727</v>
      </c>
      <c r="M171" t="s">
        <v>72</v>
      </c>
      <c r="N171">
        <f>SUMIF(Executions!B:B,A171,Executions!H:H)</f>
        <v>8.310000000000116</v>
      </c>
      <c r="O171">
        <f t="shared" si="21"/>
        <v>1.2256637168141813</v>
      </c>
      <c r="P171">
        <f>Tabla1[[#This Row],[Initial Risk $]]/Tabla1[[#This Row],[Position Size (shares)]]+Tabla1[[#This Row],[Entry Price]]</f>
        <v>307.90999999999997</v>
      </c>
      <c r="Q171">
        <f>Tabla1[[#This Row],[Initial Risk $]]/Tabla1[[#This Row],[Position Size (shares)]]*1.5+Tabla1[[#This Row],[Entry Price]]</f>
        <v>309.03999999999996</v>
      </c>
      <c r="R171">
        <f>Tabla1[[#This Row],[Initial Risk $]]/Tabla1[[#This Row],[Position Size (shares)]]*2+Tabla1[[#This Row],[Entry Price]]</f>
        <v>310.16999999999996</v>
      </c>
      <c r="S171">
        <f>Tabla1[[#This Row],[Initial Risk $]]/Tabla1[[#This Row],[Position Size (shares)]]*2.5+Tabla1[[#This Row],[Entry Price]]</f>
        <v>311.29999999999995</v>
      </c>
      <c r="T171">
        <f>Tabla1[[#This Row],[Initial Risk $]]/Tabla1[[#This Row],[Position Size (shares)]]*3+Tabla1[[#This Row],[Entry Price]]</f>
        <v>312.42999999999995</v>
      </c>
    </row>
    <row r="172" spans="1:20" customFormat="1" hidden="1" x14ac:dyDescent="0.25">
      <c r="A172" t="str">
        <f t="shared" si="30"/>
        <v>T-171</v>
      </c>
      <c r="B172" s="1">
        <v>46155</v>
      </c>
      <c r="C172" t="s">
        <v>279</v>
      </c>
      <c r="D172" t="s">
        <v>28</v>
      </c>
      <c r="E172" t="s">
        <v>58</v>
      </c>
      <c r="F172">
        <v>798.56</v>
      </c>
      <c r="G172">
        <v>795.56</v>
      </c>
      <c r="H172">
        <f>Tabla1[[#This Row],[Entry Price]]-(Tabla1[[#This Row],[Entry Price]]-Tabla1[[#This Row],[Initial Stop]])/2</f>
        <v>797.06</v>
      </c>
      <c r="I172">
        <v>4</v>
      </c>
      <c r="J172">
        <f t="shared" si="31"/>
        <v>12</v>
      </c>
      <c r="K172">
        <v>1</v>
      </c>
      <c r="L172">
        <f t="shared" si="20"/>
        <v>12</v>
      </c>
      <c r="M172" t="s">
        <v>72</v>
      </c>
      <c r="N172">
        <f>SUMIF(Executions!B:B,A172,Executions!H:H)</f>
        <v>40.870000000000118</v>
      </c>
      <c r="O172">
        <f t="shared" si="21"/>
        <v>3.405833333333343</v>
      </c>
      <c r="P172">
        <f>Tabla1[[#This Row],[Initial Risk $]]/Tabla1[[#This Row],[Position Size (shares)]]+Tabla1[[#This Row],[Entry Price]]</f>
        <v>801.56</v>
      </c>
      <c r="Q172">
        <f>Tabla1[[#This Row],[Initial Risk $]]/Tabla1[[#This Row],[Position Size (shares)]]*1.5+Tabla1[[#This Row],[Entry Price]]</f>
        <v>803.06</v>
      </c>
      <c r="R172">
        <f>Tabla1[[#This Row],[Initial Risk $]]/Tabla1[[#This Row],[Position Size (shares)]]*2+Tabla1[[#This Row],[Entry Price]]</f>
        <v>804.56</v>
      </c>
      <c r="S172">
        <f>Tabla1[[#This Row],[Initial Risk $]]/Tabla1[[#This Row],[Position Size (shares)]]*2.5+Tabla1[[#This Row],[Entry Price]]</f>
        <v>806.06</v>
      </c>
      <c r="T172">
        <f>Tabla1[[#This Row],[Initial Risk $]]/Tabla1[[#This Row],[Position Size (shares)]]*3+Tabla1[[#This Row],[Entry Price]]</f>
        <v>807.56</v>
      </c>
    </row>
    <row r="173" spans="1:20" customFormat="1" hidden="1" x14ac:dyDescent="0.25">
      <c r="A173" t="str">
        <f t="shared" si="30"/>
        <v>T-172</v>
      </c>
      <c r="B173" s="1">
        <v>46156</v>
      </c>
      <c r="C173" t="s">
        <v>279</v>
      </c>
      <c r="D173" t="s">
        <v>28</v>
      </c>
      <c r="E173" t="s">
        <v>58</v>
      </c>
      <c r="F173">
        <v>787.72</v>
      </c>
      <c r="G173">
        <v>786.5</v>
      </c>
      <c r="H173">
        <f>Tabla1[[#This Row],[Entry Price]]-(Tabla1[[#This Row],[Entry Price]]-Tabla1[[#This Row],[Initial Stop]])/2</f>
        <v>787.11</v>
      </c>
      <c r="I173">
        <v>2</v>
      </c>
      <c r="J173">
        <f t="shared" si="31"/>
        <v>2.4400000000000546</v>
      </c>
      <c r="K173">
        <v>1</v>
      </c>
      <c r="L173">
        <f t="shared" si="20"/>
        <v>2.4400000000000546</v>
      </c>
      <c r="M173" t="s">
        <v>72</v>
      </c>
      <c r="N173">
        <f>SUMIF(Executions!B:B,A173,Executions!H:H)</f>
        <v>-2.4400000000000546</v>
      </c>
      <c r="O173">
        <f t="shared" si="21"/>
        <v>-1</v>
      </c>
      <c r="P173">
        <f>Tabla1[[#This Row],[Initial Risk $]]/Tabla1[[#This Row],[Position Size (shares)]]+Tabla1[[#This Row],[Entry Price]]</f>
        <v>788.94</v>
      </c>
      <c r="Q173">
        <f>Tabla1[[#This Row],[Initial Risk $]]/Tabla1[[#This Row],[Position Size (shares)]]*1.5+Tabla1[[#This Row],[Entry Price]]</f>
        <v>789.55000000000007</v>
      </c>
      <c r="R173">
        <f>Tabla1[[#This Row],[Initial Risk $]]/Tabla1[[#This Row],[Position Size (shares)]]*2+Tabla1[[#This Row],[Entry Price]]</f>
        <v>790.16000000000008</v>
      </c>
      <c r="S173">
        <f>Tabla1[[#This Row],[Initial Risk $]]/Tabla1[[#This Row],[Position Size (shares)]]*2.5+Tabla1[[#This Row],[Entry Price]]</f>
        <v>790.7700000000001</v>
      </c>
      <c r="T173">
        <f>Tabla1[[#This Row],[Initial Risk $]]/Tabla1[[#This Row],[Position Size (shares)]]*3+Tabla1[[#This Row],[Entry Price]]</f>
        <v>791.38000000000011</v>
      </c>
    </row>
    <row r="174" spans="1:20" customFormat="1" hidden="1" x14ac:dyDescent="0.25">
      <c r="A174" t="str">
        <f t="shared" si="30"/>
        <v>T-173</v>
      </c>
      <c r="B174" s="1">
        <v>46156</v>
      </c>
      <c r="C174" t="s">
        <v>164</v>
      </c>
      <c r="D174" t="s">
        <v>28</v>
      </c>
      <c r="E174" t="s">
        <v>58</v>
      </c>
      <c r="F174">
        <v>230</v>
      </c>
      <c r="G174">
        <v>229</v>
      </c>
      <c r="H174">
        <f>Tabla1[[#This Row],[Entry Price]]-(Tabla1[[#This Row],[Entry Price]]-Tabla1[[#This Row],[Initial Stop]])/2</f>
        <v>229.5</v>
      </c>
      <c r="I174">
        <v>4</v>
      </c>
      <c r="J174">
        <f t="shared" si="31"/>
        <v>4</v>
      </c>
      <c r="K174">
        <v>1</v>
      </c>
      <c r="L174">
        <f t="shared" si="20"/>
        <v>4</v>
      </c>
      <c r="M174" t="s">
        <v>72</v>
      </c>
      <c r="N174">
        <f>SUMIF(Executions!B:B,A174,Executions!H:H)</f>
        <v>20.240000000000009</v>
      </c>
      <c r="O174">
        <f t="shared" si="21"/>
        <v>5.0600000000000023</v>
      </c>
      <c r="P174">
        <f>Tabla1[[#This Row],[Initial Risk $]]/Tabla1[[#This Row],[Position Size (shares)]]+Tabla1[[#This Row],[Entry Price]]</f>
        <v>231</v>
      </c>
      <c r="Q174">
        <f>Tabla1[[#This Row],[Initial Risk $]]/Tabla1[[#This Row],[Position Size (shares)]]*1.5+Tabla1[[#This Row],[Entry Price]]</f>
        <v>231.5</v>
      </c>
      <c r="R174">
        <f>Tabla1[[#This Row],[Initial Risk $]]/Tabla1[[#This Row],[Position Size (shares)]]*2+Tabla1[[#This Row],[Entry Price]]</f>
        <v>232</v>
      </c>
      <c r="S174">
        <f>Tabla1[[#This Row],[Initial Risk $]]/Tabla1[[#This Row],[Position Size (shares)]]*2.5+Tabla1[[#This Row],[Entry Price]]</f>
        <v>232.5</v>
      </c>
      <c r="T174">
        <f>Tabla1[[#This Row],[Initial Risk $]]/Tabla1[[#This Row],[Position Size (shares)]]*3+Tabla1[[#This Row],[Entry Price]]</f>
        <v>233</v>
      </c>
    </row>
    <row r="175" spans="1:20" customFormat="1" hidden="1" x14ac:dyDescent="0.25">
      <c r="A175" t="str">
        <f t="shared" si="30"/>
        <v>T-174</v>
      </c>
      <c r="B175" s="1">
        <v>46156</v>
      </c>
      <c r="C175" t="s">
        <v>348</v>
      </c>
      <c r="D175" t="s">
        <v>28</v>
      </c>
      <c r="E175" t="s">
        <v>58</v>
      </c>
      <c r="F175">
        <v>115</v>
      </c>
      <c r="G175">
        <v>113.51</v>
      </c>
      <c r="H175">
        <f>Tabla1[[#This Row],[Entry Price]]-(Tabla1[[#This Row],[Entry Price]]-Tabla1[[#This Row],[Initial Stop]])/2</f>
        <v>114.255</v>
      </c>
      <c r="I175">
        <v>3</v>
      </c>
      <c r="J175">
        <f t="shared" si="31"/>
        <v>4.4699999999999847</v>
      </c>
      <c r="K175">
        <v>1</v>
      </c>
      <c r="L175">
        <f t="shared" si="20"/>
        <v>4.4699999999999847</v>
      </c>
      <c r="M175" t="s">
        <v>72</v>
      </c>
      <c r="N175">
        <f>SUMIF(Executions!B:B,A175,Executions!H:H)</f>
        <v>-4.9799999999999898</v>
      </c>
      <c r="O175">
        <f t="shared" si="21"/>
        <v>-1.1140939597315451</v>
      </c>
      <c r="P175">
        <f>Tabla1[[#This Row],[Initial Risk $]]/Tabla1[[#This Row],[Position Size (shares)]]+Tabla1[[#This Row],[Entry Price]]</f>
        <v>116.49</v>
      </c>
      <c r="Q175">
        <f>Tabla1[[#This Row],[Initial Risk $]]/Tabla1[[#This Row],[Position Size (shares)]]*1.5+Tabla1[[#This Row],[Entry Price]]</f>
        <v>117.23499999999999</v>
      </c>
      <c r="R175">
        <f>Tabla1[[#This Row],[Initial Risk $]]/Tabla1[[#This Row],[Position Size (shares)]]*2+Tabla1[[#This Row],[Entry Price]]</f>
        <v>117.97999999999999</v>
      </c>
      <c r="S175">
        <f>Tabla1[[#This Row],[Initial Risk $]]/Tabla1[[#This Row],[Position Size (shares)]]*2.5+Tabla1[[#This Row],[Entry Price]]</f>
        <v>118.72499999999999</v>
      </c>
      <c r="T175">
        <f>Tabla1[[#This Row],[Initial Risk $]]/Tabla1[[#This Row],[Position Size (shares)]]*3+Tabla1[[#This Row],[Entry Price]]</f>
        <v>119.46999999999998</v>
      </c>
    </row>
    <row r="176" spans="1:20" customFormat="1" hidden="1" x14ac:dyDescent="0.25">
      <c r="A176" t="str">
        <f t="shared" si="30"/>
        <v>T-175</v>
      </c>
      <c r="B176" s="1">
        <v>46156</v>
      </c>
      <c r="C176" t="s">
        <v>279</v>
      </c>
      <c r="D176" t="s">
        <v>28</v>
      </c>
      <c r="E176" t="s">
        <v>58</v>
      </c>
      <c r="F176">
        <v>803.79</v>
      </c>
      <c r="G176">
        <v>801.62</v>
      </c>
      <c r="H176">
        <f>Tabla1[[#This Row],[Entry Price]]-(Tabla1[[#This Row],[Entry Price]]-Tabla1[[#This Row],[Initial Stop]])/2</f>
        <v>802.70499999999993</v>
      </c>
      <c r="I176">
        <v>2</v>
      </c>
      <c r="J176">
        <f t="shared" si="31"/>
        <v>4.3399999999999181</v>
      </c>
      <c r="K176">
        <v>1</v>
      </c>
      <c r="L176">
        <f t="shared" si="20"/>
        <v>4.3399999999999181</v>
      </c>
      <c r="M176" t="s">
        <v>72</v>
      </c>
      <c r="N176">
        <f>SUMIF(Executions!B:B,A176,Executions!H:H)</f>
        <v>-4</v>
      </c>
      <c r="O176">
        <f t="shared" si="21"/>
        <v>-0.92165898617513264</v>
      </c>
      <c r="P176">
        <f>Tabla1[[#This Row],[Initial Risk $]]/Tabla1[[#This Row],[Position Size (shares)]]+Tabla1[[#This Row],[Entry Price]]</f>
        <v>805.95999999999992</v>
      </c>
      <c r="Q176">
        <f>Tabla1[[#This Row],[Initial Risk $]]/Tabla1[[#This Row],[Position Size (shares)]]*1.5+Tabla1[[#This Row],[Entry Price]]</f>
        <v>807.04499999999985</v>
      </c>
      <c r="R176">
        <f>Tabla1[[#This Row],[Initial Risk $]]/Tabla1[[#This Row],[Position Size (shares)]]*2+Tabla1[[#This Row],[Entry Price]]</f>
        <v>808.12999999999988</v>
      </c>
      <c r="S176">
        <f>Tabla1[[#This Row],[Initial Risk $]]/Tabla1[[#This Row],[Position Size (shares)]]*2.5+Tabla1[[#This Row],[Entry Price]]</f>
        <v>809.21499999999992</v>
      </c>
      <c r="T176">
        <f>Tabla1[[#This Row],[Initial Risk $]]/Tabla1[[#This Row],[Position Size (shares)]]*3+Tabla1[[#This Row],[Entry Price]]</f>
        <v>810.29999999999984</v>
      </c>
    </row>
    <row r="177" spans="1:20" customFormat="1" hidden="1" x14ac:dyDescent="0.25">
      <c r="A177" t="str">
        <f t="shared" si="30"/>
        <v>T-176</v>
      </c>
      <c r="B177" s="1">
        <v>46156</v>
      </c>
      <c r="C177" t="s">
        <v>154</v>
      </c>
      <c r="D177" t="s">
        <v>28</v>
      </c>
      <c r="E177" t="s">
        <v>58</v>
      </c>
      <c r="F177">
        <v>394.62</v>
      </c>
      <c r="G177">
        <v>393.62</v>
      </c>
      <c r="H177">
        <f>Tabla1[[#This Row],[Entry Price]]-(Tabla1[[#This Row],[Entry Price]]-Tabla1[[#This Row],[Initial Stop]])/2</f>
        <v>394.12</v>
      </c>
      <c r="I177">
        <v>3</v>
      </c>
      <c r="J177">
        <f t="shared" si="31"/>
        <v>3</v>
      </c>
      <c r="K177">
        <v>1</v>
      </c>
      <c r="L177">
        <f t="shared" si="20"/>
        <v>3</v>
      </c>
      <c r="M177" t="s">
        <v>72</v>
      </c>
      <c r="N177">
        <f>SUMIF(Executions!B:B,A177,Executions!H:H)</f>
        <v>-3.0900000000000887</v>
      </c>
      <c r="O177">
        <f t="shared" si="21"/>
        <v>-1.0300000000000296</v>
      </c>
      <c r="P177">
        <f>Tabla1[[#This Row],[Initial Risk $]]/Tabla1[[#This Row],[Position Size (shares)]]+Tabla1[[#This Row],[Entry Price]]</f>
        <v>395.62</v>
      </c>
      <c r="Q177">
        <f>Tabla1[[#This Row],[Initial Risk $]]/Tabla1[[#This Row],[Position Size (shares)]]*1.5+Tabla1[[#This Row],[Entry Price]]</f>
        <v>396.12</v>
      </c>
      <c r="R177">
        <f>Tabla1[[#This Row],[Initial Risk $]]/Tabla1[[#This Row],[Position Size (shares)]]*2+Tabla1[[#This Row],[Entry Price]]</f>
        <v>396.62</v>
      </c>
      <c r="S177">
        <f>Tabla1[[#This Row],[Initial Risk $]]/Tabla1[[#This Row],[Position Size (shares)]]*2.5+Tabla1[[#This Row],[Entry Price]]</f>
        <v>397.12</v>
      </c>
      <c r="T177">
        <f>Tabla1[[#This Row],[Initial Risk $]]/Tabla1[[#This Row],[Position Size (shares)]]*3+Tabla1[[#This Row],[Entry Price]]</f>
        <v>397.62</v>
      </c>
    </row>
    <row r="178" spans="1:20" customFormat="1" hidden="1" x14ac:dyDescent="0.25">
      <c r="A178" t="str">
        <f t="shared" si="30"/>
        <v>T-177</v>
      </c>
      <c r="B178" s="1">
        <v>46156</v>
      </c>
      <c r="C178" t="s">
        <v>279</v>
      </c>
      <c r="D178" t="s">
        <v>28</v>
      </c>
      <c r="E178" t="s">
        <v>58</v>
      </c>
      <c r="F178">
        <v>791.2</v>
      </c>
      <c r="G178">
        <v>787.2</v>
      </c>
      <c r="H178">
        <f>Tabla1[[#This Row],[Entry Price]]-(Tabla1[[#This Row],[Entry Price]]-Tabla1[[#This Row],[Initial Stop]])/2</f>
        <v>789.2</v>
      </c>
      <c r="I178">
        <v>2</v>
      </c>
      <c r="J178">
        <f t="shared" si="31"/>
        <v>8</v>
      </c>
      <c r="K178">
        <v>1</v>
      </c>
      <c r="L178">
        <f t="shared" si="20"/>
        <v>8</v>
      </c>
      <c r="M178" t="s">
        <v>72</v>
      </c>
      <c r="N178">
        <f>SUMIF(Executions!B:B,A178,Executions!H:H)</f>
        <v>-8</v>
      </c>
      <c r="O178">
        <f t="shared" si="21"/>
        <v>-1</v>
      </c>
      <c r="P178">
        <f>Tabla1[[#This Row],[Initial Risk $]]/Tabla1[[#This Row],[Position Size (shares)]]+Tabla1[[#This Row],[Entry Price]]</f>
        <v>795.2</v>
      </c>
      <c r="Q178">
        <f>Tabla1[[#This Row],[Initial Risk $]]/Tabla1[[#This Row],[Position Size (shares)]]*1.5+Tabla1[[#This Row],[Entry Price]]</f>
        <v>797.2</v>
      </c>
      <c r="R178">
        <f>Tabla1[[#This Row],[Initial Risk $]]/Tabla1[[#This Row],[Position Size (shares)]]*2+Tabla1[[#This Row],[Entry Price]]</f>
        <v>799.2</v>
      </c>
      <c r="S178">
        <f>Tabla1[[#This Row],[Initial Risk $]]/Tabla1[[#This Row],[Position Size (shares)]]*2.5+Tabla1[[#This Row],[Entry Price]]</f>
        <v>801.2</v>
      </c>
      <c r="T178">
        <f>Tabla1[[#This Row],[Initial Risk $]]/Tabla1[[#This Row],[Position Size (shares)]]*3+Tabla1[[#This Row],[Entry Price]]</f>
        <v>803.2</v>
      </c>
    </row>
    <row r="179" spans="1:20" customFormat="1" hidden="1" x14ac:dyDescent="0.25">
      <c r="A179" t="str">
        <f t="shared" ref="A179:A184" si="32">"T-"&amp; TEXT(ROW()-1,"000")</f>
        <v>T-178</v>
      </c>
      <c r="B179" s="1">
        <v>46157</v>
      </c>
      <c r="C179" t="s">
        <v>145</v>
      </c>
      <c r="D179" t="s">
        <v>28</v>
      </c>
      <c r="E179" t="s">
        <v>58</v>
      </c>
      <c r="F179">
        <v>132.16</v>
      </c>
      <c r="G179">
        <v>131.16</v>
      </c>
      <c r="H179">
        <f>Tabla1[[#This Row],[Entry Price]]-(Tabla1[[#This Row],[Entry Price]]-Tabla1[[#This Row],[Initial Stop]])/2</f>
        <v>131.66</v>
      </c>
      <c r="I179">
        <v>4</v>
      </c>
      <c r="J179">
        <f t="shared" ref="J179:J184" si="33">IF(D179="Long",(F179-G179)*I179,(G179-F179)*0)</f>
        <v>4</v>
      </c>
      <c r="K179">
        <v>1</v>
      </c>
      <c r="L179">
        <f t="shared" si="20"/>
        <v>4</v>
      </c>
      <c r="M179" t="s">
        <v>72</v>
      </c>
      <c r="N179">
        <f>SUMIF(Executions!B:B,A179,Executions!H:H)</f>
        <v>-4.1200000000000045</v>
      </c>
      <c r="O179">
        <f t="shared" si="21"/>
        <v>-1.0300000000000011</v>
      </c>
      <c r="P179">
        <f>Tabla1[[#This Row],[Initial Risk $]]/Tabla1[[#This Row],[Position Size (shares)]]+Tabla1[[#This Row],[Entry Price]]</f>
        <v>133.16</v>
      </c>
      <c r="Q179">
        <f>Tabla1[[#This Row],[Initial Risk $]]/Tabla1[[#This Row],[Position Size (shares)]]*1.5+Tabla1[[#This Row],[Entry Price]]</f>
        <v>133.66</v>
      </c>
      <c r="R179">
        <f>Tabla1[[#This Row],[Initial Risk $]]/Tabla1[[#This Row],[Position Size (shares)]]*2+Tabla1[[#This Row],[Entry Price]]</f>
        <v>134.16</v>
      </c>
      <c r="S179">
        <f>Tabla1[[#This Row],[Initial Risk $]]/Tabla1[[#This Row],[Position Size (shares)]]*2.5+Tabla1[[#This Row],[Entry Price]]</f>
        <v>134.66</v>
      </c>
      <c r="T179">
        <f>Tabla1[[#This Row],[Initial Risk $]]/Tabla1[[#This Row],[Position Size (shares)]]*3+Tabla1[[#This Row],[Entry Price]]</f>
        <v>135.16</v>
      </c>
    </row>
    <row r="180" spans="1:20" customFormat="1" hidden="1" x14ac:dyDescent="0.25">
      <c r="A180" t="str">
        <f t="shared" si="32"/>
        <v>T-179</v>
      </c>
      <c r="B180" s="1">
        <v>46157</v>
      </c>
      <c r="C180" t="s">
        <v>279</v>
      </c>
      <c r="D180" t="s">
        <v>28</v>
      </c>
      <c r="E180" t="s">
        <v>49</v>
      </c>
      <c r="F180">
        <v>728.11</v>
      </c>
      <c r="G180">
        <v>725.34</v>
      </c>
      <c r="H180">
        <f>Tabla1[[#This Row],[Entry Price]]-(Tabla1[[#This Row],[Entry Price]]-Tabla1[[#This Row],[Initial Stop]])/2</f>
        <v>726.72500000000002</v>
      </c>
      <c r="I180">
        <v>2</v>
      </c>
      <c r="J180">
        <f t="shared" si="33"/>
        <v>5.5399999999999636</v>
      </c>
      <c r="K180">
        <v>1</v>
      </c>
      <c r="L180">
        <f t="shared" si="20"/>
        <v>5.5399999999999636</v>
      </c>
      <c r="M180" t="s">
        <v>72</v>
      </c>
      <c r="N180">
        <f>SUMIF(Executions!B:B,A180,Executions!H:H)</f>
        <v>-5.5399999999999636</v>
      </c>
      <c r="O180">
        <f t="shared" si="21"/>
        <v>-1</v>
      </c>
      <c r="P180">
        <f>Tabla1[[#This Row],[Initial Risk $]]/Tabla1[[#This Row],[Position Size (shares)]]+Tabla1[[#This Row],[Entry Price]]</f>
        <v>730.88</v>
      </c>
      <c r="Q180">
        <f>Tabla1[[#This Row],[Initial Risk $]]/Tabla1[[#This Row],[Position Size (shares)]]*1.5+Tabla1[[#This Row],[Entry Price]]</f>
        <v>732.26499999999999</v>
      </c>
      <c r="R180">
        <f>Tabla1[[#This Row],[Initial Risk $]]/Tabla1[[#This Row],[Position Size (shares)]]*2+Tabla1[[#This Row],[Entry Price]]</f>
        <v>733.65</v>
      </c>
      <c r="S180">
        <f>Tabla1[[#This Row],[Initial Risk $]]/Tabla1[[#This Row],[Position Size (shares)]]*2.5+Tabla1[[#This Row],[Entry Price]]</f>
        <v>735.03499999999997</v>
      </c>
      <c r="T180">
        <f>Tabla1[[#This Row],[Initial Risk $]]/Tabla1[[#This Row],[Position Size (shares)]]*3+Tabla1[[#This Row],[Entry Price]]</f>
        <v>736.42</v>
      </c>
    </row>
    <row r="181" spans="1:20" customFormat="1" hidden="1" x14ac:dyDescent="0.25">
      <c r="A181" t="str">
        <f t="shared" si="32"/>
        <v>T-180</v>
      </c>
      <c r="B181" s="1">
        <v>46157</v>
      </c>
      <c r="C181" t="s">
        <v>279</v>
      </c>
      <c r="D181" t="s">
        <v>28</v>
      </c>
      <c r="E181" t="s">
        <v>49</v>
      </c>
      <c r="F181">
        <v>723.52</v>
      </c>
      <c r="G181">
        <v>721.5</v>
      </c>
      <c r="H181">
        <f>Tabla1[[#This Row],[Entry Price]]-(Tabla1[[#This Row],[Entry Price]]-Tabla1[[#This Row],[Initial Stop]])/2</f>
        <v>722.51</v>
      </c>
      <c r="I181">
        <v>2</v>
      </c>
      <c r="J181">
        <f t="shared" si="33"/>
        <v>4.0399999999999636</v>
      </c>
      <c r="K181">
        <v>1</v>
      </c>
      <c r="L181">
        <f t="shared" si="20"/>
        <v>4.0399999999999636</v>
      </c>
      <c r="M181" t="s">
        <v>72</v>
      </c>
      <c r="N181">
        <f>SUMIF(Executions!B:B,A181,Executions!H:H)</f>
        <v>-3.9400000000000546</v>
      </c>
      <c r="O181">
        <f t="shared" si="21"/>
        <v>-0.97524752475249754</v>
      </c>
      <c r="P181">
        <f>Tabla1[[#This Row],[Initial Risk $]]/Tabla1[[#This Row],[Position Size (shares)]]+Tabla1[[#This Row],[Entry Price]]</f>
        <v>725.54</v>
      </c>
      <c r="Q181">
        <f>Tabla1[[#This Row],[Initial Risk $]]/Tabla1[[#This Row],[Position Size (shares)]]*1.5+Tabla1[[#This Row],[Entry Price]]</f>
        <v>726.55</v>
      </c>
      <c r="R181">
        <f>Tabla1[[#This Row],[Initial Risk $]]/Tabla1[[#This Row],[Position Size (shares)]]*2+Tabla1[[#This Row],[Entry Price]]</f>
        <v>727.56</v>
      </c>
      <c r="S181">
        <f>Tabla1[[#This Row],[Initial Risk $]]/Tabla1[[#This Row],[Position Size (shares)]]*2.5+Tabla1[[#This Row],[Entry Price]]</f>
        <v>728.56999999999994</v>
      </c>
      <c r="T181">
        <f>Tabla1[[#This Row],[Initial Risk $]]/Tabla1[[#This Row],[Position Size (shares)]]*3+Tabla1[[#This Row],[Entry Price]]</f>
        <v>729.57999999999993</v>
      </c>
    </row>
    <row r="182" spans="1:20" customFormat="1" hidden="1" x14ac:dyDescent="0.25">
      <c r="A182" t="str">
        <f t="shared" si="32"/>
        <v>T-181</v>
      </c>
      <c r="B182" s="1">
        <v>46157</v>
      </c>
      <c r="C182" t="s">
        <v>359</v>
      </c>
      <c r="D182" t="s">
        <v>28</v>
      </c>
      <c r="E182" t="s">
        <v>119</v>
      </c>
      <c r="F182">
        <v>87.46</v>
      </c>
      <c r="G182">
        <v>86.99</v>
      </c>
      <c r="H182">
        <f>Tabla1[[#This Row],[Entry Price]]-(Tabla1[[#This Row],[Entry Price]]-Tabla1[[#This Row],[Initial Stop]])/2</f>
        <v>87.224999999999994</v>
      </c>
      <c r="I182">
        <v>10</v>
      </c>
      <c r="J182">
        <f t="shared" si="33"/>
        <v>4.6999999999999886</v>
      </c>
      <c r="K182">
        <v>1</v>
      </c>
      <c r="L182">
        <f t="shared" si="20"/>
        <v>4.6999999999999886</v>
      </c>
      <c r="M182" t="s">
        <v>72</v>
      </c>
      <c r="N182">
        <f>SUMIF(Executions!B:B,A182,Executions!H:H)</f>
        <v>-4.7999999999998977</v>
      </c>
      <c r="O182">
        <f t="shared" si="21"/>
        <v>-1.0212765957446615</v>
      </c>
      <c r="P182">
        <f>Tabla1[[#This Row],[Initial Risk $]]/Tabla1[[#This Row],[Position Size (shares)]]+Tabla1[[#This Row],[Entry Price]]</f>
        <v>87.929999999999993</v>
      </c>
      <c r="Q182">
        <f>Tabla1[[#This Row],[Initial Risk $]]/Tabla1[[#This Row],[Position Size (shares)]]*1.5+Tabla1[[#This Row],[Entry Price]]</f>
        <v>88.164999999999992</v>
      </c>
      <c r="R182">
        <f>Tabla1[[#This Row],[Initial Risk $]]/Tabla1[[#This Row],[Position Size (shares)]]*2+Tabla1[[#This Row],[Entry Price]]</f>
        <v>88.399999999999991</v>
      </c>
      <c r="S182">
        <f>Tabla1[[#This Row],[Initial Risk $]]/Tabla1[[#This Row],[Position Size (shares)]]*2.5+Tabla1[[#This Row],[Entry Price]]</f>
        <v>88.634999999999991</v>
      </c>
      <c r="T182">
        <f>Tabla1[[#This Row],[Initial Risk $]]/Tabla1[[#This Row],[Position Size (shares)]]*3+Tabla1[[#This Row],[Entry Price]]</f>
        <v>88.86999999999999</v>
      </c>
    </row>
    <row r="183" spans="1:20" customFormat="1" hidden="1" x14ac:dyDescent="0.25">
      <c r="A183" t="str">
        <f t="shared" si="32"/>
        <v>T-182</v>
      </c>
      <c r="B183" s="1">
        <v>46157</v>
      </c>
      <c r="C183" t="s">
        <v>233</v>
      </c>
      <c r="D183" t="s">
        <v>28</v>
      </c>
      <c r="E183" t="s">
        <v>58</v>
      </c>
      <c r="F183">
        <v>423.41</v>
      </c>
      <c r="G183">
        <v>421.83</v>
      </c>
      <c r="H183">
        <f>Tabla1[[#This Row],[Entry Price]]-(Tabla1[[#This Row],[Entry Price]]-Tabla1[[#This Row],[Initial Stop]])/2</f>
        <v>422.62</v>
      </c>
      <c r="I183">
        <v>3</v>
      </c>
      <c r="J183">
        <f t="shared" si="33"/>
        <v>4.7400000000001228</v>
      </c>
      <c r="K183">
        <v>1</v>
      </c>
      <c r="L183">
        <f t="shared" si="20"/>
        <v>4.7400000000001228</v>
      </c>
      <c r="M183" t="s">
        <v>72</v>
      </c>
      <c r="N183">
        <f>SUMIF(Executions!B:B,A183,Executions!H:H)</f>
        <v>-4.7400000000001228</v>
      </c>
      <c r="O183">
        <f t="shared" si="21"/>
        <v>-1</v>
      </c>
      <c r="P183">
        <f>Tabla1[[#This Row],[Initial Risk $]]/Tabla1[[#This Row],[Position Size (shares)]]+Tabla1[[#This Row],[Entry Price]]</f>
        <v>424.99000000000007</v>
      </c>
      <c r="Q183">
        <f>Tabla1[[#This Row],[Initial Risk $]]/Tabla1[[#This Row],[Position Size (shares)]]*1.5+Tabla1[[#This Row],[Entry Price]]</f>
        <v>425.78000000000009</v>
      </c>
      <c r="R183">
        <f>Tabla1[[#This Row],[Initial Risk $]]/Tabla1[[#This Row],[Position Size (shares)]]*2+Tabla1[[#This Row],[Entry Price]]</f>
        <v>426.57000000000011</v>
      </c>
      <c r="S183">
        <f>Tabla1[[#This Row],[Initial Risk $]]/Tabla1[[#This Row],[Position Size (shares)]]*2.5+Tabla1[[#This Row],[Entry Price]]</f>
        <v>427.36000000000013</v>
      </c>
      <c r="T183">
        <f>Tabla1[[#This Row],[Initial Risk $]]/Tabla1[[#This Row],[Position Size (shares)]]*3+Tabla1[[#This Row],[Entry Price]]</f>
        <v>428.15000000000015</v>
      </c>
    </row>
    <row r="184" spans="1:20" customFormat="1" hidden="1" x14ac:dyDescent="0.25">
      <c r="A184" t="str">
        <f t="shared" si="32"/>
        <v>T-183</v>
      </c>
      <c r="B184" s="1">
        <v>46157</v>
      </c>
      <c r="C184" t="s">
        <v>233</v>
      </c>
      <c r="D184" t="s">
        <v>28</v>
      </c>
      <c r="E184" t="s">
        <v>58</v>
      </c>
      <c r="F184">
        <v>420.83</v>
      </c>
      <c r="G184">
        <v>419.65</v>
      </c>
      <c r="H184">
        <f>Tabla1[[#This Row],[Entry Price]]-(Tabla1[[#This Row],[Entry Price]]-Tabla1[[#This Row],[Initial Stop]])/2</f>
        <v>420.24</v>
      </c>
      <c r="I184">
        <v>3</v>
      </c>
      <c r="J184">
        <f t="shared" si="33"/>
        <v>3.5400000000000205</v>
      </c>
      <c r="K184">
        <v>1</v>
      </c>
      <c r="L184">
        <f t="shared" si="20"/>
        <v>3.5400000000000205</v>
      </c>
      <c r="M184" t="s">
        <v>72</v>
      </c>
      <c r="N184">
        <f>SUMIF(Executions!B:B,A184,Executions!H:H)</f>
        <v>17.550000000000068</v>
      </c>
      <c r="O184">
        <f t="shared" si="21"/>
        <v>4.9576271186440586</v>
      </c>
      <c r="P184">
        <f>Tabla1[[#This Row],[Initial Risk $]]/Tabla1[[#This Row],[Position Size (shares)]]+Tabla1[[#This Row],[Entry Price]]</f>
        <v>422.01</v>
      </c>
      <c r="Q184">
        <f>Tabla1[[#This Row],[Initial Risk $]]/Tabla1[[#This Row],[Position Size (shares)]]*1.5+Tabla1[[#This Row],[Entry Price]]</f>
        <v>422.6</v>
      </c>
      <c r="R184">
        <f>Tabla1[[#This Row],[Initial Risk $]]/Tabla1[[#This Row],[Position Size (shares)]]*2+Tabla1[[#This Row],[Entry Price]]</f>
        <v>423.19</v>
      </c>
      <c r="S184">
        <f>Tabla1[[#This Row],[Initial Risk $]]/Tabla1[[#This Row],[Position Size (shares)]]*2.5+Tabla1[[#This Row],[Entry Price]]</f>
        <v>423.78</v>
      </c>
      <c r="T184">
        <f>Tabla1[[#This Row],[Initial Risk $]]/Tabla1[[#This Row],[Position Size (shares)]]*3+Tabla1[[#This Row],[Entry Price]]</f>
        <v>424.37</v>
      </c>
    </row>
    <row r="185" spans="1:20" customFormat="1" hidden="1" x14ac:dyDescent="0.25">
      <c r="A185" t="str">
        <f t="shared" ref="A185:A192" si="34">"T-"&amp; TEXT(ROW()-1,"000")</f>
        <v>T-184</v>
      </c>
      <c r="B185" s="1">
        <v>46160</v>
      </c>
      <c r="C185" t="s">
        <v>207</v>
      </c>
      <c r="D185" t="s">
        <v>28</v>
      </c>
      <c r="E185" t="s">
        <v>49</v>
      </c>
      <c r="F185">
        <v>31.16</v>
      </c>
      <c r="G185">
        <v>28.71</v>
      </c>
      <c r="H185">
        <f>Tabla1[[#This Row],[Entry Price]]-(Tabla1[[#This Row],[Entry Price]]-Tabla1[[#This Row],[Initial Stop]])/2</f>
        <v>29.935000000000002</v>
      </c>
      <c r="I185">
        <v>4</v>
      </c>
      <c r="J185">
        <f t="shared" ref="J185:J192" si="35">IF(D185="Long",(F185-G185)*I185,(G185-F185)*0)</f>
        <v>9.7999999999999972</v>
      </c>
      <c r="K185">
        <v>1</v>
      </c>
      <c r="L185">
        <f t="shared" si="20"/>
        <v>9.7999999999999972</v>
      </c>
      <c r="M185" t="s">
        <v>72</v>
      </c>
      <c r="N185">
        <f>SUMIF(Executions!B:B,A185,Executions!H:H)</f>
        <v>57.440000000000012</v>
      </c>
      <c r="O185">
        <f t="shared" si="21"/>
        <v>5.8612244897959211</v>
      </c>
      <c r="P185">
        <f>Tabla1[[#This Row],[Initial Risk $]]/Tabla1[[#This Row],[Position Size (shares)]]+Tabla1[[#This Row],[Entry Price]]</f>
        <v>33.61</v>
      </c>
      <c r="Q185">
        <f>Tabla1[[#This Row],[Initial Risk $]]/Tabla1[[#This Row],[Position Size (shares)]]*1.5+Tabla1[[#This Row],[Entry Price]]</f>
        <v>34.835000000000001</v>
      </c>
      <c r="R185">
        <f>Tabla1[[#This Row],[Initial Risk $]]/Tabla1[[#This Row],[Position Size (shares)]]*2+Tabla1[[#This Row],[Entry Price]]</f>
        <v>36.06</v>
      </c>
      <c r="S185">
        <f>Tabla1[[#This Row],[Initial Risk $]]/Tabla1[[#This Row],[Position Size (shares)]]*2.5+Tabla1[[#This Row],[Entry Price]]</f>
        <v>37.284999999999997</v>
      </c>
      <c r="T185">
        <f>Tabla1[[#This Row],[Initial Risk $]]/Tabla1[[#This Row],[Position Size (shares)]]*3+Tabla1[[#This Row],[Entry Price]]</f>
        <v>38.51</v>
      </c>
    </row>
    <row r="186" spans="1:20" customFormat="1" hidden="1" x14ac:dyDescent="0.25">
      <c r="A186" t="str">
        <f t="shared" si="34"/>
        <v>T-185</v>
      </c>
      <c r="B186" s="1">
        <v>46160</v>
      </c>
      <c r="C186" t="s">
        <v>164</v>
      </c>
      <c r="D186" t="s">
        <v>28</v>
      </c>
      <c r="E186" t="s">
        <v>58</v>
      </c>
      <c r="F186">
        <v>228.92</v>
      </c>
      <c r="G186">
        <v>226.92</v>
      </c>
      <c r="H186">
        <f>Tabla1[[#This Row],[Entry Price]]-(Tabla1[[#This Row],[Entry Price]]-Tabla1[[#This Row],[Initial Stop]])/2</f>
        <v>227.92</v>
      </c>
      <c r="I186">
        <v>4</v>
      </c>
      <c r="J186">
        <f t="shared" si="35"/>
        <v>8</v>
      </c>
      <c r="K186">
        <v>1</v>
      </c>
      <c r="L186">
        <f t="shared" si="20"/>
        <v>8</v>
      </c>
      <c r="M186" t="s">
        <v>72</v>
      </c>
      <c r="N186">
        <f>SUMIF(Executions!B:B,A186,Executions!H:H)</f>
        <v>-7.9599999999999227</v>
      </c>
      <c r="O186">
        <f t="shared" si="21"/>
        <v>-0.99499999999999034</v>
      </c>
      <c r="P186">
        <f>Tabla1[[#This Row],[Initial Risk $]]/Tabla1[[#This Row],[Position Size (shares)]]+Tabla1[[#This Row],[Entry Price]]</f>
        <v>230.92</v>
      </c>
      <c r="Q186">
        <f>Tabla1[[#This Row],[Initial Risk $]]/Tabla1[[#This Row],[Position Size (shares)]]*1.5+Tabla1[[#This Row],[Entry Price]]</f>
        <v>231.92</v>
      </c>
      <c r="R186">
        <f>Tabla1[[#This Row],[Initial Risk $]]/Tabla1[[#This Row],[Position Size (shares)]]*2+Tabla1[[#This Row],[Entry Price]]</f>
        <v>232.92</v>
      </c>
      <c r="S186">
        <f>Tabla1[[#This Row],[Initial Risk $]]/Tabla1[[#This Row],[Position Size (shares)]]*2.5+Tabla1[[#This Row],[Entry Price]]</f>
        <v>233.92</v>
      </c>
      <c r="T186">
        <f>Tabla1[[#This Row],[Initial Risk $]]/Tabla1[[#This Row],[Position Size (shares)]]*3+Tabla1[[#This Row],[Entry Price]]</f>
        <v>234.92</v>
      </c>
    </row>
    <row r="187" spans="1:20" customFormat="1" hidden="1" x14ac:dyDescent="0.25">
      <c r="A187" t="str">
        <f t="shared" si="34"/>
        <v>T-186</v>
      </c>
      <c r="B187" s="1">
        <v>46160</v>
      </c>
      <c r="C187" t="s">
        <v>161</v>
      </c>
      <c r="D187" t="s">
        <v>28</v>
      </c>
      <c r="E187" t="s">
        <v>49</v>
      </c>
      <c r="F187">
        <v>108.93</v>
      </c>
      <c r="G187">
        <v>106.93</v>
      </c>
      <c r="H187">
        <f>Tabla1[[#This Row],[Entry Price]]-(Tabla1[[#This Row],[Entry Price]]-Tabla1[[#This Row],[Initial Stop]])/2</f>
        <v>107.93</v>
      </c>
      <c r="I187">
        <v>4</v>
      </c>
      <c r="J187">
        <f t="shared" si="35"/>
        <v>8</v>
      </c>
      <c r="K187">
        <v>1</v>
      </c>
      <c r="L187">
        <f t="shared" si="20"/>
        <v>8</v>
      </c>
      <c r="M187" t="s">
        <v>72</v>
      </c>
      <c r="N187">
        <f>SUMIF(Executions!B:B,A187,Executions!H:H)</f>
        <v>-8</v>
      </c>
      <c r="O187">
        <f t="shared" si="21"/>
        <v>-1</v>
      </c>
      <c r="P187">
        <f>Tabla1[[#This Row],[Initial Risk $]]/Tabla1[[#This Row],[Position Size (shares)]]+Tabla1[[#This Row],[Entry Price]]</f>
        <v>110.93</v>
      </c>
      <c r="Q187">
        <f>Tabla1[[#This Row],[Initial Risk $]]/Tabla1[[#This Row],[Position Size (shares)]]*1.5+Tabla1[[#This Row],[Entry Price]]</f>
        <v>111.93</v>
      </c>
      <c r="R187">
        <f>Tabla1[[#This Row],[Initial Risk $]]/Tabla1[[#This Row],[Position Size (shares)]]*2+Tabla1[[#This Row],[Entry Price]]</f>
        <v>112.93</v>
      </c>
      <c r="S187">
        <f>Tabla1[[#This Row],[Initial Risk $]]/Tabla1[[#This Row],[Position Size (shares)]]*2.5+Tabla1[[#This Row],[Entry Price]]</f>
        <v>113.93</v>
      </c>
      <c r="T187">
        <f>Tabla1[[#This Row],[Initial Risk $]]/Tabla1[[#This Row],[Position Size (shares)]]*3+Tabla1[[#This Row],[Entry Price]]</f>
        <v>114.93</v>
      </c>
    </row>
    <row r="188" spans="1:20" customFormat="1" hidden="1" x14ac:dyDescent="0.25">
      <c r="A188" t="str">
        <f t="shared" si="34"/>
        <v>T-187</v>
      </c>
      <c r="B188" s="1">
        <v>46160</v>
      </c>
      <c r="C188" t="s">
        <v>279</v>
      </c>
      <c r="D188" t="s">
        <v>28</v>
      </c>
      <c r="E188" t="s">
        <v>58</v>
      </c>
      <c r="F188">
        <v>721</v>
      </c>
      <c r="G188">
        <v>718</v>
      </c>
      <c r="H188">
        <f>Tabla1[[#This Row],[Entry Price]]-(Tabla1[[#This Row],[Entry Price]]-Tabla1[[#This Row],[Initial Stop]])/2</f>
        <v>719.5</v>
      </c>
      <c r="I188">
        <v>2</v>
      </c>
      <c r="J188">
        <f t="shared" si="35"/>
        <v>6</v>
      </c>
      <c r="K188">
        <v>1</v>
      </c>
      <c r="L188">
        <f t="shared" si="20"/>
        <v>6</v>
      </c>
      <c r="M188" t="s">
        <v>72</v>
      </c>
      <c r="N188">
        <f>SUMIF(Executions!B:B,A188,Executions!H:H)</f>
        <v>-4</v>
      </c>
      <c r="O188">
        <f t="shared" si="21"/>
        <v>-0.66666666666666663</v>
      </c>
      <c r="P188">
        <f>Tabla1[[#This Row],[Initial Risk $]]/Tabla1[[#This Row],[Position Size (shares)]]+Tabla1[[#This Row],[Entry Price]]</f>
        <v>724</v>
      </c>
      <c r="Q188">
        <f>Tabla1[[#This Row],[Initial Risk $]]/Tabla1[[#This Row],[Position Size (shares)]]*1.5+Tabla1[[#This Row],[Entry Price]]</f>
        <v>725.5</v>
      </c>
      <c r="R188">
        <f>Tabla1[[#This Row],[Initial Risk $]]/Tabla1[[#This Row],[Position Size (shares)]]*2+Tabla1[[#This Row],[Entry Price]]</f>
        <v>727</v>
      </c>
      <c r="S188">
        <f>Tabla1[[#This Row],[Initial Risk $]]/Tabla1[[#This Row],[Position Size (shares)]]*2.5+Tabla1[[#This Row],[Entry Price]]</f>
        <v>728.5</v>
      </c>
      <c r="T188">
        <f>Tabla1[[#This Row],[Initial Risk $]]/Tabla1[[#This Row],[Position Size (shares)]]*3+Tabla1[[#This Row],[Entry Price]]</f>
        <v>730</v>
      </c>
    </row>
    <row r="189" spans="1:20" customFormat="1" hidden="1" x14ac:dyDescent="0.25">
      <c r="A189" t="str">
        <f t="shared" si="34"/>
        <v>T-188</v>
      </c>
      <c r="B189" s="1">
        <v>46160</v>
      </c>
      <c r="C189" t="s">
        <v>164</v>
      </c>
      <c r="D189" t="s">
        <v>28</v>
      </c>
      <c r="E189" t="s">
        <v>58</v>
      </c>
      <c r="F189">
        <v>224.77</v>
      </c>
      <c r="G189">
        <v>223.27</v>
      </c>
      <c r="H189">
        <f>Tabla1[[#This Row],[Entry Price]]-(Tabla1[[#This Row],[Entry Price]]-Tabla1[[#This Row],[Initial Stop]])/2</f>
        <v>224.02</v>
      </c>
      <c r="I189">
        <v>4</v>
      </c>
      <c r="J189">
        <f t="shared" si="35"/>
        <v>6</v>
      </c>
      <c r="K189">
        <v>1</v>
      </c>
      <c r="L189">
        <f t="shared" si="20"/>
        <v>6</v>
      </c>
      <c r="M189" t="s">
        <v>72</v>
      </c>
      <c r="N189">
        <f>SUMIF(Executions!B:B,A189,Executions!H:H)</f>
        <v>-6.32000000000005</v>
      </c>
      <c r="O189">
        <f t="shared" si="21"/>
        <v>-1.0533333333333417</v>
      </c>
      <c r="P189">
        <f>Tabla1[[#This Row],[Initial Risk $]]/Tabla1[[#This Row],[Position Size (shares)]]+Tabla1[[#This Row],[Entry Price]]</f>
        <v>226.27</v>
      </c>
      <c r="Q189">
        <f>Tabla1[[#This Row],[Initial Risk $]]/Tabla1[[#This Row],[Position Size (shares)]]*1.5+Tabla1[[#This Row],[Entry Price]]</f>
        <v>227.02</v>
      </c>
      <c r="R189">
        <f>Tabla1[[#This Row],[Initial Risk $]]/Tabla1[[#This Row],[Position Size (shares)]]*2+Tabla1[[#This Row],[Entry Price]]</f>
        <v>227.77</v>
      </c>
      <c r="S189">
        <f>Tabla1[[#This Row],[Initial Risk $]]/Tabla1[[#This Row],[Position Size (shares)]]*2.5+Tabla1[[#This Row],[Entry Price]]</f>
        <v>228.52</v>
      </c>
      <c r="T189">
        <f>Tabla1[[#This Row],[Initial Risk $]]/Tabla1[[#This Row],[Position Size (shares)]]*3+Tabla1[[#This Row],[Entry Price]]</f>
        <v>229.27</v>
      </c>
    </row>
    <row r="190" spans="1:20" customFormat="1" hidden="1" x14ac:dyDescent="0.25">
      <c r="A190" t="str">
        <f t="shared" si="34"/>
        <v>T-189</v>
      </c>
      <c r="B190" s="1">
        <v>46160</v>
      </c>
      <c r="C190" t="s">
        <v>279</v>
      </c>
      <c r="D190" t="s">
        <v>28</v>
      </c>
      <c r="E190" t="s">
        <v>49</v>
      </c>
      <c r="F190">
        <v>715.89</v>
      </c>
      <c r="G190">
        <v>711.49</v>
      </c>
      <c r="H190">
        <f>Tabla1[[#This Row],[Entry Price]]-(Tabla1[[#This Row],[Entry Price]]-Tabla1[[#This Row],[Initial Stop]])/2</f>
        <v>713.69</v>
      </c>
      <c r="I190">
        <v>2</v>
      </c>
      <c r="J190">
        <f t="shared" si="35"/>
        <v>8.7999999999999545</v>
      </c>
      <c r="K190">
        <v>1</v>
      </c>
      <c r="L190">
        <f t="shared" si="20"/>
        <v>8.7999999999999545</v>
      </c>
      <c r="M190" t="s">
        <v>72</v>
      </c>
      <c r="N190">
        <f>SUMIF(Executions!B:B,A190,Executions!H:H)</f>
        <v>-10.5</v>
      </c>
      <c r="O190">
        <f t="shared" si="21"/>
        <v>-1.1931818181818243</v>
      </c>
      <c r="P190">
        <f>Tabla1[[#This Row],[Initial Risk $]]/Tabla1[[#This Row],[Position Size (shares)]]+Tabla1[[#This Row],[Entry Price]]</f>
        <v>720.29</v>
      </c>
      <c r="Q190">
        <f>Tabla1[[#This Row],[Initial Risk $]]/Tabla1[[#This Row],[Position Size (shares)]]*1.5+Tabla1[[#This Row],[Entry Price]]</f>
        <v>722.49</v>
      </c>
      <c r="R190">
        <f>Tabla1[[#This Row],[Initial Risk $]]/Tabla1[[#This Row],[Position Size (shares)]]*2+Tabla1[[#This Row],[Entry Price]]</f>
        <v>724.68999999999994</v>
      </c>
      <c r="S190">
        <f>Tabla1[[#This Row],[Initial Risk $]]/Tabla1[[#This Row],[Position Size (shares)]]*2.5+Tabla1[[#This Row],[Entry Price]]</f>
        <v>726.88999999999987</v>
      </c>
      <c r="T190">
        <f>Tabla1[[#This Row],[Initial Risk $]]/Tabla1[[#This Row],[Position Size (shares)]]*3+Tabla1[[#This Row],[Entry Price]]</f>
        <v>729.08999999999992</v>
      </c>
    </row>
    <row r="191" spans="1:20" customFormat="1" hidden="1" x14ac:dyDescent="0.25">
      <c r="A191" t="str">
        <f t="shared" si="34"/>
        <v>T-190</v>
      </c>
      <c r="B191" s="1">
        <v>46160</v>
      </c>
      <c r="C191" t="s">
        <v>154</v>
      </c>
      <c r="D191" t="s">
        <v>28</v>
      </c>
      <c r="E191" t="s">
        <v>58</v>
      </c>
      <c r="F191">
        <v>399.01</v>
      </c>
      <c r="G191">
        <v>397.01</v>
      </c>
      <c r="H191">
        <f>Tabla1[[#This Row],[Entry Price]]-(Tabla1[[#This Row],[Entry Price]]-Tabla1[[#This Row],[Initial Stop]])/2</f>
        <v>398.01</v>
      </c>
      <c r="I191">
        <v>3</v>
      </c>
      <c r="J191">
        <f t="shared" si="35"/>
        <v>6</v>
      </c>
      <c r="K191">
        <v>1</v>
      </c>
      <c r="L191">
        <f t="shared" si="20"/>
        <v>6</v>
      </c>
      <c r="M191" t="s">
        <v>72</v>
      </c>
      <c r="N191">
        <f>SUMIF(Executions!B:B,A191,Executions!H:H)</f>
        <v>-5.9400000000000546</v>
      </c>
      <c r="O191">
        <f t="shared" si="21"/>
        <v>-0.99000000000000909</v>
      </c>
      <c r="P191">
        <f>Tabla1[[#This Row],[Initial Risk $]]/Tabla1[[#This Row],[Position Size (shares)]]+Tabla1[[#This Row],[Entry Price]]</f>
        <v>401.01</v>
      </c>
      <c r="Q191">
        <f>Tabla1[[#This Row],[Initial Risk $]]/Tabla1[[#This Row],[Position Size (shares)]]*1.5+Tabla1[[#This Row],[Entry Price]]</f>
        <v>402.01</v>
      </c>
      <c r="R191">
        <f>Tabla1[[#This Row],[Initial Risk $]]/Tabla1[[#This Row],[Position Size (shares)]]*2+Tabla1[[#This Row],[Entry Price]]</f>
        <v>403.01</v>
      </c>
      <c r="S191">
        <f>Tabla1[[#This Row],[Initial Risk $]]/Tabla1[[#This Row],[Position Size (shares)]]*2.5+Tabla1[[#This Row],[Entry Price]]</f>
        <v>404.01</v>
      </c>
      <c r="T191">
        <f>Tabla1[[#This Row],[Initial Risk $]]/Tabla1[[#This Row],[Position Size (shares)]]*3+Tabla1[[#This Row],[Entry Price]]</f>
        <v>405.01</v>
      </c>
    </row>
    <row r="192" spans="1:20" customFormat="1" hidden="1" x14ac:dyDescent="0.25">
      <c r="A192" t="str">
        <f t="shared" si="34"/>
        <v>T-191</v>
      </c>
      <c r="B192" s="1">
        <v>46160</v>
      </c>
      <c r="C192" t="s">
        <v>186</v>
      </c>
      <c r="D192" t="s">
        <v>28</v>
      </c>
      <c r="E192" t="s">
        <v>58</v>
      </c>
      <c r="F192">
        <v>266.60000000000002</v>
      </c>
      <c r="G192">
        <v>265.35000000000002</v>
      </c>
      <c r="H192">
        <f>Tabla1[[#This Row],[Entry Price]]-(Tabla1[[#This Row],[Entry Price]]-Tabla1[[#This Row],[Initial Stop]])/2</f>
        <v>265.97500000000002</v>
      </c>
      <c r="I192">
        <v>4</v>
      </c>
      <c r="J192">
        <f t="shared" si="35"/>
        <v>5</v>
      </c>
      <c r="K192">
        <v>1</v>
      </c>
      <c r="L192">
        <f t="shared" si="20"/>
        <v>5</v>
      </c>
      <c r="M192" t="s">
        <v>72</v>
      </c>
      <c r="N192">
        <f>SUMIF(Executions!B:B,A192,Executions!H:H)</f>
        <v>-5.1200000000001182</v>
      </c>
      <c r="O192">
        <f t="shared" si="21"/>
        <v>-1.0240000000000236</v>
      </c>
      <c r="P192">
        <f>Tabla1[[#This Row],[Initial Risk $]]/Tabla1[[#This Row],[Position Size (shares)]]+Tabla1[[#This Row],[Entry Price]]</f>
        <v>267.85000000000002</v>
      </c>
      <c r="Q192">
        <f>Tabla1[[#This Row],[Initial Risk $]]/Tabla1[[#This Row],[Position Size (shares)]]*1.5+Tabla1[[#This Row],[Entry Price]]</f>
        <v>268.47500000000002</v>
      </c>
      <c r="R192">
        <f>Tabla1[[#This Row],[Initial Risk $]]/Tabla1[[#This Row],[Position Size (shares)]]*2+Tabla1[[#This Row],[Entry Price]]</f>
        <v>269.10000000000002</v>
      </c>
      <c r="S192">
        <f>Tabla1[[#This Row],[Initial Risk $]]/Tabla1[[#This Row],[Position Size (shares)]]*2.5+Tabla1[[#This Row],[Entry Price]]</f>
        <v>269.72500000000002</v>
      </c>
      <c r="T192">
        <f>Tabla1[[#This Row],[Initial Risk $]]/Tabla1[[#This Row],[Position Size (shares)]]*3+Tabla1[[#This Row],[Entry Price]]</f>
        <v>270.35000000000002</v>
      </c>
    </row>
    <row r="193" spans="1:20" customFormat="1" hidden="1" x14ac:dyDescent="0.25">
      <c r="A193" t="str">
        <f t="shared" ref="A193:A200" si="36">"T-"&amp; TEXT(ROW()-1,"000")</f>
        <v>T-192</v>
      </c>
      <c r="B193" s="1">
        <v>46161</v>
      </c>
      <c r="C193" t="s">
        <v>206</v>
      </c>
      <c r="D193" t="s">
        <v>28</v>
      </c>
      <c r="E193" t="s">
        <v>58</v>
      </c>
      <c r="F193">
        <v>5.25</v>
      </c>
      <c r="G193">
        <v>4.95</v>
      </c>
      <c r="H193">
        <f>Tabla1[[#This Row],[Entry Price]]-(Tabla1[[#This Row],[Entry Price]]-Tabla1[[#This Row],[Initial Stop]])/2</f>
        <v>5.0999999999999996</v>
      </c>
      <c r="I193">
        <v>20</v>
      </c>
      <c r="J193">
        <f t="shared" ref="J193:J200" si="37">IF(D193="Long",(F193-G193)*I193,(G193-F193)*0)</f>
        <v>5.9999999999999964</v>
      </c>
      <c r="K193">
        <v>1</v>
      </c>
      <c r="L193">
        <f t="shared" si="20"/>
        <v>5.9999999999999964</v>
      </c>
      <c r="M193" t="s">
        <v>72</v>
      </c>
      <c r="N193">
        <f>SUMIF(Executions!B:B,A193,Executions!H:H)</f>
        <v>-6.1999999999999922</v>
      </c>
      <c r="O193">
        <f t="shared" si="21"/>
        <v>-1.0333333333333325</v>
      </c>
      <c r="P193">
        <f>Tabla1[[#This Row],[Initial Risk $]]/Tabla1[[#This Row],[Position Size (shares)]]+Tabla1[[#This Row],[Entry Price]]</f>
        <v>5.55</v>
      </c>
      <c r="Q193">
        <f>Tabla1[[#This Row],[Initial Risk $]]/Tabla1[[#This Row],[Position Size (shares)]]*1.5+Tabla1[[#This Row],[Entry Price]]</f>
        <v>5.6999999999999993</v>
      </c>
      <c r="R193">
        <f>Tabla1[[#This Row],[Initial Risk $]]/Tabla1[[#This Row],[Position Size (shares)]]*2+Tabla1[[#This Row],[Entry Price]]</f>
        <v>5.85</v>
      </c>
      <c r="S193">
        <f>Tabla1[[#This Row],[Initial Risk $]]/Tabla1[[#This Row],[Position Size (shares)]]*2.5+Tabla1[[#This Row],[Entry Price]]</f>
        <v>6</v>
      </c>
      <c r="T193">
        <f>Tabla1[[#This Row],[Initial Risk $]]/Tabla1[[#This Row],[Position Size (shares)]]*3+Tabla1[[#This Row],[Entry Price]]</f>
        <v>6.1499999999999995</v>
      </c>
    </row>
    <row r="194" spans="1:20" customFormat="1" hidden="1" x14ac:dyDescent="0.25">
      <c r="A194" t="str">
        <f t="shared" si="36"/>
        <v>T-193</v>
      </c>
      <c r="B194" s="1">
        <v>46161</v>
      </c>
      <c r="C194" t="s">
        <v>233</v>
      </c>
      <c r="D194" t="s">
        <v>28</v>
      </c>
      <c r="E194" t="s">
        <v>58</v>
      </c>
      <c r="F194">
        <v>425.95</v>
      </c>
      <c r="G194">
        <v>423</v>
      </c>
      <c r="H194">
        <f>Tabla1[[#This Row],[Entry Price]]-(Tabla1[[#This Row],[Entry Price]]-Tabla1[[#This Row],[Initial Stop]])/2</f>
        <v>424.47500000000002</v>
      </c>
      <c r="I194">
        <v>2</v>
      </c>
      <c r="J194">
        <f t="shared" si="37"/>
        <v>5.8999999999999773</v>
      </c>
      <c r="K194">
        <v>1</v>
      </c>
      <c r="L194">
        <f t="shared" ref="L194:L235" si="38">J194*K194</f>
        <v>5.8999999999999773</v>
      </c>
      <c r="M194" t="s">
        <v>72</v>
      </c>
      <c r="N194">
        <f>SUMIF(Executions!B:B,A194,Executions!H:H)</f>
        <v>-6.0399999999999636</v>
      </c>
      <c r="O194">
        <f t="shared" ref="O194:O257" si="39">N194/J194</f>
        <v>-1.0237288135593199</v>
      </c>
      <c r="P194">
        <f>Tabla1[[#This Row],[Initial Risk $]]/Tabla1[[#This Row],[Position Size (shares)]]+Tabla1[[#This Row],[Entry Price]]</f>
        <v>428.9</v>
      </c>
      <c r="Q194">
        <f>Tabla1[[#This Row],[Initial Risk $]]/Tabla1[[#This Row],[Position Size (shares)]]*1.5+Tabla1[[#This Row],[Entry Price]]</f>
        <v>430.375</v>
      </c>
      <c r="R194">
        <f>Tabla1[[#This Row],[Initial Risk $]]/Tabla1[[#This Row],[Position Size (shares)]]*2+Tabla1[[#This Row],[Entry Price]]</f>
        <v>431.84999999999997</v>
      </c>
      <c r="S194">
        <f>Tabla1[[#This Row],[Initial Risk $]]/Tabla1[[#This Row],[Position Size (shares)]]*2.5+Tabla1[[#This Row],[Entry Price]]</f>
        <v>433.32499999999993</v>
      </c>
      <c r="T194">
        <f>Tabla1[[#This Row],[Initial Risk $]]/Tabla1[[#This Row],[Position Size (shares)]]*3+Tabla1[[#This Row],[Entry Price]]</f>
        <v>434.79999999999995</v>
      </c>
    </row>
    <row r="195" spans="1:20" customFormat="1" hidden="1" x14ac:dyDescent="0.25">
      <c r="A195" t="str">
        <f t="shared" si="36"/>
        <v>T-194</v>
      </c>
      <c r="B195" s="1">
        <v>46161</v>
      </c>
      <c r="C195" t="s">
        <v>370</v>
      </c>
      <c r="D195" t="s">
        <v>28</v>
      </c>
      <c r="E195" t="s">
        <v>58</v>
      </c>
      <c r="F195">
        <v>25.35</v>
      </c>
      <c r="G195">
        <v>23.59</v>
      </c>
      <c r="H195">
        <f>Tabla1[[#This Row],[Entry Price]]-(Tabla1[[#This Row],[Entry Price]]-Tabla1[[#This Row],[Initial Stop]])/2</f>
        <v>24.47</v>
      </c>
      <c r="I195">
        <v>4</v>
      </c>
      <c r="J195">
        <f t="shared" si="37"/>
        <v>7.0400000000000063</v>
      </c>
      <c r="K195">
        <v>1</v>
      </c>
      <c r="L195">
        <f t="shared" si="38"/>
        <v>7.0400000000000063</v>
      </c>
      <c r="M195" t="s">
        <v>72</v>
      </c>
      <c r="N195">
        <f>SUMIF(Executions!B:B,A195,Executions!H:H)</f>
        <v>19.28</v>
      </c>
      <c r="O195">
        <f t="shared" si="39"/>
        <v>2.7386363636363615</v>
      </c>
      <c r="P195">
        <f>Tabla1[[#This Row],[Initial Risk $]]/Tabla1[[#This Row],[Position Size (shares)]]+Tabla1[[#This Row],[Entry Price]]</f>
        <v>27.110000000000003</v>
      </c>
      <c r="Q195">
        <f>Tabla1[[#This Row],[Initial Risk $]]/Tabla1[[#This Row],[Position Size (shares)]]*1.5+Tabla1[[#This Row],[Entry Price]]</f>
        <v>27.990000000000002</v>
      </c>
      <c r="R195">
        <f>Tabla1[[#This Row],[Initial Risk $]]/Tabla1[[#This Row],[Position Size (shares)]]*2+Tabla1[[#This Row],[Entry Price]]</f>
        <v>28.870000000000005</v>
      </c>
      <c r="S195">
        <f>Tabla1[[#This Row],[Initial Risk $]]/Tabla1[[#This Row],[Position Size (shares)]]*2.5+Tabla1[[#This Row],[Entry Price]]</f>
        <v>29.750000000000007</v>
      </c>
      <c r="T195">
        <f>Tabla1[[#This Row],[Initial Risk $]]/Tabla1[[#This Row],[Position Size (shares)]]*3+Tabla1[[#This Row],[Entry Price]]</f>
        <v>30.630000000000006</v>
      </c>
    </row>
    <row r="196" spans="1:20" customFormat="1" hidden="1" x14ac:dyDescent="0.25">
      <c r="A196" t="str">
        <f t="shared" si="36"/>
        <v>T-195</v>
      </c>
      <c r="B196" s="1">
        <v>46161</v>
      </c>
      <c r="C196" t="s">
        <v>279</v>
      </c>
      <c r="D196" t="s">
        <v>28</v>
      </c>
      <c r="E196" t="s">
        <v>49</v>
      </c>
      <c r="F196">
        <v>673.93</v>
      </c>
      <c r="G196">
        <v>670.93</v>
      </c>
      <c r="H196">
        <f>Tabla1[[#This Row],[Entry Price]]-(Tabla1[[#This Row],[Entry Price]]-Tabla1[[#This Row],[Initial Stop]])/2</f>
        <v>672.43</v>
      </c>
      <c r="I196">
        <v>4</v>
      </c>
      <c r="J196">
        <f t="shared" si="37"/>
        <v>12</v>
      </c>
      <c r="K196">
        <v>1</v>
      </c>
      <c r="L196">
        <f t="shared" si="38"/>
        <v>12</v>
      </c>
      <c r="M196" t="s">
        <v>72</v>
      </c>
      <c r="N196">
        <f>SUMIF(Executions!B:B,A196,Executions!H:H)</f>
        <v>72.010000000000218</v>
      </c>
      <c r="O196">
        <f t="shared" si="39"/>
        <v>6.0008333333333512</v>
      </c>
      <c r="P196">
        <f>Tabla1[[#This Row],[Initial Risk $]]/Tabla1[[#This Row],[Position Size (shares)]]+Tabla1[[#This Row],[Entry Price]]</f>
        <v>676.93</v>
      </c>
      <c r="Q196">
        <f>Tabla1[[#This Row],[Initial Risk $]]/Tabla1[[#This Row],[Position Size (shares)]]*1.5+Tabla1[[#This Row],[Entry Price]]</f>
        <v>678.43</v>
      </c>
      <c r="R196">
        <f>Tabla1[[#This Row],[Initial Risk $]]/Tabla1[[#This Row],[Position Size (shares)]]*2+Tabla1[[#This Row],[Entry Price]]</f>
        <v>679.93</v>
      </c>
      <c r="S196">
        <f>Tabla1[[#This Row],[Initial Risk $]]/Tabla1[[#This Row],[Position Size (shares)]]*2.5+Tabla1[[#This Row],[Entry Price]]</f>
        <v>681.43</v>
      </c>
      <c r="T196">
        <f>Tabla1[[#This Row],[Initial Risk $]]/Tabla1[[#This Row],[Position Size (shares)]]*3+Tabla1[[#This Row],[Entry Price]]</f>
        <v>682.93</v>
      </c>
    </row>
    <row r="197" spans="1:20" customFormat="1" hidden="1" x14ac:dyDescent="0.25">
      <c r="A197" t="str">
        <f t="shared" si="36"/>
        <v>T-196</v>
      </c>
      <c r="B197" s="1">
        <v>46161</v>
      </c>
      <c r="C197" t="s">
        <v>164</v>
      </c>
      <c r="D197" t="s">
        <v>28</v>
      </c>
      <c r="E197" t="s">
        <v>58</v>
      </c>
      <c r="F197">
        <v>220.6</v>
      </c>
      <c r="G197">
        <v>219.6</v>
      </c>
      <c r="H197">
        <f>Tabla1[[#This Row],[Entry Price]]-(Tabla1[[#This Row],[Entry Price]]-Tabla1[[#This Row],[Initial Stop]])/2</f>
        <v>220.1</v>
      </c>
      <c r="I197">
        <v>5</v>
      </c>
      <c r="J197">
        <f t="shared" si="37"/>
        <v>5</v>
      </c>
      <c r="K197">
        <v>1</v>
      </c>
      <c r="L197">
        <f t="shared" si="38"/>
        <v>5</v>
      </c>
      <c r="M197" t="s">
        <v>72</v>
      </c>
      <c r="N197">
        <f>SUMIF(Executions!B:B,A197,Executions!H:H)</f>
        <v>11.599999999999966</v>
      </c>
      <c r="O197">
        <f t="shared" si="39"/>
        <v>2.3199999999999932</v>
      </c>
      <c r="P197">
        <f>Tabla1[[#This Row],[Initial Risk $]]/Tabla1[[#This Row],[Position Size (shares)]]+Tabla1[[#This Row],[Entry Price]]</f>
        <v>221.6</v>
      </c>
      <c r="Q197">
        <f>Tabla1[[#This Row],[Initial Risk $]]/Tabla1[[#This Row],[Position Size (shares)]]*1.5+Tabla1[[#This Row],[Entry Price]]</f>
        <v>222.1</v>
      </c>
      <c r="R197">
        <f>Tabla1[[#This Row],[Initial Risk $]]/Tabla1[[#This Row],[Position Size (shares)]]*2+Tabla1[[#This Row],[Entry Price]]</f>
        <v>222.6</v>
      </c>
      <c r="S197">
        <f>Tabla1[[#This Row],[Initial Risk $]]/Tabla1[[#This Row],[Position Size (shares)]]*2.5+Tabla1[[#This Row],[Entry Price]]</f>
        <v>223.1</v>
      </c>
      <c r="T197">
        <f>Tabla1[[#This Row],[Initial Risk $]]/Tabla1[[#This Row],[Position Size (shares)]]*3+Tabla1[[#This Row],[Entry Price]]</f>
        <v>223.6</v>
      </c>
    </row>
    <row r="198" spans="1:20" customFormat="1" hidden="1" x14ac:dyDescent="0.25">
      <c r="A198" t="str">
        <f t="shared" si="36"/>
        <v>T-197</v>
      </c>
      <c r="B198" s="1">
        <v>46161</v>
      </c>
      <c r="C198" t="s">
        <v>255</v>
      </c>
      <c r="D198" t="s">
        <v>28</v>
      </c>
      <c r="E198" t="s">
        <v>58</v>
      </c>
      <c r="F198">
        <v>297.72000000000003</v>
      </c>
      <c r="G198">
        <v>296.72000000000003</v>
      </c>
      <c r="H198">
        <f>Tabla1[[#This Row],[Entry Price]]-(Tabla1[[#This Row],[Entry Price]]-Tabla1[[#This Row],[Initial Stop]])/2</f>
        <v>297.22000000000003</v>
      </c>
      <c r="I198">
        <v>4</v>
      </c>
      <c r="J198">
        <f t="shared" si="37"/>
        <v>4</v>
      </c>
      <c r="K198">
        <v>1</v>
      </c>
      <c r="L198">
        <f t="shared" si="38"/>
        <v>4</v>
      </c>
      <c r="M198" t="s">
        <v>72</v>
      </c>
      <c r="N198">
        <f>SUMIF(Executions!B:B,A198,Executions!H:H)</f>
        <v>2.5199999999999818</v>
      </c>
      <c r="O198">
        <f t="shared" si="39"/>
        <v>0.62999999999999545</v>
      </c>
      <c r="P198">
        <f>Tabla1[[#This Row],[Initial Risk $]]/Tabla1[[#This Row],[Position Size (shares)]]+Tabla1[[#This Row],[Entry Price]]</f>
        <v>298.72000000000003</v>
      </c>
      <c r="Q198">
        <f>Tabla1[[#This Row],[Initial Risk $]]/Tabla1[[#This Row],[Position Size (shares)]]*1.5+Tabla1[[#This Row],[Entry Price]]</f>
        <v>299.22000000000003</v>
      </c>
      <c r="R198">
        <f>Tabla1[[#This Row],[Initial Risk $]]/Tabla1[[#This Row],[Position Size (shares)]]*2+Tabla1[[#This Row],[Entry Price]]</f>
        <v>299.72000000000003</v>
      </c>
      <c r="S198">
        <f>Tabla1[[#This Row],[Initial Risk $]]/Tabla1[[#This Row],[Position Size (shares)]]*2.5+Tabla1[[#This Row],[Entry Price]]</f>
        <v>300.22000000000003</v>
      </c>
      <c r="T198">
        <f>Tabla1[[#This Row],[Initial Risk $]]/Tabla1[[#This Row],[Position Size (shares)]]*3+Tabla1[[#This Row],[Entry Price]]</f>
        <v>300.72000000000003</v>
      </c>
    </row>
    <row r="199" spans="1:20" customFormat="1" hidden="1" x14ac:dyDescent="0.25">
      <c r="A199" t="str">
        <f t="shared" si="36"/>
        <v>T-198</v>
      </c>
      <c r="B199" s="1">
        <v>46161</v>
      </c>
      <c r="C199" t="s">
        <v>154</v>
      </c>
      <c r="D199" t="s">
        <v>28</v>
      </c>
      <c r="E199" t="s">
        <v>58</v>
      </c>
      <c r="F199">
        <v>386.64</v>
      </c>
      <c r="G199">
        <v>384.14</v>
      </c>
      <c r="H199">
        <f>Tabla1[[#This Row],[Entry Price]]-(Tabla1[[#This Row],[Entry Price]]-Tabla1[[#This Row],[Initial Stop]])/2</f>
        <v>385.39</v>
      </c>
      <c r="I199">
        <v>2</v>
      </c>
      <c r="J199">
        <f t="shared" si="37"/>
        <v>5</v>
      </c>
      <c r="K199">
        <v>1</v>
      </c>
      <c r="L199">
        <f t="shared" si="38"/>
        <v>5</v>
      </c>
      <c r="M199" t="s">
        <v>72</v>
      </c>
      <c r="N199">
        <f>SUMIF(Executions!B:B,A199,Executions!H:H)</f>
        <v>-3.6599999999999682</v>
      </c>
      <c r="O199">
        <f t="shared" si="39"/>
        <v>-0.73199999999999366</v>
      </c>
      <c r="P199">
        <f>Tabla1[[#This Row],[Initial Risk $]]/Tabla1[[#This Row],[Position Size (shares)]]+Tabla1[[#This Row],[Entry Price]]</f>
        <v>389.14</v>
      </c>
      <c r="Q199">
        <f>Tabla1[[#This Row],[Initial Risk $]]/Tabla1[[#This Row],[Position Size (shares)]]*1.5+Tabla1[[#This Row],[Entry Price]]</f>
        <v>390.39</v>
      </c>
      <c r="R199">
        <f>Tabla1[[#This Row],[Initial Risk $]]/Tabla1[[#This Row],[Position Size (shares)]]*2+Tabla1[[#This Row],[Entry Price]]</f>
        <v>391.64</v>
      </c>
      <c r="S199">
        <f>Tabla1[[#This Row],[Initial Risk $]]/Tabla1[[#This Row],[Position Size (shares)]]*2.5+Tabla1[[#This Row],[Entry Price]]</f>
        <v>392.89</v>
      </c>
      <c r="T199">
        <f>Tabla1[[#This Row],[Initial Risk $]]/Tabla1[[#This Row],[Position Size (shares)]]*3+Tabla1[[#This Row],[Entry Price]]</f>
        <v>394.14</v>
      </c>
    </row>
    <row r="200" spans="1:20" customFormat="1" hidden="1" x14ac:dyDescent="0.25">
      <c r="A200" t="str">
        <f t="shared" si="36"/>
        <v>T-199</v>
      </c>
      <c r="B200" s="1">
        <v>46161</v>
      </c>
      <c r="C200" t="s">
        <v>173</v>
      </c>
      <c r="D200" t="s">
        <v>28</v>
      </c>
      <c r="E200" t="s">
        <v>119</v>
      </c>
      <c r="F200">
        <v>135.01</v>
      </c>
      <c r="G200">
        <v>134.25</v>
      </c>
      <c r="H200">
        <f>Tabla1[[#This Row],[Entry Price]]-(Tabla1[[#This Row],[Entry Price]]-Tabla1[[#This Row],[Initial Stop]])/2</f>
        <v>134.63</v>
      </c>
      <c r="I200">
        <v>8</v>
      </c>
      <c r="J200">
        <f t="shared" si="37"/>
        <v>6.0799999999999272</v>
      </c>
      <c r="K200">
        <v>1</v>
      </c>
      <c r="L200">
        <f t="shared" si="38"/>
        <v>6.0799999999999272</v>
      </c>
      <c r="M200" t="s">
        <v>72</v>
      </c>
      <c r="N200">
        <f>SUMIF(Executions!B:B,A200,Executions!H:H)</f>
        <v>3.6000000000001364</v>
      </c>
      <c r="O200">
        <f t="shared" si="39"/>
        <v>0.59210526315792422</v>
      </c>
      <c r="P200">
        <f>Tabla1[[#This Row],[Initial Risk $]]/Tabla1[[#This Row],[Position Size (shares)]]+Tabla1[[#This Row],[Entry Price]]</f>
        <v>135.76999999999998</v>
      </c>
      <c r="Q200">
        <f>Tabla1[[#This Row],[Initial Risk $]]/Tabla1[[#This Row],[Position Size (shares)]]*1.5+Tabla1[[#This Row],[Entry Price]]</f>
        <v>136.14999999999998</v>
      </c>
      <c r="R200">
        <f>Tabla1[[#This Row],[Initial Risk $]]/Tabla1[[#This Row],[Position Size (shares)]]*2+Tabla1[[#This Row],[Entry Price]]</f>
        <v>136.52999999999997</v>
      </c>
      <c r="S200">
        <f>Tabla1[[#This Row],[Initial Risk $]]/Tabla1[[#This Row],[Position Size (shares)]]*2.5+Tabla1[[#This Row],[Entry Price]]</f>
        <v>136.90999999999997</v>
      </c>
      <c r="T200">
        <f>Tabla1[[#This Row],[Initial Risk $]]/Tabla1[[#This Row],[Position Size (shares)]]*3+Tabla1[[#This Row],[Entry Price]]</f>
        <v>137.28999999999996</v>
      </c>
    </row>
    <row r="201" spans="1:20" customFormat="1" hidden="1" x14ac:dyDescent="0.25">
      <c r="A201" t="str">
        <f t="shared" ref="A201:A206" si="40">"T-"&amp; TEXT(ROW()-1,"000")</f>
        <v>T-200</v>
      </c>
      <c r="B201" s="1">
        <v>46162</v>
      </c>
      <c r="C201" t="s">
        <v>279</v>
      </c>
      <c r="D201" t="s">
        <v>28</v>
      </c>
      <c r="E201" t="s">
        <v>58</v>
      </c>
      <c r="F201">
        <v>722.64</v>
      </c>
      <c r="G201">
        <v>714.1</v>
      </c>
      <c r="H201">
        <f>Tabla1[[#This Row],[Entry Price]]-(Tabla1[[#This Row],[Entry Price]]-Tabla1[[#This Row],[Initial Stop]])/2</f>
        <v>718.37</v>
      </c>
      <c r="I201">
        <v>4</v>
      </c>
      <c r="J201">
        <f t="shared" ref="J201:J206" si="41">IF(D201="Long",(F201-G201)*I201,(G201-F201)*0)</f>
        <v>34.159999999999854</v>
      </c>
      <c r="K201">
        <v>1</v>
      </c>
      <c r="L201">
        <f t="shared" si="38"/>
        <v>34.159999999999854</v>
      </c>
      <c r="M201" t="s">
        <v>72</v>
      </c>
      <c r="N201">
        <f>SUMIF(Executions!B:B,A201,Executions!H:H)</f>
        <v>12.480000000000018</v>
      </c>
      <c r="O201">
        <f t="shared" si="39"/>
        <v>0.36533957845433462</v>
      </c>
      <c r="P201">
        <f>Tabla1[[#This Row],[Initial Risk $]]/Tabla1[[#This Row],[Position Size (shares)]]+Tabla1[[#This Row],[Entry Price]]</f>
        <v>731.18</v>
      </c>
      <c r="Q201">
        <f>Tabla1[[#This Row],[Initial Risk $]]/Tabla1[[#This Row],[Position Size (shares)]]*1.5+Tabla1[[#This Row],[Entry Price]]</f>
        <v>735.44999999999993</v>
      </c>
      <c r="R201">
        <f>Tabla1[[#This Row],[Initial Risk $]]/Tabla1[[#This Row],[Position Size (shares)]]*2+Tabla1[[#This Row],[Entry Price]]</f>
        <v>739.71999999999991</v>
      </c>
      <c r="S201">
        <f>Tabla1[[#This Row],[Initial Risk $]]/Tabla1[[#This Row],[Position Size (shares)]]*2.5+Tabla1[[#This Row],[Entry Price]]</f>
        <v>743.9899999999999</v>
      </c>
      <c r="T201">
        <f>Tabla1[[#This Row],[Initial Risk $]]/Tabla1[[#This Row],[Position Size (shares)]]*3+Tabla1[[#This Row],[Entry Price]]</f>
        <v>748.25999999999988</v>
      </c>
    </row>
    <row r="202" spans="1:20" customFormat="1" hidden="1" x14ac:dyDescent="0.25">
      <c r="A202" t="str">
        <f t="shared" si="40"/>
        <v>T-201</v>
      </c>
      <c r="B202" s="1">
        <v>46162</v>
      </c>
      <c r="C202" t="s">
        <v>161</v>
      </c>
      <c r="D202" t="s">
        <v>28</v>
      </c>
      <c r="E202" t="s">
        <v>58</v>
      </c>
      <c r="F202">
        <v>116.89</v>
      </c>
      <c r="G202">
        <v>115.89</v>
      </c>
      <c r="H202">
        <f>Tabla1[[#This Row],[Entry Price]]-(Tabla1[[#This Row],[Entry Price]]-Tabla1[[#This Row],[Initial Stop]])/2</f>
        <v>116.39</v>
      </c>
      <c r="I202">
        <v>6</v>
      </c>
      <c r="J202">
        <f t="shared" si="41"/>
        <v>6</v>
      </c>
      <c r="K202">
        <v>1</v>
      </c>
      <c r="L202">
        <f t="shared" si="38"/>
        <v>6</v>
      </c>
      <c r="M202" t="s">
        <v>72</v>
      </c>
      <c r="N202">
        <f>SUMIF(Executions!B:B,A202,Executions!H:H)</f>
        <v>17.980000000000018</v>
      </c>
      <c r="O202">
        <f t="shared" si="39"/>
        <v>2.9966666666666697</v>
      </c>
      <c r="P202">
        <f>Tabla1[[#This Row],[Initial Risk $]]/Tabla1[[#This Row],[Position Size (shares)]]+Tabla1[[#This Row],[Entry Price]]</f>
        <v>117.89</v>
      </c>
      <c r="Q202">
        <f>Tabla1[[#This Row],[Initial Risk $]]/Tabla1[[#This Row],[Position Size (shares)]]*1.5+Tabla1[[#This Row],[Entry Price]]</f>
        <v>118.39</v>
      </c>
      <c r="R202">
        <f>Tabla1[[#This Row],[Initial Risk $]]/Tabla1[[#This Row],[Position Size (shares)]]*2+Tabla1[[#This Row],[Entry Price]]</f>
        <v>118.89</v>
      </c>
      <c r="S202">
        <f>Tabla1[[#This Row],[Initial Risk $]]/Tabla1[[#This Row],[Position Size (shares)]]*2.5+Tabla1[[#This Row],[Entry Price]]</f>
        <v>119.39</v>
      </c>
      <c r="T202">
        <f>Tabla1[[#This Row],[Initial Risk $]]/Tabla1[[#This Row],[Position Size (shares)]]*3+Tabla1[[#This Row],[Entry Price]]</f>
        <v>119.89</v>
      </c>
    </row>
    <row r="203" spans="1:20" customFormat="1" hidden="1" x14ac:dyDescent="0.25">
      <c r="A203" t="str">
        <f t="shared" si="40"/>
        <v>T-202</v>
      </c>
      <c r="B203" s="1">
        <v>46162</v>
      </c>
      <c r="C203" t="s">
        <v>161</v>
      </c>
      <c r="D203" t="s">
        <v>28</v>
      </c>
      <c r="E203" t="s">
        <v>58</v>
      </c>
      <c r="F203">
        <v>117.58</v>
      </c>
      <c r="G203">
        <v>116.3</v>
      </c>
      <c r="H203">
        <f>Tabla1[[#This Row],[Entry Price]]-(Tabla1[[#This Row],[Entry Price]]-Tabla1[[#This Row],[Initial Stop]])/2</f>
        <v>116.94</v>
      </c>
      <c r="I203">
        <v>6</v>
      </c>
      <c r="J203">
        <f t="shared" si="41"/>
        <v>7.6800000000000068</v>
      </c>
      <c r="K203">
        <v>1</v>
      </c>
      <c r="L203">
        <f t="shared" si="38"/>
        <v>7.6800000000000068</v>
      </c>
      <c r="M203" t="s">
        <v>72</v>
      </c>
      <c r="N203">
        <f>SUMIF(Executions!B:B,A203,Executions!H:H)</f>
        <v>-8.2200000000000273</v>
      </c>
      <c r="O203">
        <f t="shared" si="39"/>
        <v>-1.0703125000000027</v>
      </c>
      <c r="P203">
        <f>Tabla1[[#This Row],[Initial Risk $]]/Tabla1[[#This Row],[Position Size (shares)]]+Tabla1[[#This Row],[Entry Price]]</f>
        <v>118.86</v>
      </c>
      <c r="Q203">
        <f>Tabla1[[#This Row],[Initial Risk $]]/Tabla1[[#This Row],[Position Size (shares)]]*1.5+Tabla1[[#This Row],[Entry Price]]</f>
        <v>119.5</v>
      </c>
      <c r="R203">
        <f>Tabla1[[#This Row],[Initial Risk $]]/Tabla1[[#This Row],[Position Size (shares)]]*2+Tabla1[[#This Row],[Entry Price]]</f>
        <v>120.14</v>
      </c>
      <c r="S203">
        <f>Tabla1[[#This Row],[Initial Risk $]]/Tabla1[[#This Row],[Position Size (shares)]]*2.5+Tabla1[[#This Row],[Entry Price]]</f>
        <v>120.78</v>
      </c>
      <c r="T203">
        <f>Tabla1[[#This Row],[Initial Risk $]]/Tabla1[[#This Row],[Position Size (shares)]]*3+Tabla1[[#This Row],[Entry Price]]</f>
        <v>121.42</v>
      </c>
    </row>
    <row r="204" spans="1:20" customFormat="1" hidden="1" x14ac:dyDescent="0.25">
      <c r="A204" t="str">
        <f t="shared" si="40"/>
        <v>T-203</v>
      </c>
      <c r="B204" s="1">
        <v>46162</v>
      </c>
      <c r="C204" t="s">
        <v>186</v>
      </c>
      <c r="D204" t="s">
        <v>28</v>
      </c>
      <c r="E204" t="s">
        <v>58</v>
      </c>
      <c r="F204">
        <v>262.7</v>
      </c>
      <c r="G204">
        <v>261.7</v>
      </c>
      <c r="H204">
        <f>Tabla1[[#This Row],[Entry Price]]-(Tabla1[[#This Row],[Entry Price]]-Tabla1[[#This Row],[Initial Stop]])/2</f>
        <v>262.2</v>
      </c>
      <c r="I204">
        <v>4</v>
      </c>
      <c r="J204">
        <f t="shared" si="41"/>
        <v>4</v>
      </c>
      <c r="K204">
        <v>1</v>
      </c>
      <c r="L204">
        <f t="shared" si="38"/>
        <v>4</v>
      </c>
      <c r="M204" t="s">
        <v>72</v>
      </c>
      <c r="N204">
        <f>SUMIF(Executions!B:B,A204,Executions!H:H)</f>
        <v>6.0399999999999636</v>
      </c>
      <c r="O204">
        <f t="shared" si="39"/>
        <v>1.5099999999999909</v>
      </c>
      <c r="P204">
        <f>Tabla1[[#This Row],[Initial Risk $]]/Tabla1[[#This Row],[Position Size (shares)]]+Tabla1[[#This Row],[Entry Price]]</f>
        <v>263.7</v>
      </c>
      <c r="Q204">
        <f>Tabla1[[#This Row],[Initial Risk $]]/Tabla1[[#This Row],[Position Size (shares)]]*1.5+Tabla1[[#This Row],[Entry Price]]</f>
        <v>264.2</v>
      </c>
      <c r="R204">
        <f>Tabla1[[#This Row],[Initial Risk $]]/Tabla1[[#This Row],[Position Size (shares)]]*2+Tabla1[[#This Row],[Entry Price]]</f>
        <v>264.7</v>
      </c>
      <c r="S204">
        <f>Tabla1[[#This Row],[Initial Risk $]]/Tabla1[[#This Row],[Position Size (shares)]]*2.5+Tabla1[[#This Row],[Entry Price]]</f>
        <v>265.2</v>
      </c>
      <c r="T204">
        <f>Tabla1[[#This Row],[Initial Risk $]]/Tabla1[[#This Row],[Position Size (shares)]]*3+Tabla1[[#This Row],[Entry Price]]</f>
        <v>265.7</v>
      </c>
    </row>
    <row r="205" spans="1:20" customFormat="1" hidden="1" x14ac:dyDescent="0.25">
      <c r="A205" t="str">
        <f t="shared" si="40"/>
        <v>T-204</v>
      </c>
      <c r="B205" s="1">
        <v>46162</v>
      </c>
      <c r="C205" t="s">
        <v>135</v>
      </c>
      <c r="D205" t="s">
        <v>28</v>
      </c>
      <c r="E205" t="s">
        <v>58</v>
      </c>
      <c r="F205">
        <v>252.74</v>
      </c>
      <c r="G205">
        <v>251.15</v>
      </c>
      <c r="H205">
        <f>Tabla1[[#This Row],[Entry Price]]-(Tabla1[[#This Row],[Entry Price]]-Tabla1[[#This Row],[Initial Stop]])/2</f>
        <v>251.94499999999999</v>
      </c>
      <c r="I205">
        <v>3</v>
      </c>
      <c r="J205">
        <f t="shared" si="41"/>
        <v>4.7700000000000102</v>
      </c>
      <c r="K205">
        <v>1</v>
      </c>
      <c r="L205">
        <f t="shared" si="38"/>
        <v>4.7700000000000102</v>
      </c>
      <c r="M205" t="s">
        <v>72</v>
      </c>
      <c r="N205">
        <f>SUMIF(Executions!B:B,A205,Executions!H:H)</f>
        <v>8.8199999999999932</v>
      </c>
      <c r="O205">
        <f t="shared" si="39"/>
        <v>1.8490566037735796</v>
      </c>
      <c r="P205">
        <f>Tabla1[[#This Row],[Initial Risk $]]/Tabla1[[#This Row],[Position Size (shares)]]+Tabla1[[#This Row],[Entry Price]]</f>
        <v>254.33</v>
      </c>
      <c r="Q205">
        <f>Tabla1[[#This Row],[Initial Risk $]]/Tabla1[[#This Row],[Position Size (shares)]]*1.5+Tabla1[[#This Row],[Entry Price]]</f>
        <v>255.125</v>
      </c>
      <c r="R205">
        <f>Tabla1[[#This Row],[Initial Risk $]]/Tabla1[[#This Row],[Position Size (shares)]]*2+Tabla1[[#This Row],[Entry Price]]</f>
        <v>255.92000000000002</v>
      </c>
      <c r="S205">
        <f>Tabla1[[#This Row],[Initial Risk $]]/Tabla1[[#This Row],[Position Size (shares)]]*2.5+Tabla1[[#This Row],[Entry Price]]</f>
        <v>256.71500000000003</v>
      </c>
      <c r="T205">
        <f>Tabla1[[#This Row],[Initial Risk $]]/Tabla1[[#This Row],[Position Size (shares)]]*3+Tabla1[[#This Row],[Entry Price]]</f>
        <v>257.51</v>
      </c>
    </row>
    <row r="206" spans="1:20" customFormat="1" hidden="1" x14ac:dyDescent="0.25">
      <c r="A206" t="str">
        <f t="shared" si="40"/>
        <v>T-205</v>
      </c>
      <c r="B206" s="1">
        <v>46162</v>
      </c>
      <c r="C206" t="s">
        <v>135</v>
      </c>
      <c r="D206" t="s">
        <v>28</v>
      </c>
      <c r="E206" t="s">
        <v>58</v>
      </c>
      <c r="F206">
        <v>252.74</v>
      </c>
      <c r="G206">
        <v>247.04</v>
      </c>
      <c r="H206">
        <f>Tabla1[[#This Row],[Entry Price]]-(Tabla1[[#This Row],[Entry Price]]-Tabla1[[#This Row],[Initial Stop]])/2</f>
        <v>249.89</v>
      </c>
      <c r="I206">
        <v>1</v>
      </c>
      <c r="J206">
        <f t="shared" si="41"/>
        <v>5.7000000000000171</v>
      </c>
      <c r="K206">
        <v>1</v>
      </c>
      <c r="L206">
        <f t="shared" si="38"/>
        <v>5.7000000000000171</v>
      </c>
      <c r="M206" t="s">
        <v>72</v>
      </c>
      <c r="N206">
        <f>SUMIF(Executions!B:B,A206,Executions!H:H)</f>
        <v>165.71999999999997</v>
      </c>
      <c r="O206">
        <f t="shared" si="39"/>
        <v>29.073684210526224</v>
      </c>
      <c r="P206">
        <f>Tabla1[[#This Row],[Initial Risk $]]/Tabla1[[#This Row],[Position Size (shares)]]+Tabla1[[#This Row],[Entry Price]]</f>
        <v>258.44000000000005</v>
      </c>
      <c r="Q206">
        <f>Tabla1[[#This Row],[Initial Risk $]]/Tabla1[[#This Row],[Position Size (shares)]]*1.5+Tabla1[[#This Row],[Entry Price]]</f>
        <v>261.29000000000002</v>
      </c>
      <c r="R206">
        <f>Tabla1[[#This Row],[Initial Risk $]]/Tabla1[[#This Row],[Position Size (shares)]]*2+Tabla1[[#This Row],[Entry Price]]</f>
        <v>264.14000000000004</v>
      </c>
      <c r="S206">
        <f>Tabla1[[#This Row],[Initial Risk $]]/Tabla1[[#This Row],[Position Size (shares)]]*2.5+Tabla1[[#This Row],[Entry Price]]</f>
        <v>266.99000000000007</v>
      </c>
      <c r="T206">
        <f>Tabla1[[#This Row],[Initial Risk $]]/Tabla1[[#This Row],[Position Size (shares)]]*3+Tabla1[[#This Row],[Entry Price]]</f>
        <v>269.84000000000003</v>
      </c>
    </row>
    <row r="207" spans="1:20" customFormat="1" hidden="1" x14ac:dyDescent="0.25">
      <c r="A207" t="str">
        <f t="shared" ref="A207:A213" si="42">"T-"&amp; TEXT(ROW()-1,"000")</f>
        <v>T-206</v>
      </c>
      <c r="B207" s="1">
        <v>46163</v>
      </c>
      <c r="C207" t="s">
        <v>233</v>
      </c>
      <c r="D207" t="s">
        <v>28</v>
      </c>
      <c r="E207" t="s">
        <v>49</v>
      </c>
      <c r="F207">
        <v>422.59</v>
      </c>
      <c r="G207">
        <v>420.6</v>
      </c>
      <c r="H207">
        <f>Tabla1[[#This Row],[Entry Price]]-(Tabla1[[#This Row],[Entry Price]]-Tabla1[[#This Row],[Initial Stop]])/2</f>
        <v>421.59500000000003</v>
      </c>
      <c r="I207">
        <v>3</v>
      </c>
      <c r="J207">
        <f t="shared" ref="J207:J213" si="43">IF(D207="Long",(F207-G207)*I207,(G207-F207)*0)</f>
        <v>5.9699999999998568</v>
      </c>
      <c r="K207">
        <v>1</v>
      </c>
      <c r="L207">
        <f t="shared" si="38"/>
        <v>5.9699999999998568</v>
      </c>
      <c r="M207" t="s">
        <v>72</v>
      </c>
      <c r="N207">
        <f>SUMIF(Executions!B:B,A207,Executions!H:H)</f>
        <v>-5.8799999999999386</v>
      </c>
      <c r="O207">
        <f t="shared" si="39"/>
        <v>-0.98492462311559126</v>
      </c>
      <c r="P207">
        <f>Tabla1[[#This Row],[Initial Risk $]]/Tabla1[[#This Row],[Position Size (shares)]]+Tabla1[[#This Row],[Entry Price]]</f>
        <v>424.57999999999993</v>
      </c>
      <c r="Q207">
        <f>Tabla1[[#This Row],[Initial Risk $]]/Tabla1[[#This Row],[Position Size (shares)]]*1.5+Tabla1[[#This Row],[Entry Price]]</f>
        <v>425.57499999999993</v>
      </c>
      <c r="R207">
        <f>Tabla1[[#This Row],[Initial Risk $]]/Tabla1[[#This Row],[Position Size (shares)]]*2+Tabla1[[#This Row],[Entry Price]]</f>
        <v>426.56999999999988</v>
      </c>
      <c r="S207">
        <f>Tabla1[[#This Row],[Initial Risk $]]/Tabla1[[#This Row],[Position Size (shares)]]*2.5+Tabla1[[#This Row],[Entry Price]]</f>
        <v>427.56499999999983</v>
      </c>
      <c r="T207">
        <f>Tabla1[[#This Row],[Initial Risk $]]/Tabla1[[#This Row],[Position Size (shares)]]*3+Tabla1[[#This Row],[Entry Price]]</f>
        <v>428.55999999999983</v>
      </c>
    </row>
    <row r="208" spans="1:20" customFormat="1" hidden="1" x14ac:dyDescent="0.25">
      <c r="A208" t="str">
        <f t="shared" si="42"/>
        <v>T-207</v>
      </c>
      <c r="B208" s="1">
        <v>46163</v>
      </c>
      <c r="C208" t="s">
        <v>383</v>
      </c>
      <c r="D208" t="s">
        <v>28</v>
      </c>
      <c r="E208" t="s">
        <v>58</v>
      </c>
      <c r="F208">
        <v>653.72</v>
      </c>
      <c r="G208">
        <v>649.72</v>
      </c>
      <c r="H208">
        <f>Tabla1[[#This Row],[Entry Price]]-(Tabla1[[#This Row],[Entry Price]]-Tabla1[[#This Row],[Initial Stop]])/2</f>
        <v>651.72</v>
      </c>
      <c r="I208">
        <v>2</v>
      </c>
      <c r="J208">
        <f t="shared" si="43"/>
        <v>8</v>
      </c>
      <c r="K208">
        <v>1</v>
      </c>
      <c r="L208">
        <f t="shared" si="38"/>
        <v>8</v>
      </c>
      <c r="M208" t="s">
        <v>72</v>
      </c>
      <c r="N208">
        <f>SUMIF(Executions!B:B,A208,Executions!H:H)</f>
        <v>-8.5800000000001546</v>
      </c>
      <c r="O208">
        <f t="shared" si="39"/>
        <v>-1.0725000000000193</v>
      </c>
      <c r="P208">
        <f>Tabla1[[#This Row],[Initial Risk $]]/Tabla1[[#This Row],[Position Size (shares)]]+Tabla1[[#This Row],[Entry Price]]</f>
        <v>657.72</v>
      </c>
      <c r="Q208">
        <f>Tabla1[[#This Row],[Initial Risk $]]/Tabla1[[#This Row],[Position Size (shares)]]*1.5+Tabla1[[#This Row],[Entry Price]]</f>
        <v>659.72</v>
      </c>
      <c r="R208">
        <f>Tabla1[[#This Row],[Initial Risk $]]/Tabla1[[#This Row],[Position Size (shares)]]*2+Tabla1[[#This Row],[Entry Price]]</f>
        <v>661.72</v>
      </c>
      <c r="S208">
        <f>Tabla1[[#This Row],[Initial Risk $]]/Tabla1[[#This Row],[Position Size (shares)]]*2.5+Tabla1[[#This Row],[Entry Price]]</f>
        <v>663.72</v>
      </c>
      <c r="T208">
        <f>Tabla1[[#This Row],[Initial Risk $]]/Tabla1[[#This Row],[Position Size (shares)]]*3+Tabla1[[#This Row],[Entry Price]]</f>
        <v>665.72</v>
      </c>
    </row>
    <row r="209" spans="1:20" customFormat="1" hidden="1" x14ac:dyDescent="0.25">
      <c r="A209" t="str">
        <f t="shared" si="42"/>
        <v>T-208</v>
      </c>
      <c r="B209" s="1">
        <v>46163</v>
      </c>
      <c r="C209" t="s">
        <v>164</v>
      </c>
      <c r="D209" t="s">
        <v>28</v>
      </c>
      <c r="E209" t="s">
        <v>51</v>
      </c>
      <c r="F209">
        <v>222.51</v>
      </c>
      <c r="G209">
        <v>220.51</v>
      </c>
      <c r="H209">
        <f>Tabla1[[#This Row],[Entry Price]]-(Tabla1[[#This Row],[Entry Price]]-Tabla1[[#This Row],[Initial Stop]])/2</f>
        <v>221.51</v>
      </c>
      <c r="I209">
        <v>4</v>
      </c>
      <c r="J209">
        <f t="shared" si="43"/>
        <v>8</v>
      </c>
      <c r="K209">
        <v>1</v>
      </c>
      <c r="L209">
        <f t="shared" si="38"/>
        <v>8</v>
      </c>
      <c r="M209" t="s">
        <v>72</v>
      </c>
      <c r="N209">
        <f>SUMIF(Executions!B:B,A209,Executions!H:H)</f>
        <v>-8.0799999999999272</v>
      </c>
      <c r="O209">
        <f t="shared" si="39"/>
        <v>-1.0099999999999909</v>
      </c>
      <c r="P209">
        <f>Tabla1[[#This Row],[Initial Risk $]]/Tabla1[[#This Row],[Position Size (shares)]]+Tabla1[[#This Row],[Entry Price]]</f>
        <v>224.51</v>
      </c>
      <c r="Q209">
        <f>Tabla1[[#This Row],[Initial Risk $]]/Tabla1[[#This Row],[Position Size (shares)]]*1.5+Tabla1[[#This Row],[Entry Price]]</f>
        <v>225.51</v>
      </c>
      <c r="R209">
        <f>Tabla1[[#This Row],[Initial Risk $]]/Tabla1[[#This Row],[Position Size (shares)]]*2+Tabla1[[#This Row],[Entry Price]]</f>
        <v>226.51</v>
      </c>
      <c r="S209">
        <f>Tabla1[[#This Row],[Initial Risk $]]/Tabla1[[#This Row],[Position Size (shares)]]*2.5+Tabla1[[#This Row],[Entry Price]]</f>
        <v>227.51</v>
      </c>
      <c r="T209">
        <f>Tabla1[[#This Row],[Initial Risk $]]/Tabla1[[#This Row],[Position Size (shares)]]*3+Tabla1[[#This Row],[Entry Price]]</f>
        <v>228.51</v>
      </c>
    </row>
    <row r="210" spans="1:20" customFormat="1" hidden="1" x14ac:dyDescent="0.25">
      <c r="A210" t="str">
        <f t="shared" si="42"/>
        <v>T-209</v>
      </c>
      <c r="B210" s="1">
        <v>46163</v>
      </c>
      <c r="C210" t="s">
        <v>279</v>
      </c>
      <c r="D210" t="s">
        <v>28</v>
      </c>
      <c r="E210" t="s">
        <v>58</v>
      </c>
      <c r="F210">
        <v>745.23</v>
      </c>
      <c r="G210">
        <v>741.23</v>
      </c>
      <c r="H210">
        <f>Tabla1[[#This Row],[Entry Price]]-(Tabla1[[#This Row],[Entry Price]]-Tabla1[[#This Row],[Initial Stop]])/2</f>
        <v>743.23</v>
      </c>
      <c r="I210">
        <v>2</v>
      </c>
      <c r="J210">
        <f t="shared" si="43"/>
        <v>8</v>
      </c>
      <c r="K210">
        <v>1</v>
      </c>
      <c r="L210">
        <f t="shared" si="38"/>
        <v>8</v>
      </c>
      <c r="M210" t="s">
        <v>72</v>
      </c>
      <c r="N210">
        <f>SUMIF(Executions!B:B,A210,Executions!H:H)</f>
        <v>17.779999999999973</v>
      </c>
      <c r="O210">
        <f t="shared" si="39"/>
        <v>2.2224999999999966</v>
      </c>
      <c r="P210">
        <f>Tabla1[[#This Row],[Initial Risk $]]/Tabla1[[#This Row],[Position Size (shares)]]+Tabla1[[#This Row],[Entry Price]]</f>
        <v>749.23</v>
      </c>
      <c r="Q210">
        <f>Tabla1[[#This Row],[Initial Risk $]]/Tabla1[[#This Row],[Position Size (shares)]]*1.5+Tabla1[[#This Row],[Entry Price]]</f>
        <v>751.23</v>
      </c>
      <c r="R210">
        <f>Tabla1[[#This Row],[Initial Risk $]]/Tabla1[[#This Row],[Position Size (shares)]]*2+Tabla1[[#This Row],[Entry Price]]</f>
        <v>753.23</v>
      </c>
      <c r="S210">
        <f>Tabla1[[#This Row],[Initial Risk $]]/Tabla1[[#This Row],[Position Size (shares)]]*2.5+Tabla1[[#This Row],[Entry Price]]</f>
        <v>755.23</v>
      </c>
      <c r="T210">
        <f>Tabla1[[#This Row],[Initial Risk $]]/Tabla1[[#This Row],[Position Size (shares)]]*3+Tabla1[[#This Row],[Entry Price]]</f>
        <v>757.23</v>
      </c>
    </row>
    <row r="211" spans="1:20" customFormat="1" hidden="1" x14ac:dyDescent="0.25">
      <c r="A211" t="str">
        <f t="shared" si="42"/>
        <v>T-210</v>
      </c>
      <c r="B211" s="1">
        <v>46163</v>
      </c>
      <c r="C211" t="s">
        <v>383</v>
      </c>
      <c r="D211" t="s">
        <v>28</v>
      </c>
      <c r="E211" t="s">
        <v>58</v>
      </c>
      <c r="F211">
        <v>648.72</v>
      </c>
      <c r="G211">
        <v>645.72</v>
      </c>
      <c r="H211">
        <f>Tabla1[[#This Row],[Entry Price]]-(Tabla1[[#This Row],[Entry Price]]-Tabla1[[#This Row],[Initial Stop]])/2</f>
        <v>647.22</v>
      </c>
      <c r="I211">
        <v>2</v>
      </c>
      <c r="J211">
        <f t="shared" si="43"/>
        <v>6</v>
      </c>
      <c r="K211">
        <v>1</v>
      </c>
      <c r="L211">
        <f t="shared" si="38"/>
        <v>6</v>
      </c>
      <c r="M211" t="s">
        <v>72</v>
      </c>
      <c r="N211">
        <f>SUMIF(Executions!B:B,A211,Executions!H:H)</f>
        <v>-6.7599999999999909</v>
      </c>
      <c r="O211">
        <f t="shared" si="39"/>
        <v>-1.1266666666666652</v>
      </c>
      <c r="P211">
        <f>Tabla1[[#This Row],[Initial Risk $]]/Tabla1[[#This Row],[Position Size (shares)]]+Tabla1[[#This Row],[Entry Price]]</f>
        <v>651.72</v>
      </c>
      <c r="Q211">
        <f>Tabla1[[#This Row],[Initial Risk $]]/Tabla1[[#This Row],[Position Size (shares)]]*1.5+Tabla1[[#This Row],[Entry Price]]</f>
        <v>653.22</v>
      </c>
      <c r="R211">
        <f>Tabla1[[#This Row],[Initial Risk $]]/Tabla1[[#This Row],[Position Size (shares)]]*2+Tabla1[[#This Row],[Entry Price]]</f>
        <v>654.72</v>
      </c>
      <c r="S211">
        <f>Tabla1[[#This Row],[Initial Risk $]]/Tabla1[[#This Row],[Position Size (shares)]]*2.5+Tabla1[[#This Row],[Entry Price]]</f>
        <v>656.22</v>
      </c>
      <c r="T211">
        <f>Tabla1[[#This Row],[Initial Risk $]]/Tabla1[[#This Row],[Position Size (shares)]]*3+Tabla1[[#This Row],[Entry Price]]</f>
        <v>657.72</v>
      </c>
    </row>
    <row r="212" spans="1:20" customFormat="1" hidden="1" x14ac:dyDescent="0.25">
      <c r="A212" t="str">
        <f t="shared" si="42"/>
        <v>T-211</v>
      </c>
      <c r="B212" s="1">
        <v>46163</v>
      </c>
      <c r="C212" t="s">
        <v>385</v>
      </c>
      <c r="D212" t="s">
        <v>28</v>
      </c>
      <c r="E212" t="s">
        <v>51</v>
      </c>
      <c r="F212">
        <v>5.42</v>
      </c>
      <c r="G212">
        <v>5.0199999999999996</v>
      </c>
      <c r="H212">
        <f>Tabla1[[#This Row],[Entry Price]]-(Tabla1[[#This Row],[Entry Price]]-Tabla1[[#This Row],[Initial Stop]])/2</f>
        <v>5.22</v>
      </c>
      <c r="I212">
        <v>10</v>
      </c>
      <c r="J212">
        <f t="shared" si="43"/>
        <v>4.0000000000000036</v>
      </c>
      <c r="K212">
        <v>1</v>
      </c>
      <c r="L212">
        <f t="shared" si="38"/>
        <v>4.0000000000000036</v>
      </c>
      <c r="M212" t="s">
        <v>72</v>
      </c>
      <c r="N212">
        <f>SUMIF(Executions!B:B,A212,Executions!H:H)</f>
        <v>-4.1999999999999993</v>
      </c>
      <c r="O212">
        <f t="shared" si="39"/>
        <v>-1.0499999999999989</v>
      </c>
      <c r="P212">
        <f>Tabla1[[#This Row],[Initial Risk $]]/Tabla1[[#This Row],[Position Size (shares)]]+Tabla1[[#This Row],[Entry Price]]</f>
        <v>5.82</v>
      </c>
      <c r="Q212">
        <f>Tabla1[[#This Row],[Initial Risk $]]/Tabla1[[#This Row],[Position Size (shares)]]*1.5+Tabla1[[#This Row],[Entry Price]]</f>
        <v>6.0200000000000005</v>
      </c>
      <c r="R212">
        <f>Tabla1[[#This Row],[Initial Risk $]]/Tabla1[[#This Row],[Position Size (shares)]]*2+Tabla1[[#This Row],[Entry Price]]</f>
        <v>6.2200000000000006</v>
      </c>
      <c r="S212">
        <f>Tabla1[[#This Row],[Initial Risk $]]/Tabla1[[#This Row],[Position Size (shares)]]*2.5+Tabla1[[#This Row],[Entry Price]]</f>
        <v>6.4200000000000008</v>
      </c>
      <c r="T212">
        <f>Tabla1[[#This Row],[Initial Risk $]]/Tabla1[[#This Row],[Position Size (shares)]]*3+Tabla1[[#This Row],[Entry Price]]</f>
        <v>6.620000000000001</v>
      </c>
    </row>
    <row r="213" spans="1:20" customFormat="1" hidden="1" x14ac:dyDescent="0.25">
      <c r="A213" t="str">
        <f t="shared" si="42"/>
        <v>T-212</v>
      </c>
      <c r="B213" s="1">
        <v>46163</v>
      </c>
      <c r="C213" t="s">
        <v>387</v>
      </c>
      <c r="D213" t="s">
        <v>28</v>
      </c>
      <c r="E213" t="s">
        <v>119</v>
      </c>
      <c r="F213">
        <v>412.72</v>
      </c>
      <c r="G213">
        <v>411.28</v>
      </c>
      <c r="H213">
        <f>Tabla1[[#This Row],[Entry Price]]-(Tabla1[[#This Row],[Entry Price]]-Tabla1[[#This Row],[Initial Stop]])/2</f>
        <v>412</v>
      </c>
      <c r="I213">
        <v>3</v>
      </c>
      <c r="J213">
        <f t="shared" si="43"/>
        <v>4.3200000000001637</v>
      </c>
      <c r="K213">
        <v>1</v>
      </c>
      <c r="L213">
        <f t="shared" si="38"/>
        <v>4.3200000000001637</v>
      </c>
      <c r="M213" t="s">
        <v>72</v>
      </c>
      <c r="N213">
        <f>SUMIF(Executions!B:B,A213,Executions!H:H)</f>
        <v>3.5099999999998772</v>
      </c>
      <c r="O213">
        <f t="shared" si="39"/>
        <v>0.81249999999994083</v>
      </c>
      <c r="P213">
        <f>Tabla1[[#This Row],[Initial Risk $]]/Tabla1[[#This Row],[Position Size (shares)]]+Tabla1[[#This Row],[Entry Price]]</f>
        <v>414.16000000000008</v>
      </c>
      <c r="Q213">
        <f>Tabla1[[#This Row],[Initial Risk $]]/Tabla1[[#This Row],[Position Size (shares)]]*1.5+Tabla1[[#This Row],[Entry Price]]</f>
        <v>414.88000000000011</v>
      </c>
      <c r="R213">
        <f>Tabla1[[#This Row],[Initial Risk $]]/Tabla1[[#This Row],[Position Size (shares)]]*2+Tabla1[[#This Row],[Entry Price]]</f>
        <v>415.60000000000014</v>
      </c>
      <c r="S213">
        <f>Tabla1[[#This Row],[Initial Risk $]]/Tabla1[[#This Row],[Position Size (shares)]]*2.5+Tabla1[[#This Row],[Entry Price]]</f>
        <v>416.32000000000016</v>
      </c>
      <c r="T213">
        <f>Tabla1[[#This Row],[Initial Risk $]]/Tabla1[[#This Row],[Position Size (shares)]]*3+Tabla1[[#This Row],[Entry Price]]</f>
        <v>417.04000000000019</v>
      </c>
    </row>
    <row r="214" spans="1:20" customFormat="1" hidden="1" x14ac:dyDescent="0.25">
      <c r="A214" t="str">
        <f t="shared" ref="A214:A222" si="44">"T-"&amp; TEXT(ROW()-1,"000")</f>
        <v>T-213</v>
      </c>
      <c r="B214" s="1">
        <v>46164</v>
      </c>
      <c r="C214" t="s">
        <v>161</v>
      </c>
      <c r="D214" t="s">
        <v>28</v>
      </c>
      <c r="E214" t="s">
        <v>58</v>
      </c>
      <c r="F214">
        <v>119.81</v>
      </c>
      <c r="G214">
        <v>118.81</v>
      </c>
      <c r="H214">
        <f>Tabla1[[#This Row],[Entry Price]]-(Tabla1[[#This Row],[Entry Price]]-Tabla1[[#This Row],[Initial Stop]])/2</f>
        <v>119.31</v>
      </c>
      <c r="I214">
        <v>6</v>
      </c>
      <c r="J214">
        <f t="shared" ref="J214:J222" si="45">IF(D214="Long",(F214-G214)*I214,(G214-F214)*0)</f>
        <v>6</v>
      </c>
      <c r="K214">
        <v>1</v>
      </c>
      <c r="L214">
        <f t="shared" si="38"/>
        <v>6</v>
      </c>
      <c r="M214" t="s">
        <v>72</v>
      </c>
      <c r="N214">
        <f>SUMIF(Executions!B:B,A214,Executions!H:H)</f>
        <v>6.6599999999999966</v>
      </c>
      <c r="O214">
        <f t="shared" si="39"/>
        <v>1.1099999999999994</v>
      </c>
      <c r="P214">
        <f>Tabla1[[#This Row],[Initial Risk $]]/Tabla1[[#This Row],[Position Size (shares)]]+Tabla1[[#This Row],[Entry Price]]</f>
        <v>120.81</v>
      </c>
      <c r="Q214">
        <f>Tabla1[[#This Row],[Initial Risk $]]/Tabla1[[#This Row],[Position Size (shares)]]*1.5+Tabla1[[#This Row],[Entry Price]]</f>
        <v>121.31</v>
      </c>
      <c r="R214">
        <f>Tabla1[[#This Row],[Initial Risk $]]/Tabla1[[#This Row],[Position Size (shares)]]*2+Tabla1[[#This Row],[Entry Price]]</f>
        <v>121.81</v>
      </c>
      <c r="S214">
        <f>Tabla1[[#This Row],[Initial Risk $]]/Tabla1[[#This Row],[Position Size (shares)]]*2.5+Tabla1[[#This Row],[Entry Price]]</f>
        <v>122.31</v>
      </c>
      <c r="T214">
        <f>Tabla1[[#This Row],[Initial Risk $]]/Tabla1[[#This Row],[Position Size (shares)]]*3+Tabla1[[#This Row],[Entry Price]]</f>
        <v>122.81</v>
      </c>
    </row>
    <row r="215" spans="1:20" customFormat="1" hidden="1" x14ac:dyDescent="0.25">
      <c r="A215" t="str">
        <f t="shared" si="44"/>
        <v>T-214</v>
      </c>
      <c r="B215" s="1">
        <v>46164</v>
      </c>
      <c r="C215" t="s">
        <v>161</v>
      </c>
      <c r="D215" t="s">
        <v>28</v>
      </c>
      <c r="E215" t="s">
        <v>58</v>
      </c>
      <c r="F215">
        <v>119.63</v>
      </c>
      <c r="G215">
        <v>118.25</v>
      </c>
      <c r="H215">
        <f>Tabla1[[#This Row],[Entry Price]]-(Tabla1[[#This Row],[Entry Price]]-Tabla1[[#This Row],[Initial Stop]])/2</f>
        <v>118.94</v>
      </c>
      <c r="I215">
        <v>6</v>
      </c>
      <c r="J215">
        <f t="shared" si="45"/>
        <v>8.2799999999999727</v>
      </c>
      <c r="K215">
        <v>1</v>
      </c>
      <c r="L215">
        <f t="shared" si="38"/>
        <v>8.2799999999999727</v>
      </c>
      <c r="M215" t="s">
        <v>72</v>
      </c>
      <c r="N215">
        <f>SUMIF(Executions!B:B,A215,Executions!H:H)</f>
        <v>-8.2799999999999727</v>
      </c>
      <c r="O215">
        <f t="shared" si="39"/>
        <v>-1</v>
      </c>
      <c r="P215">
        <f>Tabla1[[#This Row],[Initial Risk $]]/Tabla1[[#This Row],[Position Size (shares)]]+Tabla1[[#This Row],[Entry Price]]</f>
        <v>121.00999999999999</v>
      </c>
      <c r="Q215">
        <f>Tabla1[[#This Row],[Initial Risk $]]/Tabla1[[#This Row],[Position Size (shares)]]*1.5+Tabla1[[#This Row],[Entry Price]]</f>
        <v>121.69999999999999</v>
      </c>
      <c r="R215">
        <f>Tabla1[[#This Row],[Initial Risk $]]/Tabla1[[#This Row],[Position Size (shares)]]*2+Tabla1[[#This Row],[Entry Price]]</f>
        <v>122.38999999999999</v>
      </c>
      <c r="S215">
        <f>Tabla1[[#This Row],[Initial Risk $]]/Tabla1[[#This Row],[Position Size (shares)]]*2.5+Tabla1[[#This Row],[Entry Price]]</f>
        <v>123.07999999999998</v>
      </c>
      <c r="T215">
        <f>Tabla1[[#This Row],[Initial Risk $]]/Tabla1[[#This Row],[Position Size (shares)]]*3+Tabla1[[#This Row],[Entry Price]]</f>
        <v>123.76999999999998</v>
      </c>
    </row>
    <row r="216" spans="1:20" customFormat="1" hidden="1" x14ac:dyDescent="0.25">
      <c r="A216" t="str">
        <f t="shared" si="44"/>
        <v>T-215</v>
      </c>
      <c r="B216" s="1">
        <v>46164</v>
      </c>
      <c r="C216" t="s">
        <v>130</v>
      </c>
      <c r="D216" t="s">
        <v>28</v>
      </c>
      <c r="E216" t="s">
        <v>58</v>
      </c>
      <c r="F216">
        <v>471.95</v>
      </c>
      <c r="G216">
        <v>469.71</v>
      </c>
      <c r="H216">
        <f>Tabla1[[#This Row],[Entry Price]]-(Tabla1[[#This Row],[Entry Price]]-Tabla1[[#This Row],[Initial Stop]])/2</f>
        <v>470.83</v>
      </c>
      <c r="I216">
        <v>3</v>
      </c>
      <c r="J216">
        <f t="shared" si="45"/>
        <v>6.7200000000000273</v>
      </c>
      <c r="K216">
        <v>1</v>
      </c>
      <c r="L216">
        <f t="shared" si="38"/>
        <v>6.7200000000000273</v>
      </c>
      <c r="M216" t="s">
        <v>72</v>
      </c>
      <c r="N216">
        <f>SUMIF(Executions!B:B,A216,Executions!H:H)</f>
        <v>-7.8600000000000136</v>
      </c>
      <c r="O216">
        <f t="shared" si="39"/>
        <v>-1.1696428571428543</v>
      </c>
      <c r="P216">
        <f>Tabla1[[#This Row],[Initial Risk $]]/Tabla1[[#This Row],[Position Size (shares)]]+Tabla1[[#This Row],[Entry Price]]</f>
        <v>474.19</v>
      </c>
      <c r="Q216">
        <f>Tabla1[[#This Row],[Initial Risk $]]/Tabla1[[#This Row],[Position Size (shares)]]*1.5+Tabla1[[#This Row],[Entry Price]]</f>
        <v>475.31</v>
      </c>
      <c r="R216">
        <f>Tabla1[[#This Row],[Initial Risk $]]/Tabla1[[#This Row],[Position Size (shares)]]*2+Tabla1[[#This Row],[Entry Price]]</f>
        <v>476.43</v>
      </c>
      <c r="S216">
        <f>Tabla1[[#This Row],[Initial Risk $]]/Tabla1[[#This Row],[Position Size (shares)]]*2.5+Tabla1[[#This Row],[Entry Price]]</f>
        <v>477.55</v>
      </c>
      <c r="T216">
        <f>Tabla1[[#This Row],[Initial Risk $]]/Tabla1[[#This Row],[Position Size (shares)]]*3+Tabla1[[#This Row],[Entry Price]]</f>
        <v>478.67</v>
      </c>
    </row>
    <row r="217" spans="1:20" customFormat="1" hidden="1" x14ac:dyDescent="0.25">
      <c r="A217" t="str">
        <f t="shared" si="44"/>
        <v>T-216</v>
      </c>
      <c r="B217" s="1">
        <v>46164</v>
      </c>
      <c r="C217" t="s">
        <v>161</v>
      </c>
      <c r="D217" t="s">
        <v>28</v>
      </c>
      <c r="E217" t="s">
        <v>58</v>
      </c>
      <c r="F217">
        <v>119.63</v>
      </c>
      <c r="G217">
        <v>117.95</v>
      </c>
      <c r="H217">
        <f>Tabla1[[#This Row],[Entry Price]]-(Tabla1[[#This Row],[Entry Price]]-Tabla1[[#This Row],[Initial Stop]])/2</f>
        <v>118.78999999999999</v>
      </c>
      <c r="I217">
        <v>6</v>
      </c>
      <c r="J217">
        <f t="shared" si="45"/>
        <v>10.079999999999956</v>
      </c>
      <c r="K217">
        <v>1</v>
      </c>
      <c r="L217">
        <f t="shared" si="38"/>
        <v>10.079999999999956</v>
      </c>
      <c r="M217" t="s">
        <v>72</v>
      </c>
      <c r="N217">
        <f>SUMIF(Executions!B:B,A217,Executions!H:H)</f>
        <v>9.780000000000058</v>
      </c>
      <c r="O217">
        <f t="shared" si="39"/>
        <v>0.97023809523810522</v>
      </c>
      <c r="P217">
        <f>Tabla1[[#This Row],[Initial Risk $]]/Tabla1[[#This Row],[Position Size (shares)]]+Tabla1[[#This Row],[Entry Price]]</f>
        <v>121.30999999999999</v>
      </c>
      <c r="Q217">
        <f>Tabla1[[#This Row],[Initial Risk $]]/Tabla1[[#This Row],[Position Size (shares)]]*1.5+Tabla1[[#This Row],[Entry Price]]</f>
        <v>122.14999999999998</v>
      </c>
      <c r="R217">
        <f>Tabla1[[#This Row],[Initial Risk $]]/Tabla1[[#This Row],[Position Size (shares)]]*2+Tabla1[[#This Row],[Entry Price]]</f>
        <v>122.98999999999998</v>
      </c>
      <c r="S217">
        <f>Tabla1[[#This Row],[Initial Risk $]]/Tabla1[[#This Row],[Position Size (shares)]]*2.5+Tabla1[[#This Row],[Entry Price]]</f>
        <v>123.82999999999998</v>
      </c>
      <c r="T217">
        <f>Tabla1[[#This Row],[Initial Risk $]]/Tabla1[[#This Row],[Position Size (shares)]]*3+Tabla1[[#This Row],[Entry Price]]</f>
        <v>124.66999999999997</v>
      </c>
    </row>
    <row r="218" spans="1:20" customFormat="1" hidden="1" x14ac:dyDescent="0.25">
      <c r="A218" t="str">
        <f t="shared" si="44"/>
        <v>T-217</v>
      </c>
      <c r="B218" s="1">
        <v>46164</v>
      </c>
      <c r="C218" t="s">
        <v>279</v>
      </c>
      <c r="D218" t="s">
        <v>28</v>
      </c>
      <c r="E218" t="s">
        <v>119</v>
      </c>
      <c r="F218">
        <v>754.62</v>
      </c>
      <c r="G218">
        <v>751.62</v>
      </c>
      <c r="H218">
        <f>Tabla1[[#This Row],[Entry Price]]-(Tabla1[[#This Row],[Entry Price]]-Tabla1[[#This Row],[Initial Stop]])/2</f>
        <v>753.12</v>
      </c>
      <c r="I218">
        <v>2</v>
      </c>
      <c r="J218">
        <f t="shared" si="45"/>
        <v>6</v>
      </c>
      <c r="K218">
        <v>1</v>
      </c>
      <c r="L218">
        <f t="shared" si="38"/>
        <v>6</v>
      </c>
      <c r="M218" t="s">
        <v>72</v>
      </c>
      <c r="N218">
        <f>SUMIF(Executions!B:B,A218,Executions!H:H)</f>
        <v>22.779999999999973</v>
      </c>
      <c r="O218">
        <f t="shared" si="39"/>
        <v>3.796666666666662</v>
      </c>
      <c r="P218">
        <f>Tabla1[[#This Row],[Initial Risk $]]/Tabla1[[#This Row],[Position Size (shares)]]+Tabla1[[#This Row],[Entry Price]]</f>
        <v>757.62</v>
      </c>
      <c r="Q218">
        <f>Tabla1[[#This Row],[Initial Risk $]]/Tabla1[[#This Row],[Position Size (shares)]]*1.5+Tabla1[[#This Row],[Entry Price]]</f>
        <v>759.12</v>
      </c>
      <c r="R218">
        <f>Tabla1[[#This Row],[Initial Risk $]]/Tabla1[[#This Row],[Position Size (shares)]]*2+Tabla1[[#This Row],[Entry Price]]</f>
        <v>760.62</v>
      </c>
      <c r="S218">
        <f>Tabla1[[#This Row],[Initial Risk $]]/Tabla1[[#This Row],[Position Size (shares)]]*2.5+Tabla1[[#This Row],[Entry Price]]</f>
        <v>762.12</v>
      </c>
      <c r="T218">
        <f>Tabla1[[#This Row],[Initial Risk $]]/Tabla1[[#This Row],[Position Size (shares)]]*3+Tabla1[[#This Row],[Entry Price]]</f>
        <v>763.62</v>
      </c>
    </row>
    <row r="219" spans="1:20" customFormat="1" hidden="1" x14ac:dyDescent="0.25">
      <c r="A219" t="str">
        <f t="shared" si="44"/>
        <v>T-218</v>
      </c>
      <c r="B219" s="1">
        <v>46164</v>
      </c>
      <c r="C219" t="s">
        <v>233</v>
      </c>
      <c r="D219" t="s">
        <v>28</v>
      </c>
      <c r="E219" t="s">
        <v>119</v>
      </c>
      <c r="F219">
        <v>420.11</v>
      </c>
      <c r="G219">
        <v>418.69</v>
      </c>
      <c r="H219">
        <f>Tabla1[[#This Row],[Entry Price]]-(Tabla1[[#This Row],[Entry Price]]-Tabla1[[#This Row],[Initial Stop]])/2</f>
        <v>419.4</v>
      </c>
      <c r="I219">
        <v>3</v>
      </c>
      <c r="J219">
        <f t="shared" si="45"/>
        <v>4.2600000000000477</v>
      </c>
      <c r="K219">
        <v>1</v>
      </c>
      <c r="L219">
        <f t="shared" si="38"/>
        <v>4.2600000000000477</v>
      </c>
      <c r="M219" t="s">
        <v>72</v>
      </c>
      <c r="N219">
        <f>SUMIF(Executions!B:B,A219,Executions!H:H)</f>
        <v>-4.4400000000000546</v>
      </c>
      <c r="O219">
        <f t="shared" si="39"/>
        <v>-1.0422535211267616</v>
      </c>
      <c r="P219">
        <f>Tabla1[[#This Row],[Initial Risk $]]/Tabla1[[#This Row],[Position Size (shares)]]+Tabla1[[#This Row],[Entry Price]]</f>
        <v>421.53000000000003</v>
      </c>
      <c r="Q219">
        <f>Tabla1[[#This Row],[Initial Risk $]]/Tabla1[[#This Row],[Position Size (shares)]]*1.5+Tabla1[[#This Row],[Entry Price]]</f>
        <v>422.24</v>
      </c>
      <c r="R219">
        <f>Tabla1[[#This Row],[Initial Risk $]]/Tabla1[[#This Row],[Position Size (shares)]]*2+Tabla1[[#This Row],[Entry Price]]</f>
        <v>422.95000000000005</v>
      </c>
      <c r="S219">
        <f>Tabla1[[#This Row],[Initial Risk $]]/Tabla1[[#This Row],[Position Size (shares)]]*2.5+Tabla1[[#This Row],[Entry Price]]</f>
        <v>423.66000000000008</v>
      </c>
      <c r="T219">
        <f>Tabla1[[#This Row],[Initial Risk $]]/Tabla1[[#This Row],[Position Size (shares)]]*3+Tabla1[[#This Row],[Entry Price]]</f>
        <v>424.37000000000006</v>
      </c>
    </row>
    <row r="220" spans="1:20" customFormat="1" hidden="1" x14ac:dyDescent="0.25">
      <c r="A220" t="str">
        <f t="shared" si="44"/>
        <v>T-219</v>
      </c>
      <c r="B220" s="1">
        <v>46164</v>
      </c>
      <c r="C220" t="s">
        <v>130</v>
      </c>
      <c r="D220" t="s">
        <v>28</v>
      </c>
      <c r="E220" t="s">
        <v>58</v>
      </c>
      <c r="F220">
        <v>470.81</v>
      </c>
      <c r="G220">
        <v>468.81</v>
      </c>
      <c r="H220">
        <f>Tabla1[[#This Row],[Entry Price]]-(Tabla1[[#This Row],[Entry Price]]-Tabla1[[#This Row],[Initial Stop]])/2</f>
        <v>469.81</v>
      </c>
      <c r="I220">
        <v>2</v>
      </c>
      <c r="J220">
        <f t="shared" si="45"/>
        <v>4</v>
      </c>
      <c r="K220">
        <v>1</v>
      </c>
      <c r="L220">
        <f t="shared" si="38"/>
        <v>4</v>
      </c>
      <c r="M220" t="s">
        <v>72</v>
      </c>
      <c r="N220">
        <f>SUMIF(Executions!B:B,A220,Executions!H:H)</f>
        <v>-3.8999999999999773</v>
      </c>
      <c r="O220">
        <f t="shared" si="39"/>
        <v>-0.97499999999999432</v>
      </c>
      <c r="P220">
        <f>Tabla1[[#This Row],[Initial Risk $]]/Tabla1[[#This Row],[Position Size (shares)]]+Tabla1[[#This Row],[Entry Price]]</f>
        <v>472.81</v>
      </c>
      <c r="Q220">
        <f>Tabla1[[#This Row],[Initial Risk $]]/Tabla1[[#This Row],[Position Size (shares)]]*1.5+Tabla1[[#This Row],[Entry Price]]</f>
        <v>473.81</v>
      </c>
      <c r="R220">
        <f>Tabla1[[#This Row],[Initial Risk $]]/Tabla1[[#This Row],[Position Size (shares)]]*2+Tabla1[[#This Row],[Entry Price]]</f>
        <v>474.81</v>
      </c>
      <c r="S220">
        <f>Tabla1[[#This Row],[Initial Risk $]]/Tabla1[[#This Row],[Position Size (shares)]]*2.5+Tabla1[[#This Row],[Entry Price]]</f>
        <v>475.81</v>
      </c>
      <c r="T220">
        <f>Tabla1[[#This Row],[Initial Risk $]]/Tabla1[[#This Row],[Position Size (shares)]]*3+Tabla1[[#This Row],[Entry Price]]</f>
        <v>476.81</v>
      </c>
    </row>
    <row r="221" spans="1:20" customFormat="1" hidden="1" x14ac:dyDescent="0.25">
      <c r="A221" t="str">
        <f t="shared" si="44"/>
        <v>T-220</v>
      </c>
      <c r="B221" s="1">
        <v>46164</v>
      </c>
      <c r="C221" t="s">
        <v>399</v>
      </c>
      <c r="D221" t="s">
        <v>28</v>
      </c>
      <c r="E221" t="s">
        <v>58</v>
      </c>
      <c r="F221">
        <v>25.26</v>
      </c>
      <c r="G221">
        <v>24.26</v>
      </c>
      <c r="H221">
        <f>Tabla1[[#This Row],[Entry Price]]-(Tabla1[[#This Row],[Entry Price]]-Tabla1[[#This Row],[Initial Stop]])/2</f>
        <v>24.76</v>
      </c>
      <c r="I221">
        <v>8</v>
      </c>
      <c r="J221">
        <f t="shared" si="45"/>
        <v>8</v>
      </c>
      <c r="K221">
        <v>1</v>
      </c>
      <c r="L221">
        <f t="shared" si="38"/>
        <v>8</v>
      </c>
      <c r="M221" t="s">
        <v>72</v>
      </c>
      <c r="N221">
        <f>SUMIF(Executions!B:B,A221,Executions!H:H)</f>
        <v>-8</v>
      </c>
      <c r="O221">
        <f t="shared" si="39"/>
        <v>-1</v>
      </c>
      <c r="P221">
        <f>Tabla1[[#This Row],[Initial Risk $]]/Tabla1[[#This Row],[Position Size (shares)]]+Tabla1[[#This Row],[Entry Price]]</f>
        <v>26.26</v>
      </c>
      <c r="Q221">
        <f>Tabla1[[#This Row],[Initial Risk $]]/Tabla1[[#This Row],[Position Size (shares)]]*1.5+Tabla1[[#This Row],[Entry Price]]</f>
        <v>26.76</v>
      </c>
      <c r="R221">
        <f>Tabla1[[#This Row],[Initial Risk $]]/Tabla1[[#This Row],[Position Size (shares)]]*2+Tabla1[[#This Row],[Entry Price]]</f>
        <v>27.26</v>
      </c>
      <c r="S221">
        <f>Tabla1[[#This Row],[Initial Risk $]]/Tabla1[[#This Row],[Position Size (shares)]]*2.5+Tabla1[[#This Row],[Entry Price]]</f>
        <v>27.76</v>
      </c>
      <c r="T221">
        <f>Tabla1[[#This Row],[Initial Risk $]]/Tabla1[[#This Row],[Position Size (shares)]]*3+Tabla1[[#This Row],[Entry Price]]</f>
        <v>28.26</v>
      </c>
    </row>
    <row r="222" spans="1:20" customFormat="1" hidden="1" x14ac:dyDescent="0.25">
      <c r="A222" t="str">
        <f t="shared" si="44"/>
        <v>T-221</v>
      </c>
      <c r="B222" s="1">
        <v>46163</v>
      </c>
      <c r="C222" t="s">
        <v>202</v>
      </c>
      <c r="D222" t="s">
        <v>28</v>
      </c>
      <c r="E222" t="s">
        <v>119</v>
      </c>
      <c r="F222">
        <v>8.42</v>
      </c>
      <c r="G222">
        <v>7.84</v>
      </c>
      <c r="H222">
        <f>Tabla1[[#This Row],[Entry Price]]-(Tabla1[[#This Row],[Entry Price]]-Tabla1[[#This Row],[Initial Stop]])/2</f>
        <v>8.129999999999999</v>
      </c>
      <c r="I222">
        <v>10</v>
      </c>
      <c r="J222">
        <f t="shared" si="45"/>
        <v>5.8000000000000007</v>
      </c>
      <c r="K222">
        <v>1</v>
      </c>
      <c r="L222">
        <f t="shared" si="38"/>
        <v>5.8000000000000007</v>
      </c>
      <c r="M222" t="s">
        <v>72</v>
      </c>
      <c r="N222">
        <f>SUMIF(Executions!B:B,A222,Executions!H:H)</f>
        <v>-5.8999999999999986</v>
      </c>
      <c r="O222">
        <f t="shared" si="39"/>
        <v>-1.0172413793103445</v>
      </c>
      <c r="P222">
        <f>Tabla1[[#This Row],[Initial Risk $]]/Tabla1[[#This Row],[Position Size (shares)]]+Tabla1[[#This Row],[Entry Price]]</f>
        <v>9</v>
      </c>
      <c r="Q222">
        <f>Tabla1[[#This Row],[Initial Risk $]]/Tabla1[[#This Row],[Position Size (shares)]]*1.5+Tabla1[[#This Row],[Entry Price]]</f>
        <v>9.2899999999999991</v>
      </c>
      <c r="R222">
        <f>Tabla1[[#This Row],[Initial Risk $]]/Tabla1[[#This Row],[Position Size (shares)]]*2+Tabla1[[#This Row],[Entry Price]]</f>
        <v>9.58</v>
      </c>
      <c r="S222">
        <f>Tabla1[[#This Row],[Initial Risk $]]/Tabla1[[#This Row],[Position Size (shares)]]*2.5+Tabla1[[#This Row],[Entry Price]]</f>
        <v>9.870000000000001</v>
      </c>
      <c r="T222">
        <f>Tabla1[[#This Row],[Initial Risk $]]/Tabla1[[#This Row],[Position Size (shares)]]*3+Tabla1[[#This Row],[Entry Price]]</f>
        <v>10.16</v>
      </c>
    </row>
    <row r="223" spans="1:20" customFormat="1" hidden="1" x14ac:dyDescent="0.25">
      <c r="A223" t="str">
        <f t="shared" ref="A223:A230" si="46">"T-"&amp; TEXT(ROW()-1,"000")</f>
        <v>T-222</v>
      </c>
      <c r="B223" s="1">
        <v>46168</v>
      </c>
      <c r="C223" t="s">
        <v>401</v>
      </c>
      <c r="D223" t="s">
        <v>28</v>
      </c>
      <c r="E223" t="s">
        <v>58</v>
      </c>
      <c r="F223">
        <v>5.19</v>
      </c>
      <c r="G223">
        <v>4.75</v>
      </c>
      <c r="H223">
        <f>Tabla1[[#This Row],[Entry Price]]-(Tabla1[[#This Row],[Entry Price]]-Tabla1[[#This Row],[Initial Stop]])/2</f>
        <v>4.9700000000000006</v>
      </c>
      <c r="I223">
        <v>10</v>
      </c>
      <c r="J223">
        <f t="shared" ref="J223:J230" si="47">IF(D223="Long",(F223-G223)*I223,(G223-F223)*0)</f>
        <v>4.4000000000000039</v>
      </c>
      <c r="K223">
        <v>1</v>
      </c>
      <c r="L223">
        <f t="shared" si="38"/>
        <v>4.4000000000000039</v>
      </c>
      <c r="M223" t="s">
        <v>72</v>
      </c>
      <c r="N223">
        <f>SUMIF(Executions!B:B,A223,Executions!H:H)</f>
        <v>-4.7000000000000064</v>
      </c>
      <c r="O223">
        <f t="shared" si="39"/>
        <v>-1.0681818181818188</v>
      </c>
      <c r="P223">
        <f>Tabla1[[#This Row],[Initial Risk $]]/Tabla1[[#This Row],[Position Size (shares)]]+Tabla1[[#This Row],[Entry Price]]</f>
        <v>5.6300000000000008</v>
      </c>
      <c r="Q223">
        <f>Tabla1[[#This Row],[Initial Risk $]]/Tabla1[[#This Row],[Position Size (shares)]]*1.5+Tabla1[[#This Row],[Entry Price]]</f>
        <v>5.8500000000000014</v>
      </c>
      <c r="R223">
        <f>Tabla1[[#This Row],[Initial Risk $]]/Tabla1[[#This Row],[Position Size (shares)]]*2+Tabla1[[#This Row],[Entry Price]]</f>
        <v>6.0700000000000012</v>
      </c>
      <c r="S223">
        <f>Tabla1[[#This Row],[Initial Risk $]]/Tabla1[[#This Row],[Position Size (shares)]]*2.5+Tabla1[[#This Row],[Entry Price]]</f>
        <v>6.2900000000000009</v>
      </c>
      <c r="T223">
        <f>Tabla1[[#This Row],[Initial Risk $]]/Tabla1[[#This Row],[Position Size (shares)]]*3+Tabla1[[#This Row],[Entry Price]]</f>
        <v>6.5100000000000016</v>
      </c>
    </row>
    <row r="224" spans="1:20" customFormat="1" hidden="1" x14ac:dyDescent="0.25">
      <c r="A224" t="str">
        <f t="shared" si="46"/>
        <v>T-223</v>
      </c>
      <c r="B224" s="1">
        <v>46168</v>
      </c>
      <c r="C224" t="s">
        <v>161</v>
      </c>
      <c r="D224" t="s">
        <v>28</v>
      </c>
      <c r="E224" t="s">
        <v>58</v>
      </c>
      <c r="F224">
        <v>119.02</v>
      </c>
      <c r="G224">
        <v>118.02</v>
      </c>
      <c r="H224">
        <f>Tabla1[[#This Row],[Entry Price]]-(Tabla1[[#This Row],[Entry Price]]-Tabla1[[#This Row],[Initial Stop]])/2</f>
        <v>118.52</v>
      </c>
      <c r="I224">
        <v>8</v>
      </c>
      <c r="J224">
        <f t="shared" si="47"/>
        <v>8</v>
      </c>
      <c r="K224">
        <v>1</v>
      </c>
      <c r="L224">
        <f t="shared" si="38"/>
        <v>8</v>
      </c>
      <c r="M224" t="s">
        <v>72</v>
      </c>
      <c r="N224">
        <f>SUMIF(Executions!B:B,A224,Executions!H:H)</f>
        <v>24.200000000000045</v>
      </c>
      <c r="O224">
        <f t="shared" si="39"/>
        <v>3.0250000000000057</v>
      </c>
      <c r="P224">
        <f>Tabla1[[#This Row],[Initial Risk $]]/Tabla1[[#This Row],[Position Size (shares)]]+Tabla1[[#This Row],[Entry Price]]</f>
        <v>120.02</v>
      </c>
      <c r="Q224">
        <f>Tabla1[[#This Row],[Initial Risk $]]/Tabla1[[#This Row],[Position Size (shares)]]*1.5+Tabla1[[#This Row],[Entry Price]]</f>
        <v>120.52</v>
      </c>
      <c r="R224">
        <f>Tabla1[[#This Row],[Initial Risk $]]/Tabla1[[#This Row],[Position Size (shares)]]*2+Tabla1[[#This Row],[Entry Price]]</f>
        <v>121.02</v>
      </c>
      <c r="S224">
        <f>Tabla1[[#This Row],[Initial Risk $]]/Tabla1[[#This Row],[Position Size (shares)]]*2.5+Tabla1[[#This Row],[Entry Price]]</f>
        <v>121.52</v>
      </c>
      <c r="T224">
        <f>Tabla1[[#This Row],[Initial Risk $]]/Tabla1[[#This Row],[Position Size (shares)]]*3+Tabla1[[#This Row],[Entry Price]]</f>
        <v>122.02</v>
      </c>
    </row>
    <row r="225" spans="1:20" customFormat="1" hidden="1" x14ac:dyDescent="0.25">
      <c r="A225" t="str">
        <f t="shared" si="46"/>
        <v>T-224</v>
      </c>
      <c r="B225" s="1">
        <v>46168</v>
      </c>
      <c r="C225" t="s">
        <v>402</v>
      </c>
      <c r="D225" t="s">
        <v>28</v>
      </c>
      <c r="E225" t="s">
        <v>58</v>
      </c>
      <c r="F225">
        <v>8.2200000000000006</v>
      </c>
      <c r="G225">
        <v>7.22</v>
      </c>
      <c r="H225">
        <f>Tabla1[[#This Row],[Entry Price]]-(Tabla1[[#This Row],[Entry Price]]-Tabla1[[#This Row],[Initial Stop]])/2</f>
        <v>7.7200000000000006</v>
      </c>
      <c r="I225">
        <v>4</v>
      </c>
      <c r="J225">
        <f t="shared" si="47"/>
        <v>4.0000000000000036</v>
      </c>
      <c r="K225">
        <v>1</v>
      </c>
      <c r="L225">
        <f t="shared" si="38"/>
        <v>4.0000000000000036</v>
      </c>
      <c r="M225" t="s">
        <v>72</v>
      </c>
      <c r="N225">
        <f>SUMIF(Executions!B:B,A225,Executions!H:H)</f>
        <v>8.519999999999996</v>
      </c>
      <c r="O225">
        <f t="shared" si="39"/>
        <v>2.1299999999999972</v>
      </c>
      <c r="P225">
        <f>Tabla1[[#This Row],[Initial Risk $]]/Tabla1[[#This Row],[Position Size (shares)]]+Tabla1[[#This Row],[Entry Price]]</f>
        <v>9.2200000000000024</v>
      </c>
      <c r="Q225">
        <f>Tabla1[[#This Row],[Initial Risk $]]/Tabla1[[#This Row],[Position Size (shares)]]*1.5+Tabla1[[#This Row],[Entry Price]]</f>
        <v>9.7200000000000024</v>
      </c>
      <c r="R225">
        <f>Tabla1[[#This Row],[Initial Risk $]]/Tabla1[[#This Row],[Position Size (shares)]]*2+Tabla1[[#This Row],[Entry Price]]</f>
        <v>10.220000000000002</v>
      </c>
      <c r="S225">
        <f>Tabla1[[#This Row],[Initial Risk $]]/Tabla1[[#This Row],[Position Size (shares)]]*2.5+Tabla1[[#This Row],[Entry Price]]</f>
        <v>10.720000000000002</v>
      </c>
      <c r="T225">
        <f>Tabla1[[#This Row],[Initial Risk $]]/Tabla1[[#This Row],[Position Size (shares)]]*3+Tabla1[[#This Row],[Entry Price]]</f>
        <v>11.220000000000002</v>
      </c>
    </row>
    <row r="226" spans="1:20" customFormat="1" hidden="1" x14ac:dyDescent="0.25">
      <c r="A226" t="str">
        <f t="shared" si="46"/>
        <v>T-225</v>
      </c>
      <c r="B226" s="1">
        <v>46168</v>
      </c>
      <c r="C226" t="s">
        <v>279</v>
      </c>
      <c r="D226" t="s">
        <v>28</v>
      </c>
      <c r="E226" t="s">
        <v>58</v>
      </c>
      <c r="F226">
        <v>844.26</v>
      </c>
      <c r="G226">
        <v>824.26</v>
      </c>
      <c r="H226">
        <f>Tabla1[[#This Row],[Entry Price]]-(Tabla1[[#This Row],[Entry Price]]-Tabla1[[#This Row],[Initial Stop]])/2</f>
        <v>834.26</v>
      </c>
      <c r="I226">
        <v>2</v>
      </c>
      <c r="J226">
        <f t="shared" si="47"/>
        <v>40</v>
      </c>
      <c r="K226">
        <v>1</v>
      </c>
      <c r="L226">
        <f t="shared" si="38"/>
        <v>40</v>
      </c>
      <c r="M226" t="s">
        <v>72</v>
      </c>
      <c r="N226">
        <f>SUMIF(Executions!B:B,A226,Executions!H:H)</f>
        <v>45.980000000000018</v>
      </c>
      <c r="O226">
        <f t="shared" si="39"/>
        <v>1.1495000000000004</v>
      </c>
      <c r="P226">
        <f>Tabla1[[#This Row],[Initial Risk $]]/Tabla1[[#This Row],[Position Size (shares)]]+Tabla1[[#This Row],[Entry Price]]</f>
        <v>864.26</v>
      </c>
      <c r="Q226">
        <f>Tabla1[[#This Row],[Initial Risk $]]/Tabla1[[#This Row],[Position Size (shares)]]*1.5+Tabla1[[#This Row],[Entry Price]]</f>
        <v>874.26</v>
      </c>
      <c r="R226">
        <f>Tabla1[[#This Row],[Initial Risk $]]/Tabla1[[#This Row],[Position Size (shares)]]*2+Tabla1[[#This Row],[Entry Price]]</f>
        <v>884.26</v>
      </c>
      <c r="S226">
        <f>Tabla1[[#This Row],[Initial Risk $]]/Tabla1[[#This Row],[Position Size (shares)]]*2.5+Tabla1[[#This Row],[Entry Price]]</f>
        <v>894.26</v>
      </c>
      <c r="T226">
        <f>Tabla1[[#This Row],[Initial Risk $]]/Tabla1[[#This Row],[Position Size (shares)]]*3+Tabla1[[#This Row],[Entry Price]]</f>
        <v>904.26</v>
      </c>
    </row>
    <row r="227" spans="1:20" customFormat="1" hidden="1" x14ac:dyDescent="0.25">
      <c r="A227" t="str">
        <f t="shared" si="46"/>
        <v>T-226</v>
      </c>
      <c r="B227" s="1">
        <v>46168</v>
      </c>
      <c r="C227" t="s">
        <v>164</v>
      </c>
      <c r="D227" t="s">
        <v>28</v>
      </c>
      <c r="E227" t="s">
        <v>49</v>
      </c>
      <c r="F227">
        <v>215.03</v>
      </c>
      <c r="G227">
        <v>214.01</v>
      </c>
      <c r="H227">
        <f>Tabla1[[#This Row],[Entry Price]]-(Tabla1[[#This Row],[Entry Price]]-Tabla1[[#This Row],[Initial Stop]])/2</f>
        <v>214.51999999999998</v>
      </c>
      <c r="I227">
        <v>4</v>
      </c>
      <c r="J227">
        <f t="shared" si="47"/>
        <v>4.0800000000000409</v>
      </c>
      <c r="K227">
        <v>1</v>
      </c>
      <c r="L227">
        <f t="shared" si="38"/>
        <v>4.0800000000000409</v>
      </c>
      <c r="M227" t="s">
        <v>72</v>
      </c>
      <c r="N227">
        <f>SUMIF(Executions!B:B,A227,Executions!H:H)</f>
        <v>-4.0800000000000409</v>
      </c>
      <c r="O227">
        <f t="shared" si="39"/>
        <v>-1</v>
      </c>
      <c r="P227">
        <f>Tabla1[[#This Row],[Initial Risk $]]/Tabla1[[#This Row],[Position Size (shares)]]+Tabla1[[#This Row],[Entry Price]]</f>
        <v>216.05</v>
      </c>
      <c r="Q227">
        <f>Tabla1[[#This Row],[Initial Risk $]]/Tabla1[[#This Row],[Position Size (shares)]]*1.5+Tabla1[[#This Row],[Entry Price]]</f>
        <v>216.56</v>
      </c>
      <c r="R227">
        <f>Tabla1[[#This Row],[Initial Risk $]]/Tabla1[[#This Row],[Position Size (shares)]]*2+Tabla1[[#This Row],[Entry Price]]</f>
        <v>217.07000000000002</v>
      </c>
      <c r="S227">
        <f>Tabla1[[#This Row],[Initial Risk $]]/Tabla1[[#This Row],[Position Size (shares)]]*2.5+Tabla1[[#This Row],[Entry Price]]</f>
        <v>217.58000000000004</v>
      </c>
      <c r="T227">
        <f>Tabla1[[#This Row],[Initial Risk $]]/Tabla1[[#This Row],[Position Size (shares)]]*3+Tabla1[[#This Row],[Entry Price]]</f>
        <v>218.09000000000003</v>
      </c>
    </row>
    <row r="228" spans="1:20" customFormat="1" hidden="1" x14ac:dyDescent="0.25">
      <c r="A228" t="str">
        <f t="shared" si="46"/>
        <v>T-227</v>
      </c>
      <c r="B228" s="1">
        <v>46168</v>
      </c>
      <c r="C228" t="s">
        <v>161</v>
      </c>
      <c r="D228" t="s">
        <v>28</v>
      </c>
      <c r="E228" t="s">
        <v>119</v>
      </c>
      <c r="F228">
        <v>122.53</v>
      </c>
      <c r="G228">
        <v>121.74</v>
      </c>
      <c r="H228">
        <f>Tabla1[[#This Row],[Entry Price]]-(Tabla1[[#This Row],[Entry Price]]-Tabla1[[#This Row],[Initial Stop]])/2</f>
        <v>122.13499999999999</v>
      </c>
      <c r="I228">
        <v>8</v>
      </c>
      <c r="J228">
        <f t="shared" si="47"/>
        <v>6.32000000000005</v>
      </c>
      <c r="K228">
        <v>1</v>
      </c>
      <c r="L228">
        <f t="shared" si="38"/>
        <v>6.32000000000005</v>
      </c>
      <c r="M228" t="s">
        <v>72</v>
      </c>
      <c r="N228">
        <f>SUMIF(Executions!B:B,A228,Executions!H:H)</f>
        <v>-6.32000000000005</v>
      </c>
      <c r="O228">
        <f t="shared" si="39"/>
        <v>-1</v>
      </c>
      <c r="P228">
        <f>Tabla1[[#This Row],[Initial Risk $]]/Tabla1[[#This Row],[Position Size (shares)]]+Tabla1[[#This Row],[Entry Price]]</f>
        <v>123.32000000000001</v>
      </c>
      <c r="Q228">
        <f>Tabla1[[#This Row],[Initial Risk $]]/Tabla1[[#This Row],[Position Size (shares)]]*1.5+Tabla1[[#This Row],[Entry Price]]</f>
        <v>123.715</v>
      </c>
      <c r="R228">
        <f>Tabla1[[#This Row],[Initial Risk $]]/Tabla1[[#This Row],[Position Size (shares)]]*2+Tabla1[[#This Row],[Entry Price]]</f>
        <v>124.11000000000001</v>
      </c>
      <c r="S228">
        <f>Tabla1[[#This Row],[Initial Risk $]]/Tabla1[[#This Row],[Position Size (shares)]]*2.5+Tabla1[[#This Row],[Entry Price]]</f>
        <v>124.50500000000002</v>
      </c>
      <c r="T228">
        <f>Tabla1[[#This Row],[Initial Risk $]]/Tabla1[[#This Row],[Position Size (shares)]]*3+Tabla1[[#This Row],[Entry Price]]</f>
        <v>124.90000000000002</v>
      </c>
    </row>
    <row r="229" spans="1:20" customFormat="1" hidden="1" x14ac:dyDescent="0.25">
      <c r="A229" t="str">
        <f t="shared" si="46"/>
        <v>T-228</v>
      </c>
      <c r="B229" s="1">
        <v>46168</v>
      </c>
      <c r="C229" t="s">
        <v>279</v>
      </c>
      <c r="D229" t="s">
        <v>28</v>
      </c>
      <c r="E229" t="s">
        <v>119</v>
      </c>
      <c r="F229">
        <v>874.09</v>
      </c>
      <c r="G229">
        <v>869.79</v>
      </c>
      <c r="H229">
        <f>Tabla1[[#This Row],[Entry Price]]-(Tabla1[[#This Row],[Entry Price]]-Tabla1[[#This Row],[Initial Stop]])/2</f>
        <v>871.94</v>
      </c>
      <c r="I229">
        <v>3</v>
      </c>
      <c r="J229">
        <f t="shared" si="47"/>
        <v>12.900000000000205</v>
      </c>
      <c r="K229">
        <v>1</v>
      </c>
      <c r="L229">
        <f t="shared" si="38"/>
        <v>12.900000000000205</v>
      </c>
      <c r="M229" t="s">
        <v>72</v>
      </c>
      <c r="N229">
        <f>SUMIF(Executions!B:B,A229,Executions!H:H)</f>
        <v>16.050000000000068</v>
      </c>
      <c r="O229">
        <f t="shared" si="39"/>
        <v>1.2441860465116135</v>
      </c>
      <c r="P229">
        <f>Tabla1[[#This Row],[Initial Risk $]]/Tabla1[[#This Row],[Position Size (shares)]]+Tabla1[[#This Row],[Entry Price]]</f>
        <v>878.3900000000001</v>
      </c>
      <c r="Q229">
        <f>Tabla1[[#This Row],[Initial Risk $]]/Tabla1[[#This Row],[Position Size (shares)]]*1.5+Tabla1[[#This Row],[Entry Price]]</f>
        <v>880.54000000000019</v>
      </c>
      <c r="R229">
        <f>Tabla1[[#This Row],[Initial Risk $]]/Tabla1[[#This Row],[Position Size (shares)]]*2+Tabla1[[#This Row],[Entry Price]]</f>
        <v>882.69000000000017</v>
      </c>
      <c r="S229">
        <f>Tabla1[[#This Row],[Initial Risk $]]/Tabla1[[#This Row],[Position Size (shares)]]*2.5+Tabla1[[#This Row],[Entry Price]]</f>
        <v>884.84000000000015</v>
      </c>
      <c r="T229">
        <f>Tabla1[[#This Row],[Initial Risk $]]/Tabla1[[#This Row],[Position Size (shares)]]*3+Tabla1[[#This Row],[Entry Price]]</f>
        <v>886.99000000000024</v>
      </c>
    </row>
    <row r="230" spans="1:20" customFormat="1" hidden="1" x14ac:dyDescent="0.25">
      <c r="A230" t="str">
        <f t="shared" si="46"/>
        <v>T-229</v>
      </c>
      <c r="B230" s="1">
        <v>46168</v>
      </c>
      <c r="C230" t="s">
        <v>73</v>
      </c>
      <c r="D230" t="s">
        <v>28</v>
      </c>
      <c r="E230" t="s">
        <v>60</v>
      </c>
      <c r="F230">
        <v>69.25</v>
      </c>
      <c r="G230">
        <v>65.989999999999995</v>
      </c>
      <c r="H230">
        <f>Tabla1[[#This Row],[Entry Price]]-(Tabla1[[#This Row],[Entry Price]]-Tabla1[[#This Row],[Initial Stop]])/2</f>
        <v>67.62</v>
      </c>
      <c r="I230">
        <v>2</v>
      </c>
      <c r="J230">
        <f t="shared" si="47"/>
        <v>6.5200000000000102</v>
      </c>
      <c r="K230">
        <v>1</v>
      </c>
      <c r="L230">
        <f t="shared" si="38"/>
        <v>6.5200000000000102</v>
      </c>
      <c r="M230" t="s">
        <v>72</v>
      </c>
      <c r="N230">
        <f>SUMIF(Executions!B:B,A230,Executions!H:H)</f>
        <v>-7.0999999999999943</v>
      </c>
      <c r="O230">
        <f t="shared" si="39"/>
        <v>-1.0889570552147214</v>
      </c>
      <c r="P230">
        <f>Tabla1[[#This Row],[Initial Risk $]]/Tabla1[[#This Row],[Position Size (shares)]]+Tabla1[[#This Row],[Entry Price]]</f>
        <v>72.510000000000005</v>
      </c>
      <c r="Q230">
        <f>Tabla1[[#This Row],[Initial Risk $]]/Tabla1[[#This Row],[Position Size (shares)]]*1.5+Tabla1[[#This Row],[Entry Price]]</f>
        <v>74.140000000000015</v>
      </c>
      <c r="R230">
        <f>Tabla1[[#This Row],[Initial Risk $]]/Tabla1[[#This Row],[Position Size (shares)]]*2+Tabla1[[#This Row],[Entry Price]]</f>
        <v>75.77000000000001</v>
      </c>
      <c r="S230">
        <f>Tabla1[[#This Row],[Initial Risk $]]/Tabla1[[#This Row],[Position Size (shares)]]*2.5+Tabla1[[#This Row],[Entry Price]]</f>
        <v>77.400000000000006</v>
      </c>
      <c r="T230">
        <f>Tabla1[[#This Row],[Initial Risk $]]/Tabla1[[#This Row],[Position Size (shares)]]*3+Tabla1[[#This Row],[Entry Price]]</f>
        <v>79.030000000000015</v>
      </c>
    </row>
    <row r="231" spans="1:20" customFormat="1" hidden="1" x14ac:dyDescent="0.25">
      <c r="A231" t="str">
        <f t="shared" ref="A231:A242" si="48">"T-"&amp; TEXT(ROW()-1,"000")</f>
        <v>T-230</v>
      </c>
      <c r="B231" s="1">
        <v>46169</v>
      </c>
      <c r="C231" t="s">
        <v>279</v>
      </c>
      <c r="D231" t="s">
        <v>28</v>
      </c>
      <c r="E231" t="s">
        <v>58</v>
      </c>
      <c r="F231">
        <v>918.51</v>
      </c>
      <c r="G231">
        <v>916.51</v>
      </c>
      <c r="H231">
        <f>Tabla1[[#This Row],[Entry Price]]-(Tabla1[[#This Row],[Entry Price]]-Tabla1[[#This Row],[Initial Stop]])/2</f>
        <v>917.51</v>
      </c>
      <c r="I231">
        <v>4</v>
      </c>
      <c r="J231">
        <f t="shared" ref="J231:J242" si="49">IF(D231="Long",(F231-G231)*I231,(G231-F231)*0)</f>
        <v>8</v>
      </c>
      <c r="K231">
        <v>1</v>
      </c>
      <c r="L231">
        <f t="shared" si="38"/>
        <v>8</v>
      </c>
      <c r="M231" t="s">
        <v>72</v>
      </c>
      <c r="N231">
        <f>SUMIF(Executions!B:B,A231,Executions!H:H)</f>
        <v>-7.2399999999997817</v>
      </c>
      <c r="O231">
        <f t="shared" si="39"/>
        <v>-0.90499999999997272</v>
      </c>
      <c r="P231">
        <f>Tabla1[[#This Row],[Initial Risk $]]/Tabla1[[#This Row],[Position Size (shares)]]+Tabla1[[#This Row],[Entry Price]]</f>
        <v>920.51</v>
      </c>
      <c r="Q231">
        <f>Tabla1[[#This Row],[Initial Risk $]]/Tabla1[[#This Row],[Position Size (shares)]]*1.5+Tabla1[[#This Row],[Entry Price]]</f>
        <v>921.51</v>
      </c>
      <c r="R231">
        <f>Tabla1[[#This Row],[Initial Risk $]]/Tabla1[[#This Row],[Position Size (shares)]]*2+Tabla1[[#This Row],[Entry Price]]</f>
        <v>922.51</v>
      </c>
      <c r="S231">
        <f>Tabla1[[#This Row],[Initial Risk $]]/Tabla1[[#This Row],[Position Size (shares)]]*2.5+Tabla1[[#This Row],[Entry Price]]</f>
        <v>923.51</v>
      </c>
      <c r="T231">
        <f>Tabla1[[#This Row],[Initial Risk $]]/Tabla1[[#This Row],[Position Size (shares)]]*3+Tabla1[[#This Row],[Entry Price]]</f>
        <v>924.51</v>
      </c>
    </row>
    <row r="232" spans="1:20" customFormat="1" hidden="1" x14ac:dyDescent="0.25">
      <c r="A232" t="str">
        <f t="shared" si="48"/>
        <v>T-231</v>
      </c>
      <c r="B232" s="1">
        <v>46169</v>
      </c>
      <c r="C232" t="s">
        <v>130</v>
      </c>
      <c r="D232" t="s">
        <v>28</v>
      </c>
      <c r="E232" t="s">
        <v>58</v>
      </c>
      <c r="F232">
        <v>504.06</v>
      </c>
      <c r="G232">
        <v>498.06</v>
      </c>
      <c r="H232">
        <f>Tabla1[[#This Row],[Entry Price]]-(Tabla1[[#This Row],[Entry Price]]-Tabla1[[#This Row],[Initial Stop]])/2</f>
        <v>501.06</v>
      </c>
      <c r="I232">
        <v>2</v>
      </c>
      <c r="J232">
        <f t="shared" si="49"/>
        <v>12</v>
      </c>
      <c r="K232">
        <v>1</v>
      </c>
      <c r="L232">
        <f t="shared" si="38"/>
        <v>12</v>
      </c>
      <c r="M232" t="s">
        <v>72</v>
      </c>
      <c r="N232">
        <f>SUMIF(Executions!B:B,A232,Executions!H:H)</f>
        <v>-11.919999999999959</v>
      </c>
      <c r="O232">
        <f t="shared" si="39"/>
        <v>-0.99333333333332996</v>
      </c>
      <c r="P232">
        <f>Tabla1[[#This Row],[Initial Risk $]]/Tabla1[[#This Row],[Position Size (shares)]]+Tabla1[[#This Row],[Entry Price]]</f>
        <v>510.06</v>
      </c>
      <c r="Q232">
        <f>Tabla1[[#This Row],[Initial Risk $]]/Tabla1[[#This Row],[Position Size (shares)]]*1.5+Tabla1[[#This Row],[Entry Price]]</f>
        <v>513.05999999999995</v>
      </c>
      <c r="R232">
        <f>Tabla1[[#This Row],[Initial Risk $]]/Tabla1[[#This Row],[Position Size (shares)]]*2+Tabla1[[#This Row],[Entry Price]]</f>
        <v>516.05999999999995</v>
      </c>
      <c r="S232">
        <f>Tabla1[[#This Row],[Initial Risk $]]/Tabla1[[#This Row],[Position Size (shares)]]*2.5+Tabla1[[#This Row],[Entry Price]]</f>
        <v>519.05999999999995</v>
      </c>
      <c r="T232">
        <f>Tabla1[[#This Row],[Initial Risk $]]/Tabla1[[#This Row],[Position Size (shares)]]*3+Tabla1[[#This Row],[Entry Price]]</f>
        <v>522.05999999999995</v>
      </c>
    </row>
    <row r="233" spans="1:20" customFormat="1" hidden="1" x14ac:dyDescent="0.25">
      <c r="A233" t="str">
        <f t="shared" si="48"/>
        <v>T-232</v>
      </c>
      <c r="B233" s="1">
        <v>46169</v>
      </c>
      <c r="C233" t="s">
        <v>410</v>
      </c>
      <c r="D233" t="s">
        <v>28</v>
      </c>
      <c r="E233" t="s">
        <v>58</v>
      </c>
      <c r="F233">
        <v>162.19999999999999</v>
      </c>
      <c r="G233">
        <v>155.19999999999999</v>
      </c>
      <c r="H233">
        <f>Tabla1[[#This Row],[Entry Price]]-(Tabla1[[#This Row],[Entry Price]]-Tabla1[[#This Row],[Initial Stop]])/2</f>
        <v>158.69999999999999</v>
      </c>
      <c r="I233">
        <v>4</v>
      </c>
      <c r="J233">
        <f t="shared" si="49"/>
        <v>28</v>
      </c>
      <c r="K233">
        <v>1</v>
      </c>
      <c r="L233">
        <f t="shared" si="38"/>
        <v>28</v>
      </c>
      <c r="M233" t="s">
        <v>72</v>
      </c>
      <c r="N233">
        <f>SUMIF(Executions!B:B,A233,Executions!H:H)</f>
        <v>-25.879999999999995</v>
      </c>
      <c r="O233">
        <f t="shared" si="39"/>
        <v>-0.92428571428571416</v>
      </c>
      <c r="P233">
        <f>Tabla1[[#This Row],[Initial Risk $]]/Tabla1[[#This Row],[Position Size (shares)]]+Tabla1[[#This Row],[Entry Price]]</f>
        <v>169.2</v>
      </c>
      <c r="Q233">
        <f>Tabla1[[#This Row],[Initial Risk $]]/Tabla1[[#This Row],[Position Size (shares)]]*1.5+Tabla1[[#This Row],[Entry Price]]</f>
        <v>172.7</v>
      </c>
      <c r="R233">
        <f>Tabla1[[#This Row],[Initial Risk $]]/Tabla1[[#This Row],[Position Size (shares)]]*2+Tabla1[[#This Row],[Entry Price]]</f>
        <v>176.2</v>
      </c>
      <c r="S233">
        <f>Tabla1[[#This Row],[Initial Risk $]]/Tabla1[[#This Row],[Position Size (shares)]]*2.5+Tabla1[[#This Row],[Entry Price]]</f>
        <v>179.7</v>
      </c>
      <c r="T233">
        <f>Tabla1[[#This Row],[Initial Risk $]]/Tabla1[[#This Row],[Position Size (shares)]]*3+Tabla1[[#This Row],[Entry Price]]</f>
        <v>183.2</v>
      </c>
    </row>
    <row r="234" spans="1:20" customFormat="1" hidden="1" x14ac:dyDescent="0.25">
      <c r="A234" t="str">
        <f t="shared" si="48"/>
        <v>T-233</v>
      </c>
      <c r="B234" s="1">
        <v>46163</v>
      </c>
      <c r="C234" t="s">
        <v>411</v>
      </c>
      <c r="D234" t="s">
        <v>28</v>
      </c>
      <c r="E234" t="s">
        <v>58</v>
      </c>
      <c r="F234">
        <v>0.81</v>
      </c>
      <c r="G234">
        <v>0.61</v>
      </c>
      <c r="H234">
        <f>Tabla1[[#This Row],[Entry Price]]-(Tabla1[[#This Row],[Entry Price]]-Tabla1[[#This Row],[Initial Stop]])/2</f>
        <v>0.71</v>
      </c>
      <c r="I234">
        <v>10</v>
      </c>
      <c r="J234">
        <f t="shared" si="49"/>
        <v>2.0000000000000009</v>
      </c>
      <c r="K234">
        <v>1</v>
      </c>
      <c r="L234">
        <f t="shared" si="38"/>
        <v>2.0000000000000009</v>
      </c>
      <c r="M234" t="s">
        <v>72</v>
      </c>
      <c r="N234">
        <f>SUMIF(Executions!B:B,A234,Executions!H:H)</f>
        <v>-2.0990000000000011</v>
      </c>
      <c r="O234">
        <f t="shared" si="39"/>
        <v>-1.0495000000000001</v>
      </c>
      <c r="P234">
        <f>Tabla1[[#This Row],[Initial Risk $]]/Tabla1[[#This Row],[Position Size (shares)]]+Tabla1[[#This Row],[Entry Price]]</f>
        <v>1.0100000000000002</v>
      </c>
      <c r="Q234">
        <f>Tabla1[[#This Row],[Initial Risk $]]/Tabla1[[#This Row],[Position Size (shares)]]*1.5+Tabla1[[#This Row],[Entry Price]]</f>
        <v>1.1100000000000003</v>
      </c>
      <c r="R234">
        <f>Tabla1[[#This Row],[Initial Risk $]]/Tabla1[[#This Row],[Position Size (shares)]]*2+Tabla1[[#This Row],[Entry Price]]</f>
        <v>1.2100000000000002</v>
      </c>
      <c r="S234">
        <f>Tabla1[[#This Row],[Initial Risk $]]/Tabla1[[#This Row],[Position Size (shares)]]*2.5+Tabla1[[#This Row],[Entry Price]]</f>
        <v>1.3100000000000003</v>
      </c>
      <c r="T234">
        <f>Tabla1[[#This Row],[Initial Risk $]]/Tabla1[[#This Row],[Position Size (shares)]]*3+Tabla1[[#This Row],[Entry Price]]</f>
        <v>1.4100000000000004</v>
      </c>
    </row>
    <row r="235" spans="1:20" customFormat="1" hidden="1" x14ac:dyDescent="0.25">
      <c r="A235" t="str">
        <f t="shared" si="48"/>
        <v>T-234</v>
      </c>
      <c r="B235" s="1">
        <v>46169</v>
      </c>
      <c r="C235" t="s">
        <v>186</v>
      </c>
      <c r="D235" t="s">
        <v>28</v>
      </c>
      <c r="E235" t="s">
        <v>119</v>
      </c>
      <c r="F235">
        <v>269.82</v>
      </c>
      <c r="G235">
        <v>268.74</v>
      </c>
      <c r="H235">
        <f>Tabla1[[#This Row],[Entry Price]]-(Tabla1[[#This Row],[Entry Price]]-Tabla1[[#This Row],[Initial Stop]])/2</f>
        <v>269.27999999999997</v>
      </c>
      <c r="I235">
        <v>4</v>
      </c>
      <c r="J235">
        <f t="shared" si="49"/>
        <v>4.3199999999999363</v>
      </c>
      <c r="K235">
        <v>1</v>
      </c>
      <c r="L235">
        <f t="shared" si="38"/>
        <v>4.3199999999999363</v>
      </c>
      <c r="M235" t="s">
        <v>72</v>
      </c>
      <c r="N235">
        <f>SUMIF(Executions!B:B,A235,Executions!H:H)</f>
        <v>6.4400000000000546</v>
      </c>
      <c r="O235">
        <f t="shared" si="39"/>
        <v>1.4907407407407753</v>
      </c>
      <c r="P235">
        <f>Tabla1[[#This Row],[Initial Risk $]]/Tabla1[[#This Row],[Position Size (shares)]]+Tabla1[[#This Row],[Entry Price]]</f>
        <v>270.89999999999998</v>
      </c>
      <c r="Q235">
        <f>Tabla1[[#This Row],[Initial Risk $]]/Tabla1[[#This Row],[Position Size (shares)]]*1.5+Tabla1[[#This Row],[Entry Price]]</f>
        <v>271.43999999999994</v>
      </c>
      <c r="R235">
        <f>Tabla1[[#This Row],[Initial Risk $]]/Tabla1[[#This Row],[Position Size (shares)]]*2+Tabla1[[#This Row],[Entry Price]]</f>
        <v>271.97999999999996</v>
      </c>
      <c r="S235">
        <f>Tabla1[[#This Row],[Initial Risk $]]/Tabla1[[#This Row],[Position Size (shares)]]*2.5+Tabla1[[#This Row],[Entry Price]]</f>
        <v>272.52</v>
      </c>
      <c r="T235">
        <f>Tabla1[[#This Row],[Initial Risk $]]/Tabla1[[#This Row],[Position Size (shares)]]*3+Tabla1[[#This Row],[Entry Price]]</f>
        <v>273.05999999999995</v>
      </c>
    </row>
    <row r="236" spans="1:20" customFormat="1" hidden="1" x14ac:dyDescent="0.25">
      <c r="A236" t="str">
        <f t="shared" si="48"/>
        <v>T-235</v>
      </c>
      <c r="B236" s="1">
        <v>46170</v>
      </c>
      <c r="C236" t="s">
        <v>102</v>
      </c>
      <c r="D236" t="s">
        <v>28</v>
      </c>
      <c r="E236" t="s">
        <v>119</v>
      </c>
      <c r="F236">
        <v>62.93</v>
      </c>
      <c r="G236">
        <v>62.43</v>
      </c>
      <c r="H236">
        <f>Tabla1[[#This Row],[Entry Price]]-(Tabla1[[#This Row],[Entry Price]]-Tabla1[[#This Row],[Initial Stop]])/2</f>
        <v>62.68</v>
      </c>
      <c r="I236">
        <v>10</v>
      </c>
      <c r="J236">
        <f t="shared" si="49"/>
        <v>5</v>
      </c>
      <c r="K236">
        <v>1</v>
      </c>
      <c r="L236">
        <f t="shared" ref="L236:L242" si="50">J236*K236</f>
        <v>5</v>
      </c>
      <c r="M236" t="s">
        <v>72</v>
      </c>
      <c r="N236">
        <f>SUMIF(Executions!B:B,A236,Executions!H:H)</f>
        <v>26.599999999999966</v>
      </c>
      <c r="O236">
        <f t="shared" si="39"/>
        <v>5.3199999999999932</v>
      </c>
      <c r="P236">
        <f>Tabla1[[#This Row],[Initial Risk $]]/Tabla1[[#This Row],[Position Size (shares)]]+Tabla1[[#This Row],[Entry Price]]</f>
        <v>63.43</v>
      </c>
      <c r="Q236">
        <f>Tabla1[[#This Row],[Initial Risk $]]/Tabla1[[#This Row],[Position Size (shares)]]*1.5+Tabla1[[#This Row],[Entry Price]]</f>
        <v>63.68</v>
      </c>
      <c r="R236">
        <f>Tabla1[[#This Row],[Initial Risk $]]/Tabla1[[#This Row],[Position Size (shares)]]*2+Tabla1[[#This Row],[Entry Price]]</f>
        <v>63.93</v>
      </c>
      <c r="S236">
        <f>Tabla1[[#This Row],[Initial Risk $]]/Tabla1[[#This Row],[Position Size (shares)]]*2.5+Tabla1[[#This Row],[Entry Price]]</f>
        <v>64.180000000000007</v>
      </c>
      <c r="T236">
        <f>Tabla1[[#This Row],[Initial Risk $]]/Tabla1[[#This Row],[Position Size (shares)]]*3+Tabla1[[#This Row],[Entry Price]]</f>
        <v>64.430000000000007</v>
      </c>
    </row>
    <row r="237" spans="1:20" customFormat="1" hidden="1" x14ac:dyDescent="0.25">
      <c r="A237" t="str">
        <f t="shared" si="48"/>
        <v>T-236</v>
      </c>
      <c r="B237" s="1">
        <v>46170</v>
      </c>
      <c r="C237" t="s">
        <v>164</v>
      </c>
      <c r="D237" t="s">
        <v>28</v>
      </c>
      <c r="E237" t="s">
        <v>119</v>
      </c>
      <c r="F237">
        <v>213.66</v>
      </c>
      <c r="G237">
        <v>212.46</v>
      </c>
      <c r="H237">
        <f>Tabla1[[#This Row],[Entry Price]]-(Tabla1[[#This Row],[Entry Price]]-Tabla1[[#This Row],[Initial Stop]])/2</f>
        <v>213.06</v>
      </c>
      <c r="I237">
        <v>4</v>
      </c>
      <c r="J237">
        <f t="shared" si="49"/>
        <v>4.7999999999999545</v>
      </c>
      <c r="K237">
        <v>1</v>
      </c>
      <c r="L237">
        <f t="shared" si="50"/>
        <v>4.7999999999999545</v>
      </c>
      <c r="M237" t="s">
        <v>72</v>
      </c>
      <c r="N237">
        <f>SUMIF(Executions!B:B,A237,Executions!H:H)</f>
        <v>-4.8799999999999955</v>
      </c>
      <c r="O237">
        <f t="shared" si="39"/>
        <v>-1.0166666666666753</v>
      </c>
      <c r="P237">
        <f>Tabla1[[#This Row],[Initial Risk $]]/Tabla1[[#This Row],[Position Size (shares)]]+Tabla1[[#This Row],[Entry Price]]</f>
        <v>214.85999999999999</v>
      </c>
      <c r="Q237">
        <f>Tabla1[[#This Row],[Initial Risk $]]/Tabla1[[#This Row],[Position Size (shares)]]*1.5+Tabla1[[#This Row],[Entry Price]]</f>
        <v>215.45999999999998</v>
      </c>
      <c r="R237">
        <f>Tabla1[[#This Row],[Initial Risk $]]/Tabla1[[#This Row],[Position Size (shares)]]*2+Tabla1[[#This Row],[Entry Price]]</f>
        <v>216.05999999999997</v>
      </c>
      <c r="S237">
        <f>Tabla1[[#This Row],[Initial Risk $]]/Tabla1[[#This Row],[Position Size (shares)]]*2.5+Tabla1[[#This Row],[Entry Price]]</f>
        <v>216.65999999999997</v>
      </c>
      <c r="T237">
        <f>Tabla1[[#This Row],[Initial Risk $]]/Tabla1[[#This Row],[Position Size (shares)]]*3+Tabla1[[#This Row],[Entry Price]]</f>
        <v>217.25999999999996</v>
      </c>
    </row>
    <row r="238" spans="1:20" customFormat="1" hidden="1" x14ac:dyDescent="0.25">
      <c r="A238" t="str">
        <f t="shared" si="48"/>
        <v>T-237</v>
      </c>
      <c r="B238" s="1">
        <v>46170</v>
      </c>
      <c r="C238" t="s">
        <v>417</v>
      </c>
      <c r="D238" t="s">
        <v>28</v>
      </c>
      <c r="E238" t="s">
        <v>58</v>
      </c>
      <c r="F238">
        <v>578.26</v>
      </c>
      <c r="G238">
        <v>574.26</v>
      </c>
      <c r="H238">
        <f>Tabla1[[#This Row],[Entry Price]]-(Tabla1[[#This Row],[Entry Price]]-Tabla1[[#This Row],[Initial Stop]])/2</f>
        <v>576.26</v>
      </c>
      <c r="I238">
        <v>2</v>
      </c>
      <c r="J238">
        <f t="shared" si="49"/>
        <v>8</v>
      </c>
      <c r="K238">
        <v>1</v>
      </c>
      <c r="L238">
        <f t="shared" si="50"/>
        <v>8</v>
      </c>
      <c r="M238" t="s">
        <v>72</v>
      </c>
      <c r="N238">
        <f>SUMIF(Executions!B:B,A238,Executions!H:H)</f>
        <v>36.240000000000009</v>
      </c>
      <c r="O238">
        <f t="shared" si="39"/>
        <v>4.5300000000000011</v>
      </c>
      <c r="P238">
        <f>Tabla1[[#This Row],[Initial Risk $]]/Tabla1[[#This Row],[Position Size (shares)]]+Tabla1[[#This Row],[Entry Price]]</f>
        <v>582.26</v>
      </c>
      <c r="Q238">
        <f>Tabla1[[#This Row],[Initial Risk $]]/Tabla1[[#This Row],[Position Size (shares)]]*1.5+Tabla1[[#This Row],[Entry Price]]</f>
        <v>584.26</v>
      </c>
      <c r="R238">
        <f>Tabla1[[#This Row],[Initial Risk $]]/Tabla1[[#This Row],[Position Size (shares)]]*2+Tabla1[[#This Row],[Entry Price]]</f>
        <v>586.26</v>
      </c>
      <c r="S238">
        <f>Tabla1[[#This Row],[Initial Risk $]]/Tabla1[[#This Row],[Position Size (shares)]]*2.5+Tabla1[[#This Row],[Entry Price]]</f>
        <v>588.26</v>
      </c>
      <c r="T238">
        <f>Tabla1[[#This Row],[Initial Risk $]]/Tabla1[[#This Row],[Position Size (shares)]]*3+Tabla1[[#This Row],[Entry Price]]</f>
        <v>590.26</v>
      </c>
    </row>
    <row r="239" spans="1:20" customFormat="1" hidden="1" x14ac:dyDescent="0.25">
      <c r="A239" t="str">
        <f t="shared" si="48"/>
        <v>T-238</v>
      </c>
      <c r="B239" s="1">
        <v>46170</v>
      </c>
      <c r="C239" t="s">
        <v>179</v>
      </c>
      <c r="D239" t="s">
        <v>28</v>
      </c>
      <c r="E239" t="s">
        <v>51</v>
      </c>
      <c r="F239">
        <v>233.82</v>
      </c>
      <c r="G239">
        <v>232.82</v>
      </c>
      <c r="H239">
        <f>Tabla1[[#This Row],[Entry Price]]-(Tabla1[[#This Row],[Entry Price]]-Tabla1[[#This Row],[Initial Stop]])/2</f>
        <v>233.32</v>
      </c>
      <c r="I239">
        <v>4</v>
      </c>
      <c r="J239">
        <f t="shared" si="49"/>
        <v>4</v>
      </c>
      <c r="K239">
        <v>1</v>
      </c>
      <c r="L239">
        <f t="shared" si="50"/>
        <v>4</v>
      </c>
      <c r="M239" t="s">
        <v>72</v>
      </c>
      <c r="N239">
        <f>SUMIF(Executions!B:B,A239,Executions!H:H)</f>
        <v>17.160000000000082</v>
      </c>
      <c r="O239">
        <f t="shared" si="39"/>
        <v>4.2900000000000205</v>
      </c>
      <c r="P239">
        <f>Tabla1[[#This Row],[Initial Risk $]]/Tabla1[[#This Row],[Position Size (shares)]]+Tabla1[[#This Row],[Entry Price]]</f>
        <v>234.82</v>
      </c>
      <c r="Q239">
        <f>Tabla1[[#This Row],[Initial Risk $]]/Tabla1[[#This Row],[Position Size (shares)]]*1.5+Tabla1[[#This Row],[Entry Price]]</f>
        <v>235.32</v>
      </c>
      <c r="R239">
        <f>Tabla1[[#This Row],[Initial Risk $]]/Tabla1[[#This Row],[Position Size (shares)]]*2+Tabla1[[#This Row],[Entry Price]]</f>
        <v>235.82</v>
      </c>
      <c r="S239">
        <f>Tabla1[[#This Row],[Initial Risk $]]/Tabla1[[#This Row],[Position Size (shares)]]*2.5+Tabla1[[#This Row],[Entry Price]]</f>
        <v>236.32</v>
      </c>
      <c r="T239">
        <f>Tabla1[[#This Row],[Initial Risk $]]/Tabla1[[#This Row],[Position Size (shares)]]*3+Tabla1[[#This Row],[Entry Price]]</f>
        <v>236.82</v>
      </c>
    </row>
    <row r="240" spans="1:20" customFormat="1" hidden="1" x14ac:dyDescent="0.25">
      <c r="A240" t="str">
        <f t="shared" si="48"/>
        <v>T-239</v>
      </c>
      <c r="B240" s="1">
        <v>46170</v>
      </c>
      <c r="C240" t="s">
        <v>164</v>
      </c>
      <c r="D240" t="s">
        <v>28</v>
      </c>
      <c r="E240" t="s">
        <v>119</v>
      </c>
      <c r="F240">
        <v>212.55</v>
      </c>
      <c r="G240">
        <v>211.55</v>
      </c>
      <c r="H240">
        <f>Tabla1[[#This Row],[Entry Price]]-(Tabla1[[#This Row],[Entry Price]]-Tabla1[[#This Row],[Initial Stop]])/2</f>
        <v>212.05</v>
      </c>
      <c r="I240">
        <v>4</v>
      </c>
      <c r="J240">
        <f t="shared" si="49"/>
        <v>4</v>
      </c>
      <c r="K240">
        <v>1</v>
      </c>
      <c r="L240">
        <f t="shared" si="50"/>
        <v>4</v>
      </c>
      <c r="M240" t="s">
        <v>72</v>
      </c>
      <c r="N240">
        <f>SUMIF(Executions!B:B,A240,Executions!H:H)</f>
        <v>-4</v>
      </c>
      <c r="O240">
        <f t="shared" si="39"/>
        <v>-1</v>
      </c>
      <c r="P240">
        <f>Tabla1[[#This Row],[Initial Risk $]]/Tabla1[[#This Row],[Position Size (shares)]]+Tabla1[[#This Row],[Entry Price]]</f>
        <v>213.55</v>
      </c>
      <c r="Q240">
        <f>Tabla1[[#This Row],[Initial Risk $]]/Tabla1[[#This Row],[Position Size (shares)]]*1.5+Tabla1[[#This Row],[Entry Price]]</f>
        <v>214.05</v>
      </c>
      <c r="R240">
        <f>Tabla1[[#This Row],[Initial Risk $]]/Tabla1[[#This Row],[Position Size (shares)]]*2+Tabla1[[#This Row],[Entry Price]]</f>
        <v>214.55</v>
      </c>
      <c r="S240">
        <f>Tabla1[[#This Row],[Initial Risk $]]/Tabla1[[#This Row],[Position Size (shares)]]*2.5+Tabla1[[#This Row],[Entry Price]]</f>
        <v>215.05</v>
      </c>
      <c r="T240">
        <f>Tabla1[[#This Row],[Initial Risk $]]/Tabla1[[#This Row],[Position Size (shares)]]*3+Tabla1[[#This Row],[Entry Price]]</f>
        <v>215.55</v>
      </c>
    </row>
    <row r="241" spans="1:20" customFormat="1" hidden="1" x14ac:dyDescent="0.25">
      <c r="A241" t="str">
        <f t="shared" si="48"/>
        <v>T-240</v>
      </c>
      <c r="B241" s="1">
        <v>46170</v>
      </c>
      <c r="C241" t="s">
        <v>279</v>
      </c>
      <c r="D241" t="s">
        <v>28</v>
      </c>
      <c r="E241" t="s">
        <v>58</v>
      </c>
      <c r="F241">
        <v>930.7</v>
      </c>
      <c r="G241">
        <v>927</v>
      </c>
      <c r="H241">
        <f>Tabla1[[#This Row],[Entry Price]]-(Tabla1[[#This Row],[Entry Price]]-Tabla1[[#This Row],[Initial Stop]])/2</f>
        <v>928.85</v>
      </c>
      <c r="I241">
        <v>2</v>
      </c>
      <c r="J241">
        <f t="shared" si="49"/>
        <v>7.4000000000000909</v>
      </c>
      <c r="K241">
        <v>1</v>
      </c>
      <c r="L241">
        <f t="shared" si="50"/>
        <v>7.4000000000000909</v>
      </c>
      <c r="M241" t="s">
        <v>72</v>
      </c>
      <c r="N241">
        <f>SUMIF(Executions!B:B,A241,Executions!H:H)</f>
        <v>28.799999999999955</v>
      </c>
      <c r="O241">
        <f t="shared" si="39"/>
        <v>3.8918918918918379</v>
      </c>
      <c r="P241">
        <f>Tabla1[[#This Row],[Initial Risk $]]/Tabla1[[#This Row],[Position Size (shares)]]+Tabla1[[#This Row],[Entry Price]]</f>
        <v>934.40000000000009</v>
      </c>
      <c r="Q241">
        <f>Tabla1[[#This Row],[Initial Risk $]]/Tabla1[[#This Row],[Position Size (shares)]]*1.5+Tabla1[[#This Row],[Entry Price]]</f>
        <v>936.25000000000011</v>
      </c>
      <c r="R241">
        <f>Tabla1[[#This Row],[Initial Risk $]]/Tabla1[[#This Row],[Position Size (shares)]]*2+Tabla1[[#This Row],[Entry Price]]</f>
        <v>938.10000000000014</v>
      </c>
      <c r="S241">
        <f>Tabla1[[#This Row],[Initial Risk $]]/Tabla1[[#This Row],[Position Size (shares)]]*2.5+Tabla1[[#This Row],[Entry Price]]</f>
        <v>939.95000000000016</v>
      </c>
      <c r="T241">
        <f>Tabla1[[#This Row],[Initial Risk $]]/Tabla1[[#This Row],[Position Size (shares)]]*3+Tabla1[[#This Row],[Entry Price]]</f>
        <v>941.80000000000018</v>
      </c>
    </row>
    <row r="242" spans="1:20" customFormat="1" hidden="1" x14ac:dyDescent="0.25">
      <c r="A242" t="str">
        <f t="shared" si="48"/>
        <v>T-241</v>
      </c>
      <c r="B242" s="1">
        <v>46170</v>
      </c>
      <c r="C242" t="s">
        <v>154</v>
      </c>
      <c r="D242" t="s">
        <v>28</v>
      </c>
      <c r="E242" t="s">
        <v>119</v>
      </c>
      <c r="F242">
        <v>384.93</v>
      </c>
      <c r="G242">
        <v>383.43</v>
      </c>
      <c r="H242">
        <f>Tabla1[[#This Row],[Entry Price]]-(Tabla1[[#This Row],[Entry Price]]-Tabla1[[#This Row],[Initial Stop]])/2</f>
        <v>384.18</v>
      </c>
      <c r="I242">
        <v>3</v>
      </c>
      <c r="J242">
        <f t="shared" si="49"/>
        <v>4.5</v>
      </c>
      <c r="K242">
        <v>1</v>
      </c>
      <c r="L242">
        <f t="shared" si="50"/>
        <v>4.5</v>
      </c>
      <c r="M242" t="s">
        <v>72</v>
      </c>
      <c r="N242">
        <f>SUMIF(Executions!B:B,A242,Executions!H:H)</f>
        <v>5.9700000000000273</v>
      </c>
      <c r="O242">
        <f t="shared" si="39"/>
        <v>1.3266666666666727</v>
      </c>
      <c r="P242">
        <f>Tabla1[[#This Row],[Initial Risk $]]/Tabla1[[#This Row],[Position Size (shares)]]+Tabla1[[#This Row],[Entry Price]]</f>
        <v>386.43</v>
      </c>
      <c r="Q242">
        <f>Tabla1[[#This Row],[Initial Risk $]]/Tabla1[[#This Row],[Position Size (shares)]]*1.5+Tabla1[[#This Row],[Entry Price]]</f>
        <v>387.18</v>
      </c>
      <c r="R242">
        <f>Tabla1[[#This Row],[Initial Risk $]]/Tabla1[[#This Row],[Position Size (shares)]]*2+Tabla1[[#This Row],[Entry Price]]</f>
        <v>387.93</v>
      </c>
      <c r="S242">
        <f>Tabla1[[#This Row],[Initial Risk $]]/Tabla1[[#This Row],[Position Size (shares)]]*2.5+Tabla1[[#This Row],[Entry Price]]</f>
        <v>388.68</v>
      </c>
      <c r="T242">
        <f>Tabla1[[#This Row],[Initial Risk $]]/Tabla1[[#This Row],[Position Size (shares)]]*3+Tabla1[[#This Row],[Entry Price]]</f>
        <v>389.43</v>
      </c>
    </row>
    <row r="243" spans="1:20" customFormat="1" hidden="1" x14ac:dyDescent="0.25">
      <c r="A243" t="str">
        <f t="shared" ref="A243:A251" si="51">"T-"&amp; TEXT(ROW()-1,"000")</f>
        <v>T-242</v>
      </c>
      <c r="B243" s="1">
        <v>46171</v>
      </c>
      <c r="C243" t="s">
        <v>173</v>
      </c>
      <c r="D243" t="s">
        <v>28</v>
      </c>
      <c r="E243" t="s">
        <v>58</v>
      </c>
      <c r="F243">
        <v>149.88999999999999</v>
      </c>
      <c r="G243">
        <v>147.88999999999999</v>
      </c>
      <c r="H243">
        <f>Tabla1[[#This Row],[Entry Price]]-(Tabla1[[#This Row],[Entry Price]]-Tabla1[[#This Row],[Initial Stop]])/2</f>
        <v>148.88999999999999</v>
      </c>
      <c r="I243">
        <v>8</v>
      </c>
      <c r="J243">
        <f t="shared" ref="J243:J251" si="52">IF(D243="Long",(F243-G243)*I243,(G243-F243)*0)</f>
        <v>16</v>
      </c>
      <c r="K243">
        <v>1</v>
      </c>
      <c r="L243">
        <f t="shared" ref="L243:L251" si="53">J243*K243</f>
        <v>16</v>
      </c>
      <c r="M243" t="s">
        <v>72</v>
      </c>
      <c r="N243">
        <f>SUMIF(Executions!B:B,A243,Executions!H:H)</f>
        <v>41.400000000000091</v>
      </c>
      <c r="O243">
        <f t="shared" si="39"/>
        <v>2.5875000000000057</v>
      </c>
      <c r="P243">
        <f>Tabla1[[#This Row],[Initial Risk $]]/Tabla1[[#This Row],[Position Size (shares)]]+Tabla1[[#This Row],[Entry Price]]</f>
        <v>151.88999999999999</v>
      </c>
      <c r="Q243">
        <f>Tabla1[[#This Row],[Initial Risk $]]/Tabla1[[#This Row],[Position Size (shares)]]*1.5+Tabla1[[#This Row],[Entry Price]]</f>
        <v>152.88999999999999</v>
      </c>
      <c r="R243">
        <f>Tabla1[[#This Row],[Initial Risk $]]/Tabla1[[#This Row],[Position Size (shares)]]*2+Tabla1[[#This Row],[Entry Price]]</f>
        <v>153.88999999999999</v>
      </c>
      <c r="S243">
        <f>Tabla1[[#This Row],[Initial Risk $]]/Tabla1[[#This Row],[Position Size (shares)]]*2.5+Tabla1[[#This Row],[Entry Price]]</f>
        <v>154.88999999999999</v>
      </c>
      <c r="T243">
        <f>Tabla1[[#This Row],[Initial Risk $]]/Tabla1[[#This Row],[Position Size (shares)]]*3+Tabla1[[#This Row],[Entry Price]]</f>
        <v>155.88999999999999</v>
      </c>
    </row>
    <row r="244" spans="1:20" customFormat="1" hidden="1" x14ac:dyDescent="0.25">
      <c r="A244" t="str">
        <f t="shared" si="51"/>
        <v>T-243</v>
      </c>
      <c r="B244" s="1">
        <v>46171</v>
      </c>
      <c r="C244" t="s">
        <v>417</v>
      </c>
      <c r="D244" t="s">
        <v>28</v>
      </c>
      <c r="E244" t="s">
        <v>58</v>
      </c>
      <c r="F244">
        <v>593.16999999999996</v>
      </c>
      <c r="G244">
        <v>590.16999999999996</v>
      </c>
      <c r="H244">
        <f>Tabla1[[#This Row],[Entry Price]]-(Tabla1[[#This Row],[Entry Price]]-Tabla1[[#This Row],[Initial Stop]])/2</f>
        <v>591.66999999999996</v>
      </c>
      <c r="I244">
        <v>2</v>
      </c>
      <c r="J244">
        <f t="shared" si="52"/>
        <v>6</v>
      </c>
      <c r="K244">
        <v>1</v>
      </c>
      <c r="L244">
        <f t="shared" si="53"/>
        <v>6</v>
      </c>
      <c r="M244" t="s">
        <v>72</v>
      </c>
      <c r="N244">
        <f>SUMIF(Executions!B:B,A244,Executions!H:H)</f>
        <v>-7.3999999999998636</v>
      </c>
      <c r="O244">
        <f t="shared" si="39"/>
        <v>-1.2333333333333105</v>
      </c>
      <c r="P244">
        <f>Tabla1[[#This Row],[Initial Risk $]]/Tabla1[[#This Row],[Position Size (shares)]]+Tabla1[[#This Row],[Entry Price]]</f>
        <v>596.16999999999996</v>
      </c>
      <c r="Q244">
        <f>Tabla1[[#This Row],[Initial Risk $]]/Tabla1[[#This Row],[Position Size (shares)]]*1.5+Tabla1[[#This Row],[Entry Price]]</f>
        <v>597.66999999999996</v>
      </c>
      <c r="R244">
        <f>Tabla1[[#This Row],[Initial Risk $]]/Tabla1[[#This Row],[Position Size (shares)]]*2+Tabla1[[#This Row],[Entry Price]]</f>
        <v>599.16999999999996</v>
      </c>
      <c r="S244">
        <f>Tabla1[[#This Row],[Initial Risk $]]/Tabla1[[#This Row],[Position Size (shares)]]*2.5+Tabla1[[#This Row],[Entry Price]]</f>
        <v>600.66999999999996</v>
      </c>
      <c r="T244">
        <f>Tabla1[[#This Row],[Initial Risk $]]/Tabla1[[#This Row],[Position Size (shares)]]*3+Tabla1[[#This Row],[Entry Price]]</f>
        <v>602.16999999999996</v>
      </c>
    </row>
    <row r="245" spans="1:20" customFormat="1" hidden="1" x14ac:dyDescent="0.25">
      <c r="A245" t="str">
        <f t="shared" si="51"/>
        <v>T-244</v>
      </c>
      <c r="B245" s="1">
        <v>46171</v>
      </c>
      <c r="C245" t="s">
        <v>164</v>
      </c>
      <c r="D245" t="s">
        <v>28</v>
      </c>
      <c r="E245" t="s">
        <v>58</v>
      </c>
      <c r="F245">
        <v>215.75</v>
      </c>
      <c r="G245">
        <v>214.75</v>
      </c>
      <c r="H245">
        <f>Tabla1[[#This Row],[Entry Price]]-(Tabla1[[#This Row],[Entry Price]]-Tabla1[[#This Row],[Initial Stop]])/2</f>
        <v>215.25</v>
      </c>
      <c r="I245">
        <v>4</v>
      </c>
      <c r="J245">
        <f t="shared" si="52"/>
        <v>4</v>
      </c>
      <c r="K245">
        <v>1</v>
      </c>
      <c r="L245">
        <f t="shared" si="53"/>
        <v>4</v>
      </c>
      <c r="M245" t="s">
        <v>72</v>
      </c>
      <c r="N245">
        <f>SUMIF(Executions!B:B,A245,Executions!H:H)</f>
        <v>-4</v>
      </c>
      <c r="O245">
        <f t="shared" si="39"/>
        <v>-1</v>
      </c>
      <c r="P245">
        <f>Tabla1[[#This Row],[Initial Risk $]]/Tabla1[[#This Row],[Position Size (shares)]]+Tabla1[[#This Row],[Entry Price]]</f>
        <v>216.75</v>
      </c>
      <c r="Q245">
        <f>Tabla1[[#This Row],[Initial Risk $]]/Tabla1[[#This Row],[Position Size (shares)]]*1.5+Tabla1[[#This Row],[Entry Price]]</f>
        <v>217.25</v>
      </c>
      <c r="R245">
        <f>Tabla1[[#This Row],[Initial Risk $]]/Tabla1[[#This Row],[Position Size (shares)]]*2+Tabla1[[#This Row],[Entry Price]]</f>
        <v>217.75</v>
      </c>
      <c r="S245">
        <f>Tabla1[[#This Row],[Initial Risk $]]/Tabla1[[#This Row],[Position Size (shares)]]*2.5+Tabla1[[#This Row],[Entry Price]]</f>
        <v>218.25</v>
      </c>
      <c r="T245">
        <f>Tabla1[[#This Row],[Initial Risk $]]/Tabla1[[#This Row],[Position Size (shares)]]*3+Tabla1[[#This Row],[Entry Price]]</f>
        <v>218.75</v>
      </c>
    </row>
    <row r="246" spans="1:20" customFormat="1" hidden="1" x14ac:dyDescent="0.25">
      <c r="A246" t="str">
        <f t="shared" si="51"/>
        <v>T-245</v>
      </c>
      <c r="B246" s="1">
        <v>46171</v>
      </c>
      <c r="C246" t="s">
        <v>328</v>
      </c>
      <c r="D246" t="s">
        <v>28</v>
      </c>
      <c r="E246" t="s">
        <v>49</v>
      </c>
      <c r="F246">
        <v>11.8</v>
      </c>
      <c r="G246">
        <v>11.6</v>
      </c>
      <c r="H246">
        <f>Tabla1[[#This Row],[Entry Price]]-(Tabla1[[#This Row],[Entry Price]]-Tabla1[[#This Row],[Initial Stop]])/2</f>
        <v>11.7</v>
      </c>
      <c r="I246">
        <v>30</v>
      </c>
      <c r="J246">
        <f t="shared" si="52"/>
        <v>6.000000000000032</v>
      </c>
      <c r="K246">
        <v>1</v>
      </c>
      <c r="L246">
        <f t="shared" si="53"/>
        <v>6.000000000000032</v>
      </c>
      <c r="M246" t="s">
        <v>72</v>
      </c>
      <c r="N246">
        <f>SUMIF(Executions!B:B,A246,Executions!H:H)</f>
        <v>-5.4000000000000448</v>
      </c>
      <c r="O246">
        <f t="shared" si="39"/>
        <v>-0.90000000000000269</v>
      </c>
      <c r="P246">
        <f>Tabla1[[#This Row],[Initial Risk $]]/Tabla1[[#This Row],[Position Size (shares)]]+Tabla1[[#This Row],[Entry Price]]</f>
        <v>12.000000000000002</v>
      </c>
      <c r="Q246">
        <f>Tabla1[[#This Row],[Initial Risk $]]/Tabla1[[#This Row],[Position Size (shares)]]*1.5+Tabla1[[#This Row],[Entry Price]]</f>
        <v>12.100000000000001</v>
      </c>
      <c r="R246">
        <f>Tabla1[[#This Row],[Initial Risk $]]/Tabla1[[#This Row],[Position Size (shares)]]*2+Tabla1[[#This Row],[Entry Price]]</f>
        <v>12.200000000000003</v>
      </c>
      <c r="S246">
        <f>Tabla1[[#This Row],[Initial Risk $]]/Tabla1[[#This Row],[Position Size (shares)]]*2.5+Tabla1[[#This Row],[Entry Price]]</f>
        <v>12.300000000000004</v>
      </c>
      <c r="T246">
        <f>Tabla1[[#This Row],[Initial Risk $]]/Tabla1[[#This Row],[Position Size (shares)]]*3+Tabla1[[#This Row],[Entry Price]]</f>
        <v>12.400000000000004</v>
      </c>
    </row>
    <row r="247" spans="1:20" customFormat="1" hidden="1" x14ac:dyDescent="0.25">
      <c r="A247" t="str">
        <f t="shared" si="51"/>
        <v>T-246</v>
      </c>
      <c r="B247" s="1">
        <v>46171</v>
      </c>
      <c r="C247" t="s">
        <v>428</v>
      </c>
      <c r="D247" t="s">
        <v>28</v>
      </c>
      <c r="E247" t="s">
        <v>51</v>
      </c>
      <c r="F247">
        <v>424.18</v>
      </c>
      <c r="G247">
        <v>422.18</v>
      </c>
      <c r="H247">
        <f>Tabla1[[#This Row],[Entry Price]]-(Tabla1[[#This Row],[Entry Price]]-Tabla1[[#This Row],[Initial Stop]])/2</f>
        <v>423.18</v>
      </c>
      <c r="I247">
        <v>2</v>
      </c>
      <c r="J247">
        <f t="shared" si="52"/>
        <v>4</v>
      </c>
      <c r="K247">
        <v>1</v>
      </c>
      <c r="L247">
        <f t="shared" si="53"/>
        <v>4</v>
      </c>
      <c r="M247" t="s">
        <v>72</v>
      </c>
      <c r="N247">
        <f>SUMIF(Executions!B:B,A247,Executions!H:H)</f>
        <v>-4.3600000000000136</v>
      </c>
      <c r="O247">
        <f t="shared" si="39"/>
        <v>-1.0900000000000034</v>
      </c>
      <c r="P247">
        <f>Tabla1[[#This Row],[Initial Risk $]]/Tabla1[[#This Row],[Position Size (shares)]]+Tabla1[[#This Row],[Entry Price]]</f>
        <v>426.18</v>
      </c>
      <c r="Q247">
        <f>Tabla1[[#This Row],[Initial Risk $]]/Tabla1[[#This Row],[Position Size (shares)]]*1.5+Tabla1[[#This Row],[Entry Price]]</f>
        <v>427.18</v>
      </c>
      <c r="R247">
        <f>Tabla1[[#This Row],[Initial Risk $]]/Tabla1[[#This Row],[Position Size (shares)]]*2+Tabla1[[#This Row],[Entry Price]]</f>
        <v>428.18</v>
      </c>
      <c r="S247">
        <f>Tabla1[[#This Row],[Initial Risk $]]/Tabla1[[#This Row],[Position Size (shares)]]*2.5+Tabla1[[#This Row],[Entry Price]]</f>
        <v>429.18</v>
      </c>
      <c r="T247">
        <f>Tabla1[[#This Row],[Initial Risk $]]/Tabla1[[#This Row],[Position Size (shares)]]*3+Tabla1[[#This Row],[Entry Price]]</f>
        <v>430.18</v>
      </c>
    </row>
    <row r="248" spans="1:20" customFormat="1" hidden="1" x14ac:dyDescent="0.25">
      <c r="A248" t="str">
        <f t="shared" si="51"/>
        <v>T-247</v>
      </c>
      <c r="B248" s="1">
        <v>46171</v>
      </c>
      <c r="C248" t="s">
        <v>130</v>
      </c>
      <c r="D248" t="s">
        <v>28</v>
      </c>
      <c r="E248" t="s">
        <v>58</v>
      </c>
      <c r="F248">
        <v>519.11</v>
      </c>
      <c r="G248">
        <v>515.35</v>
      </c>
      <c r="H248">
        <f>Tabla1[[#This Row],[Entry Price]]-(Tabla1[[#This Row],[Entry Price]]-Tabla1[[#This Row],[Initial Stop]])/2</f>
        <v>517.23</v>
      </c>
      <c r="I248">
        <v>2</v>
      </c>
      <c r="J248">
        <f t="shared" si="52"/>
        <v>7.5199999999999818</v>
      </c>
      <c r="K248">
        <v>1</v>
      </c>
      <c r="L248">
        <f t="shared" si="53"/>
        <v>7.5199999999999818</v>
      </c>
      <c r="M248" t="s">
        <v>72</v>
      </c>
      <c r="N248">
        <f>SUMIF(Executions!B:B,A248,Executions!H:H)</f>
        <v>-7.3800000000001091</v>
      </c>
      <c r="O248">
        <f t="shared" si="39"/>
        <v>-0.98138297872342117</v>
      </c>
      <c r="P248">
        <f>Tabla1[[#This Row],[Initial Risk $]]/Tabla1[[#This Row],[Position Size (shares)]]+Tabla1[[#This Row],[Entry Price]]</f>
        <v>522.87</v>
      </c>
      <c r="Q248">
        <f>Tabla1[[#This Row],[Initial Risk $]]/Tabla1[[#This Row],[Position Size (shares)]]*1.5+Tabla1[[#This Row],[Entry Price]]</f>
        <v>524.75</v>
      </c>
      <c r="R248">
        <f>Tabla1[[#This Row],[Initial Risk $]]/Tabla1[[#This Row],[Position Size (shares)]]*2+Tabla1[[#This Row],[Entry Price]]</f>
        <v>526.63</v>
      </c>
      <c r="S248">
        <f>Tabla1[[#This Row],[Initial Risk $]]/Tabla1[[#This Row],[Position Size (shares)]]*2.5+Tabla1[[#This Row],[Entry Price]]</f>
        <v>528.51</v>
      </c>
      <c r="T248">
        <f>Tabla1[[#This Row],[Initial Risk $]]/Tabla1[[#This Row],[Position Size (shares)]]*3+Tabla1[[#This Row],[Entry Price]]</f>
        <v>530.39</v>
      </c>
    </row>
    <row r="249" spans="1:20" customFormat="1" hidden="1" x14ac:dyDescent="0.25">
      <c r="A249" t="str">
        <f t="shared" si="51"/>
        <v>T-248</v>
      </c>
      <c r="B249" s="1">
        <v>46171</v>
      </c>
      <c r="C249" t="s">
        <v>279</v>
      </c>
      <c r="D249" t="s">
        <v>28</v>
      </c>
      <c r="E249" t="s">
        <v>58</v>
      </c>
      <c r="F249">
        <v>970.83</v>
      </c>
      <c r="G249">
        <v>969.83</v>
      </c>
      <c r="H249">
        <f>Tabla1[[#This Row],[Entry Price]]-(Tabla1[[#This Row],[Entry Price]]-Tabla1[[#This Row],[Initial Stop]])/2</f>
        <v>970.33</v>
      </c>
      <c r="I249">
        <v>2</v>
      </c>
      <c r="J249">
        <f t="shared" si="52"/>
        <v>2</v>
      </c>
      <c r="K249">
        <v>1</v>
      </c>
      <c r="L249">
        <f t="shared" si="53"/>
        <v>2</v>
      </c>
      <c r="M249" t="s">
        <v>72</v>
      </c>
      <c r="N249">
        <f>SUMIF(Executions!B:B,A249,Executions!H:H)</f>
        <v>-3.2599999999999909</v>
      </c>
      <c r="O249">
        <f t="shared" si="39"/>
        <v>-1.6299999999999955</v>
      </c>
      <c r="P249">
        <f>Tabla1[[#This Row],[Initial Risk $]]/Tabla1[[#This Row],[Position Size (shares)]]+Tabla1[[#This Row],[Entry Price]]</f>
        <v>971.83</v>
      </c>
      <c r="Q249">
        <f>Tabla1[[#This Row],[Initial Risk $]]/Tabla1[[#This Row],[Position Size (shares)]]*1.5+Tabla1[[#This Row],[Entry Price]]</f>
        <v>972.33</v>
      </c>
      <c r="R249">
        <f>Tabla1[[#This Row],[Initial Risk $]]/Tabla1[[#This Row],[Position Size (shares)]]*2+Tabla1[[#This Row],[Entry Price]]</f>
        <v>972.83</v>
      </c>
      <c r="S249">
        <f>Tabla1[[#This Row],[Initial Risk $]]/Tabla1[[#This Row],[Position Size (shares)]]*2.5+Tabla1[[#This Row],[Entry Price]]</f>
        <v>973.33</v>
      </c>
      <c r="T249">
        <f>Tabla1[[#This Row],[Initial Risk $]]/Tabla1[[#This Row],[Position Size (shares)]]*3+Tabla1[[#This Row],[Entry Price]]</f>
        <v>973.83</v>
      </c>
    </row>
    <row r="250" spans="1:20" customFormat="1" hidden="1" x14ac:dyDescent="0.25">
      <c r="A250" t="str">
        <f t="shared" si="51"/>
        <v>T-249</v>
      </c>
      <c r="B250" s="1">
        <v>46171</v>
      </c>
      <c r="C250" t="s">
        <v>101</v>
      </c>
      <c r="D250" t="s">
        <v>28</v>
      </c>
      <c r="E250" t="s">
        <v>58</v>
      </c>
      <c r="F250">
        <v>8.57</v>
      </c>
      <c r="G250">
        <v>8.27</v>
      </c>
      <c r="H250">
        <f>Tabla1[[#This Row],[Entry Price]]-(Tabla1[[#This Row],[Entry Price]]-Tabla1[[#This Row],[Initial Stop]])/2</f>
        <v>8.42</v>
      </c>
      <c r="I250">
        <v>20</v>
      </c>
      <c r="J250">
        <f t="shared" si="52"/>
        <v>6.0000000000000142</v>
      </c>
      <c r="K250">
        <v>1</v>
      </c>
      <c r="L250">
        <f t="shared" si="53"/>
        <v>6.0000000000000142</v>
      </c>
      <c r="M250" t="s">
        <v>72</v>
      </c>
      <c r="N250">
        <f>SUMIF(Executions!B:B,A250,Executions!H:H)</f>
        <v>16.20000000000001</v>
      </c>
      <c r="O250">
        <f t="shared" si="39"/>
        <v>2.6999999999999953</v>
      </c>
      <c r="P250">
        <f>Tabla1[[#This Row],[Initial Risk $]]/Tabla1[[#This Row],[Position Size (shares)]]+Tabla1[[#This Row],[Entry Price]]</f>
        <v>8.870000000000001</v>
      </c>
      <c r="Q250">
        <f>Tabla1[[#This Row],[Initial Risk $]]/Tabla1[[#This Row],[Position Size (shares)]]*1.5+Tabla1[[#This Row],[Entry Price]]</f>
        <v>9.0200000000000014</v>
      </c>
      <c r="R250">
        <f>Tabla1[[#This Row],[Initial Risk $]]/Tabla1[[#This Row],[Position Size (shares)]]*2+Tabla1[[#This Row],[Entry Price]]</f>
        <v>9.1700000000000017</v>
      </c>
      <c r="S250">
        <f>Tabla1[[#This Row],[Initial Risk $]]/Tabla1[[#This Row],[Position Size (shares)]]*2.5+Tabla1[[#This Row],[Entry Price]]</f>
        <v>9.3200000000000021</v>
      </c>
      <c r="T250">
        <f>Tabla1[[#This Row],[Initial Risk $]]/Tabla1[[#This Row],[Position Size (shares)]]*3+Tabla1[[#This Row],[Entry Price]]</f>
        <v>9.4700000000000024</v>
      </c>
    </row>
    <row r="251" spans="1:20" customFormat="1" hidden="1" x14ac:dyDescent="0.25">
      <c r="A251" t="str">
        <f t="shared" si="51"/>
        <v>T-250</v>
      </c>
      <c r="B251" s="1">
        <v>46171</v>
      </c>
      <c r="C251" t="s">
        <v>399</v>
      </c>
      <c r="D251" t="s">
        <v>28</v>
      </c>
      <c r="E251" t="s">
        <v>58</v>
      </c>
      <c r="F251">
        <v>27.28</v>
      </c>
      <c r="G251">
        <v>26.75</v>
      </c>
      <c r="H251">
        <f>Tabla1[[#This Row],[Entry Price]]-(Tabla1[[#This Row],[Entry Price]]-Tabla1[[#This Row],[Initial Stop]])/2</f>
        <v>27.015000000000001</v>
      </c>
      <c r="I251">
        <v>10</v>
      </c>
      <c r="J251">
        <f t="shared" si="52"/>
        <v>5.3000000000000114</v>
      </c>
      <c r="K251">
        <v>1</v>
      </c>
      <c r="L251">
        <f t="shared" si="53"/>
        <v>5.3000000000000114</v>
      </c>
      <c r="M251" t="s">
        <v>72</v>
      </c>
      <c r="N251">
        <f>SUMIF(Executions!B:B,A251,Executions!H:H)</f>
        <v>10.799999999999983</v>
      </c>
      <c r="O251">
        <f t="shared" si="39"/>
        <v>2.0377358490565962</v>
      </c>
      <c r="P251">
        <f>Tabla1[[#This Row],[Initial Risk $]]/Tabla1[[#This Row],[Position Size (shares)]]+Tabla1[[#This Row],[Entry Price]]</f>
        <v>27.810000000000002</v>
      </c>
      <c r="Q251">
        <f>Tabla1[[#This Row],[Initial Risk $]]/Tabla1[[#This Row],[Position Size (shares)]]*1.5+Tabla1[[#This Row],[Entry Price]]</f>
        <v>28.075000000000003</v>
      </c>
      <c r="R251">
        <f>Tabla1[[#This Row],[Initial Risk $]]/Tabla1[[#This Row],[Position Size (shares)]]*2+Tabla1[[#This Row],[Entry Price]]</f>
        <v>28.340000000000003</v>
      </c>
      <c r="S251">
        <f>Tabla1[[#This Row],[Initial Risk $]]/Tabla1[[#This Row],[Position Size (shares)]]*2.5+Tabla1[[#This Row],[Entry Price]]</f>
        <v>28.605000000000004</v>
      </c>
      <c r="T251">
        <f>Tabla1[[#This Row],[Initial Risk $]]/Tabla1[[#This Row],[Position Size (shares)]]*3+Tabla1[[#This Row],[Entry Price]]</f>
        <v>28.870000000000005</v>
      </c>
    </row>
    <row r="252" spans="1:20" customFormat="1" hidden="1" x14ac:dyDescent="0.25">
      <c r="A252" t="str">
        <f t="shared" ref="A252:A261" si="54">"T-"&amp; TEXT(ROW()-1,"000")</f>
        <v>T-251</v>
      </c>
      <c r="B252" s="1">
        <v>46174</v>
      </c>
      <c r="C252" t="s">
        <v>173</v>
      </c>
      <c r="D252" t="s">
        <v>28</v>
      </c>
      <c r="E252" t="s">
        <v>58</v>
      </c>
      <c r="F252">
        <v>157.58000000000001</v>
      </c>
      <c r="G252">
        <v>155</v>
      </c>
      <c r="H252">
        <f>Tabla1[[#This Row],[Entry Price]]-(Tabla1[[#This Row],[Entry Price]]-Tabla1[[#This Row],[Initial Stop]])/2</f>
        <v>156.29000000000002</v>
      </c>
      <c r="I252">
        <v>5</v>
      </c>
      <c r="J252">
        <f t="shared" ref="J252:J261" si="55">IF(D252="Long",(F252-G252)*I252,(G252-F252)*0)</f>
        <v>12.900000000000063</v>
      </c>
      <c r="K252">
        <v>1</v>
      </c>
      <c r="L252">
        <f t="shared" ref="L252:L261" si="56">J252*K252</f>
        <v>12.900000000000063</v>
      </c>
      <c r="M252" t="s">
        <v>72</v>
      </c>
      <c r="N252">
        <f>SUMIF(Executions!B:B,A252,Executions!H:H)</f>
        <v>18.599999999999994</v>
      </c>
      <c r="O252">
        <f t="shared" si="39"/>
        <v>1.4418604651162716</v>
      </c>
      <c r="P252">
        <f>Tabla1[[#This Row],[Initial Risk $]]/Tabla1[[#This Row],[Position Size (shares)]]+Tabla1[[#This Row],[Entry Price]]</f>
        <v>160.16000000000003</v>
      </c>
      <c r="Q252">
        <f>Tabla1[[#This Row],[Initial Risk $]]/Tabla1[[#This Row],[Position Size (shares)]]*1.5+Tabla1[[#This Row],[Entry Price]]</f>
        <v>161.45000000000005</v>
      </c>
      <c r="R252">
        <f>Tabla1[[#This Row],[Initial Risk $]]/Tabla1[[#This Row],[Position Size (shares)]]*2+Tabla1[[#This Row],[Entry Price]]</f>
        <v>162.74000000000004</v>
      </c>
      <c r="S252">
        <f>Tabla1[[#This Row],[Initial Risk $]]/Tabla1[[#This Row],[Position Size (shares)]]*2.5+Tabla1[[#This Row],[Entry Price]]</f>
        <v>164.03000000000003</v>
      </c>
      <c r="T252">
        <f>Tabla1[[#This Row],[Initial Risk $]]/Tabla1[[#This Row],[Position Size (shares)]]*3+Tabla1[[#This Row],[Entry Price]]</f>
        <v>165.32000000000005</v>
      </c>
    </row>
    <row r="253" spans="1:20" customFormat="1" hidden="1" x14ac:dyDescent="0.25">
      <c r="A253" t="str">
        <f t="shared" si="54"/>
        <v>T-252</v>
      </c>
      <c r="B253" s="1">
        <v>46174</v>
      </c>
      <c r="C253" t="s">
        <v>294</v>
      </c>
      <c r="D253" t="s">
        <v>28</v>
      </c>
      <c r="E253" t="s">
        <v>58</v>
      </c>
      <c r="F253">
        <v>227.69</v>
      </c>
      <c r="G253">
        <v>225.56</v>
      </c>
      <c r="H253">
        <f>Tabla1[[#This Row],[Entry Price]]-(Tabla1[[#This Row],[Entry Price]]-Tabla1[[#This Row],[Initial Stop]])/2</f>
        <v>226.625</v>
      </c>
      <c r="I253">
        <v>4</v>
      </c>
      <c r="J253">
        <f t="shared" si="55"/>
        <v>8.5199999999999818</v>
      </c>
      <c r="K253">
        <v>1</v>
      </c>
      <c r="L253">
        <f t="shared" si="56"/>
        <v>8.5199999999999818</v>
      </c>
      <c r="M253" t="s">
        <v>72</v>
      </c>
      <c r="N253">
        <f>SUMIF(Executions!B:B,A253,Executions!H:H)</f>
        <v>27.660000000000025</v>
      </c>
      <c r="O253">
        <f t="shared" si="39"/>
        <v>3.2464788732394463</v>
      </c>
      <c r="P253">
        <f>Tabla1[[#This Row],[Initial Risk $]]/Tabla1[[#This Row],[Position Size (shares)]]+Tabla1[[#This Row],[Entry Price]]</f>
        <v>229.82</v>
      </c>
      <c r="Q253">
        <f>Tabla1[[#This Row],[Initial Risk $]]/Tabla1[[#This Row],[Position Size (shares)]]*1.5+Tabla1[[#This Row],[Entry Price]]</f>
        <v>230.88499999999999</v>
      </c>
      <c r="R253">
        <f>Tabla1[[#This Row],[Initial Risk $]]/Tabla1[[#This Row],[Position Size (shares)]]*2+Tabla1[[#This Row],[Entry Price]]</f>
        <v>231.95</v>
      </c>
      <c r="S253">
        <f>Tabla1[[#This Row],[Initial Risk $]]/Tabla1[[#This Row],[Position Size (shares)]]*2.5+Tabla1[[#This Row],[Entry Price]]</f>
        <v>233.01499999999999</v>
      </c>
      <c r="T253">
        <f>Tabla1[[#This Row],[Initial Risk $]]/Tabla1[[#This Row],[Position Size (shares)]]*3+Tabla1[[#This Row],[Entry Price]]</f>
        <v>234.07999999999998</v>
      </c>
    </row>
    <row r="254" spans="1:20" customFormat="1" hidden="1" x14ac:dyDescent="0.25">
      <c r="A254" t="str">
        <f t="shared" si="54"/>
        <v>T-253</v>
      </c>
      <c r="B254" s="1">
        <v>46174</v>
      </c>
      <c r="C254" t="s">
        <v>102</v>
      </c>
      <c r="D254" t="s">
        <v>28</v>
      </c>
      <c r="E254" t="s">
        <v>58</v>
      </c>
      <c r="F254">
        <v>64.05</v>
      </c>
      <c r="G254">
        <v>63.39</v>
      </c>
      <c r="H254">
        <f>Tabla1[[#This Row],[Entry Price]]-(Tabla1[[#This Row],[Entry Price]]-Tabla1[[#This Row],[Initial Stop]])/2</f>
        <v>63.72</v>
      </c>
      <c r="I254">
        <v>4</v>
      </c>
      <c r="J254">
        <f t="shared" si="55"/>
        <v>2.6399999999999864</v>
      </c>
      <c r="K254">
        <v>1</v>
      </c>
      <c r="L254">
        <f t="shared" si="56"/>
        <v>2.6399999999999864</v>
      </c>
      <c r="M254" t="s">
        <v>72</v>
      </c>
      <c r="N254">
        <f>SUMIF(Executions!B:B,A254,Executions!H:H)</f>
        <v>-6</v>
      </c>
      <c r="O254">
        <f t="shared" si="39"/>
        <v>-2.2727272727272845</v>
      </c>
      <c r="P254">
        <f>Tabla1[[#This Row],[Initial Risk $]]/Tabla1[[#This Row],[Position Size (shares)]]+Tabla1[[#This Row],[Entry Price]]</f>
        <v>64.709999999999994</v>
      </c>
      <c r="Q254">
        <f>Tabla1[[#This Row],[Initial Risk $]]/Tabla1[[#This Row],[Position Size (shares)]]*1.5+Tabla1[[#This Row],[Entry Price]]</f>
        <v>65.039999999999992</v>
      </c>
      <c r="R254">
        <f>Tabla1[[#This Row],[Initial Risk $]]/Tabla1[[#This Row],[Position Size (shares)]]*2+Tabla1[[#This Row],[Entry Price]]</f>
        <v>65.36999999999999</v>
      </c>
      <c r="S254">
        <f>Tabla1[[#This Row],[Initial Risk $]]/Tabla1[[#This Row],[Position Size (shares)]]*2.5+Tabla1[[#This Row],[Entry Price]]</f>
        <v>65.699999999999989</v>
      </c>
      <c r="T254">
        <f>Tabla1[[#This Row],[Initial Risk $]]/Tabla1[[#This Row],[Position Size (shares)]]*3+Tabla1[[#This Row],[Entry Price]]</f>
        <v>66.029999999999987</v>
      </c>
    </row>
    <row r="255" spans="1:20" customFormat="1" hidden="1" x14ac:dyDescent="0.25">
      <c r="A255" t="str">
        <f t="shared" si="54"/>
        <v>T-254</v>
      </c>
      <c r="B255" s="1">
        <v>46174</v>
      </c>
      <c r="C255" t="s">
        <v>233</v>
      </c>
      <c r="D255" t="s">
        <v>28</v>
      </c>
      <c r="E255" t="s">
        <v>58</v>
      </c>
      <c r="F255">
        <v>462.52</v>
      </c>
      <c r="G255">
        <v>459.52</v>
      </c>
      <c r="H255">
        <f>Tabla1[[#This Row],[Entry Price]]-(Tabla1[[#This Row],[Entry Price]]-Tabla1[[#This Row],[Initial Stop]])/2</f>
        <v>461.02</v>
      </c>
      <c r="I255">
        <v>2</v>
      </c>
      <c r="J255">
        <f t="shared" si="55"/>
        <v>6</v>
      </c>
      <c r="K255">
        <v>1</v>
      </c>
      <c r="L255">
        <f t="shared" si="56"/>
        <v>6</v>
      </c>
      <c r="M255" t="s">
        <v>72</v>
      </c>
      <c r="N255">
        <f>SUMIF(Executions!B:B,A255,Executions!H:H)</f>
        <v>-6</v>
      </c>
      <c r="O255">
        <f t="shared" si="39"/>
        <v>-1</v>
      </c>
      <c r="P255">
        <f>Tabla1[[#This Row],[Initial Risk $]]/Tabla1[[#This Row],[Position Size (shares)]]+Tabla1[[#This Row],[Entry Price]]</f>
        <v>465.52</v>
      </c>
      <c r="Q255">
        <f>Tabla1[[#This Row],[Initial Risk $]]/Tabla1[[#This Row],[Position Size (shares)]]*1.5+Tabla1[[#This Row],[Entry Price]]</f>
        <v>467.02</v>
      </c>
      <c r="R255">
        <f>Tabla1[[#This Row],[Initial Risk $]]/Tabla1[[#This Row],[Position Size (shares)]]*2+Tabla1[[#This Row],[Entry Price]]</f>
        <v>468.52</v>
      </c>
      <c r="S255">
        <f>Tabla1[[#This Row],[Initial Risk $]]/Tabla1[[#This Row],[Position Size (shares)]]*2.5+Tabla1[[#This Row],[Entry Price]]</f>
        <v>470.02</v>
      </c>
      <c r="T255">
        <f>Tabla1[[#This Row],[Initial Risk $]]/Tabla1[[#This Row],[Position Size (shares)]]*3+Tabla1[[#This Row],[Entry Price]]</f>
        <v>471.52</v>
      </c>
    </row>
    <row r="256" spans="1:20" customFormat="1" hidden="1" x14ac:dyDescent="0.25">
      <c r="A256" t="str">
        <f t="shared" si="54"/>
        <v>T-255</v>
      </c>
      <c r="B256" s="1">
        <v>46174</v>
      </c>
      <c r="C256" t="s">
        <v>417</v>
      </c>
      <c r="D256" t="s">
        <v>28</v>
      </c>
      <c r="E256" t="s">
        <v>119</v>
      </c>
      <c r="F256">
        <v>593.54999999999995</v>
      </c>
      <c r="G256">
        <v>590.32000000000005</v>
      </c>
      <c r="H256">
        <f>Tabla1[[#This Row],[Entry Price]]-(Tabla1[[#This Row],[Entry Price]]-Tabla1[[#This Row],[Initial Stop]])/2</f>
        <v>591.93499999999995</v>
      </c>
      <c r="I256">
        <v>2</v>
      </c>
      <c r="J256">
        <f t="shared" si="55"/>
        <v>6.459999999999809</v>
      </c>
      <c r="K256">
        <v>1</v>
      </c>
      <c r="L256">
        <f t="shared" si="56"/>
        <v>6.459999999999809</v>
      </c>
      <c r="M256" t="s">
        <v>72</v>
      </c>
      <c r="N256">
        <f>SUMIF(Executions!B:B,A256,Executions!H:H)</f>
        <v>29.7800000000002</v>
      </c>
      <c r="O256">
        <f t="shared" si="39"/>
        <v>4.609907120743201</v>
      </c>
      <c r="P256">
        <f>Tabla1[[#This Row],[Initial Risk $]]/Tabla1[[#This Row],[Position Size (shares)]]+Tabla1[[#This Row],[Entry Price]]</f>
        <v>596.77999999999986</v>
      </c>
      <c r="Q256">
        <f>Tabla1[[#This Row],[Initial Risk $]]/Tabla1[[#This Row],[Position Size (shares)]]*1.5+Tabla1[[#This Row],[Entry Price]]</f>
        <v>598.39499999999975</v>
      </c>
      <c r="R256">
        <f>Tabla1[[#This Row],[Initial Risk $]]/Tabla1[[#This Row],[Position Size (shares)]]*2+Tabla1[[#This Row],[Entry Price]]</f>
        <v>600.00999999999976</v>
      </c>
      <c r="S256">
        <f>Tabla1[[#This Row],[Initial Risk $]]/Tabla1[[#This Row],[Position Size (shares)]]*2.5+Tabla1[[#This Row],[Entry Price]]</f>
        <v>601.62499999999977</v>
      </c>
      <c r="T256">
        <f>Tabla1[[#This Row],[Initial Risk $]]/Tabla1[[#This Row],[Position Size (shares)]]*3+Tabla1[[#This Row],[Entry Price]]</f>
        <v>603.23999999999967</v>
      </c>
    </row>
    <row r="257" spans="1:20" customFormat="1" hidden="1" x14ac:dyDescent="0.25">
      <c r="A257" t="str">
        <f t="shared" si="54"/>
        <v>T-256</v>
      </c>
      <c r="B257" s="1">
        <v>46174</v>
      </c>
      <c r="C257" t="s">
        <v>186</v>
      </c>
      <c r="D257" t="s">
        <v>28</v>
      </c>
      <c r="E257" t="s">
        <v>119</v>
      </c>
      <c r="F257">
        <v>264</v>
      </c>
      <c r="G257">
        <v>263</v>
      </c>
      <c r="H257">
        <f>Tabla1[[#This Row],[Entry Price]]-(Tabla1[[#This Row],[Entry Price]]-Tabla1[[#This Row],[Initial Stop]])/2</f>
        <v>263.5</v>
      </c>
      <c r="I257">
        <v>4</v>
      </c>
      <c r="J257">
        <f t="shared" si="55"/>
        <v>4</v>
      </c>
      <c r="K257">
        <v>1</v>
      </c>
      <c r="L257">
        <f t="shared" si="56"/>
        <v>4</v>
      </c>
      <c r="M257" t="s">
        <v>72</v>
      </c>
      <c r="N257">
        <f>SUMIF(Executions!B:B,A257,Executions!H:H)</f>
        <v>-4</v>
      </c>
      <c r="O257">
        <f t="shared" si="39"/>
        <v>-1</v>
      </c>
      <c r="P257">
        <f>Tabla1[[#This Row],[Initial Risk $]]/Tabla1[[#This Row],[Position Size (shares)]]+Tabla1[[#This Row],[Entry Price]]</f>
        <v>265</v>
      </c>
      <c r="Q257">
        <f>Tabla1[[#This Row],[Initial Risk $]]/Tabla1[[#This Row],[Position Size (shares)]]*1.5+Tabla1[[#This Row],[Entry Price]]</f>
        <v>265.5</v>
      </c>
      <c r="R257">
        <f>Tabla1[[#This Row],[Initial Risk $]]/Tabla1[[#This Row],[Position Size (shares)]]*2+Tabla1[[#This Row],[Entry Price]]</f>
        <v>266</v>
      </c>
      <c r="S257">
        <f>Tabla1[[#This Row],[Initial Risk $]]/Tabla1[[#This Row],[Position Size (shares)]]*2.5+Tabla1[[#This Row],[Entry Price]]</f>
        <v>266.5</v>
      </c>
      <c r="T257">
        <f>Tabla1[[#This Row],[Initial Risk $]]/Tabla1[[#This Row],[Position Size (shares)]]*3+Tabla1[[#This Row],[Entry Price]]</f>
        <v>267</v>
      </c>
    </row>
    <row r="258" spans="1:20" customFormat="1" hidden="1" x14ac:dyDescent="0.25">
      <c r="A258" t="str">
        <f t="shared" si="54"/>
        <v>T-257</v>
      </c>
      <c r="B258" s="1">
        <v>46174</v>
      </c>
      <c r="C258" t="s">
        <v>428</v>
      </c>
      <c r="D258" t="s">
        <v>28</v>
      </c>
      <c r="E258" t="s">
        <v>58</v>
      </c>
      <c r="F258">
        <v>455.66</v>
      </c>
      <c r="G258">
        <v>452.66</v>
      </c>
      <c r="H258">
        <f>Tabla1[[#This Row],[Entry Price]]-(Tabla1[[#This Row],[Entry Price]]-Tabla1[[#This Row],[Initial Stop]])/2</f>
        <v>454.16</v>
      </c>
      <c r="I258">
        <v>2</v>
      </c>
      <c r="J258">
        <f t="shared" si="55"/>
        <v>6</v>
      </c>
      <c r="K258">
        <v>1</v>
      </c>
      <c r="L258">
        <f t="shared" si="56"/>
        <v>6</v>
      </c>
      <c r="M258" t="s">
        <v>72</v>
      </c>
      <c r="N258">
        <f>SUMIF(Executions!B:B,A258,Executions!H:H)</f>
        <v>-5.8799999999999955</v>
      </c>
      <c r="O258">
        <f t="shared" ref="O258:O321" si="57">N258/J258</f>
        <v>-0.97999999999999921</v>
      </c>
      <c r="P258">
        <f>Tabla1[[#This Row],[Initial Risk $]]/Tabla1[[#This Row],[Position Size (shares)]]+Tabla1[[#This Row],[Entry Price]]</f>
        <v>458.66</v>
      </c>
      <c r="Q258">
        <f>Tabla1[[#This Row],[Initial Risk $]]/Tabla1[[#This Row],[Position Size (shares)]]*1.5+Tabla1[[#This Row],[Entry Price]]</f>
        <v>460.16</v>
      </c>
      <c r="R258">
        <f>Tabla1[[#This Row],[Initial Risk $]]/Tabla1[[#This Row],[Position Size (shares)]]*2+Tabla1[[#This Row],[Entry Price]]</f>
        <v>461.66</v>
      </c>
      <c r="S258">
        <f>Tabla1[[#This Row],[Initial Risk $]]/Tabla1[[#This Row],[Position Size (shares)]]*2.5+Tabla1[[#This Row],[Entry Price]]</f>
        <v>463.16</v>
      </c>
      <c r="T258">
        <f>Tabla1[[#This Row],[Initial Risk $]]/Tabla1[[#This Row],[Position Size (shares)]]*3+Tabla1[[#This Row],[Entry Price]]</f>
        <v>464.66</v>
      </c>
    </row>
    <row r="259" spans="1:20" customFormat="1" hidden="1" x14ac:dyDescent="0.25">
      <c r="A259" t="str">
        <f t="shared" si="54"/>
        <v>T-258</v>
      </c>
      <c r="B259" s="1">
        <v>46174</v>
      </c>
      <c r="C259" t="s">
        <v>102</v>
      </c>
      <c r="D259" t="s">
        <v>28</v>
      </c>
      <c r="E259" t="s">
        <v>58</v>
      </c>
      <c r="F259">
        <v>63.56</v>
      </c>
      <c r="G259">
        <v>61.56</v>
      </c>
      <c r="H259">
        <f>Tabla1[[#This Row],[Entry Price]]-(Tabla1[[#This Row],[Entry Price]]-Tabla1[[#This Row],[Initial Stop]])/2</f>
        <v>62.56</v>
      </c>
      <c r="I259">
        <v>4</v>
      </c>
      <c r="J259">
        <f t="shared" si="55"/>
        <v>8</v>
      </c>
      <c r="K259">
        <v>1</v>
      </c>
      <c r="L259">
        <f t="shared" si="56"/>
        <v>8</v>
      </c>
      <c r="M259" t="s">
        <v>72</v>
      </c>
      <c r="N259">
        <f>SUMIF(Executions!B:B,A259,Executions!H:H)</f>
        <v>-9.0400000000000205</v>
      </c>
      <c r="O259">
        <f t="shared" si="57"/>
        <v>-1.1300000000000026</v>
      </c>
      <c r="P259">
        <f>Tabla1[[#This Row],[Initial Risk $]]/Tabla1[[#This Row],[Position Size (shares)]]+Tabla1[[#This Row],[Entry Price]]</f>
        <v>65.56</v>
      </c>
      <c r="Q259">
        <f>Tabla1[[#This Row],[Initial Risk $]]/Tabla1[[#This Row],[Position Size (shares)]]*1.5+Tabla1[[#This Row],[Entry Price]]</f>
        <v>66.56</v>
      </c>
      <c r="R259">
        <f>Tabla1[[#This Row],[Initial Risk $]]/Tabla1[[#This Row],[Position Size (shares)]]*2+Tabla1[[#This Row],[Entry Price]]</f>
        <v>67.56</v>
      </c>
      <c r="S259">
        <f>Tabla1[[#This Row],[Initial Risk $]]/Tabla1[[#This Row],[Position Size (shares)]]*2.5+Tabla1[[#This Row],[Entry Price]]</f>
        <v>68.56</v>
      </c>
      <c r="T259">
        <f>Tabla1[[#This Row],[Initial Risk $]]/Tabla1[[#This Row],[Position Size (shares)]]*3+Tabla1[[#This Row],[Entry Price]]</f>
        <v>69.56</v>
      </c>
    </row>
    <row r="260" spans="1:20" customFormat="1" hidden="1" x14ac:dyDescent="0.25">
      <c r="A260" t="str">
        <f t="shared" si="54"/>
        <v>T-259</v>
      </c>
      <c r="B260" s="1">
        <v>46174</v>
      </c>
      <c r="C260" t="s">
        <v>225</v>
      </c>
      <c r="D260" t="s">
        <v>28</v>
      </c>
      <c r="E260" t="s">
        <v>119</v>
      </c>
      <c r="F260">
        <v>233.39</v>
      </c>
      <c r="G260">
        <v>231.74</v>
      </c>
      <c r="H260">
        <f>Tabla1[[#This Row],[Entry Price]]-(Tabla1[[#This Row],[Entry Price]]-Tabla1[[#This Row],[Initial Stop]])/2</f>
        <v>232.565</v>
      </c>
      <c r="I260">
        <v>3</v>
      </c>
      <c r="J260">
        <f t="shared" si="55"/>
        <v>4.9499999999999318</v>
      </c>
      <c r="K260">
        <v>1</v>
      </c>
      <c r="L260">
        <f t="shared" si="56"/>
        <v>4.9499999999999318</v>
      </c>
      <c r="M260" t="s">
        <v>72</v>
      </c>
      <c r="N260">
        <f>SUMIF(Executions!B:B,A260,Executions!H:H)</f>
        <v>-4.7399999999999523</v>
      </c>
      <c r="O260">
        <f t="shared" si="57"/>
        <v>-0.95757575757576108</v>
      </c>
      <c r="P260">
        <f>Tabla1[[#This Row],[Initial Risk $]]/Tabla1[[#This Row],[Position Size (shares)]]+Tabla1[[#This Row],[Entry Price]]</f>
        <v>235.03999999999996</v>
      </c>
      <c r="Q260">
        <f>Tabla1[[#This Row],[Initial Risk $]]/Tabla1[[#This Row],[Position Size (shares)]]*1.5+Tabla1[[#This Row],[Entry Price]]</f>
        <v>235.86499999999995</v>
      </c>
      <c r="R260">
        <f>Tabla1[[#This Row],[Initial Risk $]]/Tabla1[[#This Row],[Position Size (shares)]]*2+Tabla1[[#This Row],[Entry Price]]</f>
        <v>236.68999999999994</v>
      </c>
      <c r="S260">
        <f>Tabla1[[#This Row],[Initial Risk $]]/Tabla1[[#This Row],[Position Size (shares)]]*2.5+Tabla1[[#This Row],[Entry Price]]</f>
        <v>237.51499999999993</v>
      </c>
      <c r="T260">
        <f>Tabla1[[#This Row],[Initial Risk $]]/Tabla1[[#This Row],[Position Size (shares)]]*3+Tabla1[[#This Row],[Entry Price]]</f>
        <v>238.33999999999992</v>
      </c>
    </row>
    <row r="261" spans="1:20" customFormat="1" hidden="1" x14ac:dyDescent="0.25">
      <c r="A261" t="str">
        <f t="shared" si="54"/>
        <v>T-260</v>
      </c>
      <c r="B261" s="1">
        <v>46174</v>
      </c>
      <c r="C261" t="s">
        <v>323</v>
      </c>
      <c r="D261" t="s">
        <v>28</v>
      </c>
      <c r="E261" t="s">
        <v>60</v>
      </c>
      <c r="F261">
        <v>14.52</v>
      </c>
      <c r="G261">
        <v>13.52</v>
      </c>
      <c r="H261">
        <f>Tabla1[[#This Row],[Entry Price]]-(Tabla1[[#This Row],[Entry Price]]-Tabla1[[#This Row],[Initial Stop]])/2</f>
        <v>14.02</v>
      </c>
      <c r="I261">
        <v>6</v>
      </c>
      <c r="J261">
        <f t="shared" si="55"/>
        <v>6</v>
      </c>
      <c r="K261">
        <v>1</v>
      </c>
      <c r="L261">
        <f t="shared" si="56"/>
        <v>6</v>
      </c>
      <c r="M261" t="s">
        <v>72</v>
      </c>
      <c r="N261">
        <f>SUMIF(Executions!B:B,A261,Executions!H:H)</f>
        <v>-7.8175999999999828</v>
      </c>
      <c r="O261">
        <f t="shared" si="57"/>
        <v>-1.3029333333333304</v>
      </c>
      <c r="P261">
        <f>Tabla1[[#This Row],[Initial Risk $]]/Tabla1[[#This Row],[Position Size (shares)]]+Tabla1[[#This Row],[Entry Price]]</f>
        <v>15.52</v>
      </c>
      <c r="Q261">
        <f>Tabla1[[#This Row],[Initial Risk $]]/Tabla1[[#This Row],[Position Size (shares)]]*1.5+Tabla1[[#This Row],[Entry Price]]</f>
        <v>16.02</v>
      </c>
      <c r="R261">
        <f>Tabla1[[#This Row],[Initial Risk $]]/Tabla1[[#This Row],[Position Size (shares)]]*2+Tabla1[[#This Row],[Entry Price]]</f>
        <v>16.52</v>
      </c>
      <c r="S261">
        <f>Tabla1[[#This Row],[Initial Risk $]]/Tabla1[[#This Row],[Position Size (shares)]]*2.5+Tabla1[[#This Row],[Entry Price]]</f>
        <v>17.02</v>
      </c>
      <c r="T261">
        <f>Tabla1[[#This Row],[Initial Risk $]]/Tabla1[[#This Row],[Position Size (shares)]]*3+Tabla1[[#This Row],[Entry Price]]</f>
        <v>17.52</v>
      </c>
    </row>
    <row r="262" spans="1:20" customFormat="1" hidden="1" x14ac:dyDescent="0.25">
      <c r="A262" t="str">
        <f t="shared" ref="A262:A269" si="58">"T-"&amp; TEXT(ROW()-1,"000")</f>
        <v>T-261</v>
      </c>
      <c r="B262" s="1">
        <v>46175</v>
      </c>
      <c r="C262" t="s">
        <v>445</v>
      </c>
      <c r="D262" t="s">
        <v>28</v>
      </c>
      <c r="E262" t="s">
        <v>51</v>
      </c>
      <c r="F262">
        <v>63.3</v>
      </c>
      <c r="G262">
        <v>62.01</v>
      </c>
      <c r="H262">
        <f>Tabla1[[#This Row],[Entry Price]]-(Tabla1[[#This Row],[Entry Price]]-Tabla1[[#This Row],[Initial Stop]])/2</f>
        <v>62.655000000000001</v>
      </c>
      <c r="I262">
        <v>6</v>
      </c>
      <c r="J262">
        <f t="shared" ref="J262:J269" si="59">IF(D262="Long",(F262-G262)*I262,(G262-F262)*0)</f>
        <v>7.7399999999999949</v>
      </c>
      <c r="K262">
        <v>1</v>
      </c>
      <c r="L262">
        <f t="shared" ref="L262:L269" si="60">J262*K262</f>
        <v>7.7399999999999949</v>
      </c>
      <c r="M262" t="s">
        <v>72</v>
      </c>
      <c r="N262">
        <f>SUMIF(Executions!B:B,A262,Executions!H:H)</f>
        <v>-7.7399999999999949</v>
      </c>
      <c r="O262">
        <f t="shared" si="57"/>
        <v>-1</v>
      </c>
      <c r="P262">
        <f>Tabla1[[#This Row],[Initial Risk $]]/Tabla1[[#This Row],[Position Size (shares)]]+Tabla1[[#This Row],[Entry Price]]</f>
        <v>64.59</v>
      </c>
      <c r="Q262">
        <f>Tabla1[[#This Row],[Initial Risk $]]/Tabla1[[#This Row],[Position Size (shares)]]*1.5+Tabla1[[#This Row],[Entry Price]]</f>
        <v>65.234999999999999</v>
      </c>
      <c r="R262">
        <f>Tabla1[[#This Row],[Initial Risk $]]/Tabla1[[#This Row],[Position Size (shares)]]*2+Tabla1[[#This Row],[Entry Price]]</f>
        <v>65.88</v>
      </c>
      <c r="S262">
        <f>Tabla1[[#This Row],[Initial Risk $]]/Tabla1[[#This Row],[Position Size (shares)]]*2.5+Tabla1[[#This Row],[Entry Price]]</f>
        <v>66.524999999999991</v>
      </c>
      <c r="T262">
        <f>Tabla1[[#This Row],[Initial Risk $]]/Tabla1[[#This Row],[Position Size (shares)]]*3+Tabla1[[#This Row],[Entry Price]]</f>
        <v>67.169999999999987</v>
      </c>
    </row>
    <row r="263" spans="1:20" customFormat="1" hidden="1" x14ac:dyDescent="0.25">
      <c r="A263" t="str">
        <f t="shared" si="58"/>
        <v>T-262</v>
      </c>
      <c r="B263" s="1">
        <v>46175</v>
      </c>
      <c r="C263" t="s">
        <v>193</v>
      </c>
      <c r="D263" t="s">
        <v>28</v>
      </c>
      <c r="E263" t="s">
        <v>58</v>
      </c>
      <c r="F263">
        <v>264.67</v>
      </c>
      <c r="G263">
        <v>262.17</v>
      </c>
      <c r="H263">
        <f>Tabla1[[#This Row],[Entry Price]]-(Tabla1[[#This Row],[Entry Price]]-Tabla1[[#This Row],[Initial Stop]])/2</f>
        <v>263.42</v>
      </c>
      <c r="I263">
        <v>4</v>
      </c>
      <c r="J263">
        <f t="shared" si="59"/>
        <v>10</v>
      </c>
      <c r="K263">
        <v>1</v>
      </c>
      <c r="L263">
        <f t="shared" si="60"/>
        <v>10</v>
      </c>
      <c r="M263" t="s">
        <v>72</v>
      </c>
      <c r="N263">
        <f>SUMIF(Executions!B:B,A263,Executions!H:H)</f>
        <v>11.480000000000018</v>
      </c>
      <c r="O263">
        <f t="shared" si="57"/>
        <v>1.1480000000000019</v>
      </c>
      <c r="P263">
        <f>Tabla1[[#This Row],[Initial Risk $]]/Tabla1[[#This Row],[Position Size (shares)]]+Tabla1[[#This Row],[Entry Price]]</f>
        <v>267.17</v>
      </c>
      <c r="Q263">
        <f>Tabla1[[#This Row],[Initial Risk $]]/Tabla1[[#This Row],[Position Size (shares)]]*1.5+Tabla1[[#This Row],[Entry Price]]</f>
        <v>268.42</v>
      </c>
      <c r="R263">
        <f>Tabla1[[#This Row],[Initial Risk $]]/Tabla1[[#This Row],[Position Size (shares)]]*2+Tabla1[[#This Row],[Entry Price]]</f>
        <v>269.67</v>
      </c>
      <c r="S263">
        <f>Tabla1[[#This Row],[Initial Risk $]]/Tabla1[[#This Row],[Position Size (shares)]]*2.5+Tabla1[[#This Row],[Entry Price]]</f>
        <v>270.92</v>
      </c>
      <c r="T263">
        <f>Tabla1[[#This Row],[Initial Risk $]]/Tabla1[[#This Row],[Position Size (shares)]]*3+Tabla1[[#This Row],[Entry Price]]</f>
        <v>272.17</v>
      </c>
    </row>
    <row r="264" spans="1:20" customFormat="1" hidden="1" x14ac:dyDescent="0.25">
      <c r="A264" t="str">
        <f t="shared" si="58"/>
        <v>T-263</v>
      </c>
      <c r="B264" s="1">
        <v>46175</v>
      </c>
      <c r="C264" t="s">
        <v>341</v>
      </c>
      <c r="D264" t="s">
        <v>28</v>
      </c>
      <c r="E264" t="s">
        <v>49</v>
      </c>
      <c r="F264">
        <v>302.3</v>
      </c>
      <c r="G264">
        <v>300.3</v>
      </c>
      <c r="H264">
        <f>Tabla1[[#This Row],[Entry Price]]-(Tabla1[[#This Row],[Entry Price]]-Tabla1[[#This Row],[Initial Stop]])/2</f>
        <v>301.3</v>
      </c>
      <c r="I264">
        <v>3</v>
      </c>
      <c r="J264">
        <f t="shared" si="59"/>
        <v>6</v>
      </c>
      <c r="K264">
        <v>1</v>
      </c>
      <c r="L264">
        <f t="shared" si="60"/>
        <v>6</v>
      </c>
      <c r="M264" t="s">
        <v>72</v>
      </c>
      <c r="N264">
        <f>SUMIF(Executions!B:B,A264,Executions!H:H)</f>
        <v>-6</v>
      </c>
      <c r="O264">
        <f t="shared" si="57"/>
        <v>-1</v>
      </c>
      <c r="P264">
        <f>Tabla1[[#This Row],[Initial Risk $]]/Tabla1[[#This Row],[Position Size (shares)]]+Tabla1[[#This Row],[Entry Price]]</f>
        <v>304.3</v>
      </c>
      <c r="Q264">
        <f>Tabla1[[#This Row],[Initial Risk $]]/Tabla1[[#This Row],[Position Size (shares)]]*1.5+Tabla1[[#This Row],[Entry Price]]</f>
        <v>305.3</v>
      </c>
      <c r="R264">
        <f>Tabla1[[#This Row],[Initial Risk $]]/Tabla1[[#This Row],[Position Size (shares)]]*2+Tabla1[[#This Row],[Entry Price]]</f>
        <v>306.3</v>
      </c>
      <c r="S264">
        <f>Tabla1[[#This Row],[Initial Risk $]]/Tabla1[[#This Row],[Position Size (shares)]]*2.5+Tabla1[[#This Row],[Entry Price]]</f>
        <v>307.3</v>
      </c>
      <c r="T264">
        <f>Tabla1[[#This Row],[Initial Risk $]]/Tabla1[[#This Row],[Position Size (shares)]]*3+Tabla1[[#This Row],[Entry Price]]</f>
        <v>308.3</v>
      </c>
    </row>
    <row r="265" spans="1:20" customFormat="1" hidden="1" x14ac:dyDescent="0.25">
      <c r="A265" t="str">
        <f t="shared" si="58"/>
        <v>T-264</v>
      </c>
      <c r="B265" s="1">
        <v>46175</v>
      </c>
      <c r="C265" t="s">
        <v>445</v>
      </c>
      <c r="D265" t="s">
        <v>28</v>
      </c>
      <c r="E265" t="s">
        <v>51</v>
      </c>
      <c r="F265">
        <v>58.44</v>
      </c>
      <c r="G265">
        <v>55.56</v>
      </c>
      <c r="H265">
        <f>Tabla1[[#This Row],[Entry Price]]-(Tabla1[[#This Row],[Entry Price]]-Tabla1[[#This Row],[Initial Stop]])/2</f>
        <v>57</v>
      </c>
      <c r="I265">
        <v>20</v>
      </c>
      <c r="J265">
        <f t="shared" si="59"/>
        <v>57.599999999999909</v>
      </c>
      <c r="K265">
        <v>1</v>
      </c>
      <c r="L265">
        <f t="shared" si="60"/>
        <v>57.599999999999909</v>
      </c>
      <c r="M265" t="s">
        <v>72</v>
      </c>
      <c r="N265">
        <f>SUMIF(Executions!B:B,A265,Executions!H:H)</f>
        <v>-57.599999999999909</v>
      </c>
      <c r="O265">
        <f t="shared" si="57"/>
        <v>-1</v>
      </c>
      <c r="P265">
        <f>Tabla1[[#This Row],[Initial Risk $]]/Tabla1[[#This Row],[Position Size (shares)]]+Tabla1[[#This Row],[Entry Price]]</f>
        <v>61.319999999999993</v>
      </c>
      <c r="Q265">
        <f>Tabla1[[#This Row],[Initial Risk $]]/Tabla1[[#This Row],[Position Size (shares)]]*1.5+Tabla1[[#This Row],[Entry Price]]</f>
        <v>62.759999999999991</v>
      </c>
      <c r="R265">
        <f>Tabla1[[#This Row],[Initial Risk $]]/Tabla1[[#This Row],[Position Size (shares)]]*2+Tabla1[[#This Row],[Entry Price]]</f>
        <v>64.199999999999989</v>
      </c>
      <c r="S265">
        <f>Tabla1[[#This Row],[Initial Risk $]]/Tabla1[[#This Row],[Position Size (shares)]]*2.5+Tabla1[[#This Row],[Entry Price]]</f>
        <v>65.639999999999986</v>
      </c>
      <c r="T265">
        <f>Tabla1[[#This Row],[Initial Risk $]]/Tabla1[[#This Row],[Position Size (shares)]]*3+Tabla1[[#This Row],[Entry Price]]</f>
        <v>67.079999999999984</v>
      </c>
    </row>
    <row r="266" spans="1:20" customFormat="1" hidden="1" x14ac:dyDescent="0.25">
      <c r="A266" t="str">
        <f t="shared" si="58"/>
        <v>T-265</v>
      </c>
      <c r="B266" s="1">
        <v>46175</v>
      </c>
      <c r="C266" t="s">
        <v>417</v>
      </c>
      <c r="D266" t="s">
        <v>28</v>
      </c>
      <c r="E266" t="s">
        <v>58</v>
      </c>
      <c r="F266">
        <v>596.15</v>
      </c>
      <c r="G266">
        <v>593.15</v>
      </c>
      <c r="H266">
        <f>Tabla1[[#This Row],[Entry Price]]-(Tabla1[[#This Row],[Entry Price]]-Tabla1[[#This Row],[Initial Stop]])/2</f>
        <v>594.65</v>
      </c>
      <c r="I266">
        <v>2</v>
      </c>
      <c r="J266">
        <f t="shared" si="59"/>
        <v>6</v>
      </c>
      <c r="K266">
        <v>1</v>
      </c>
      <c r="L266">
        <f t="shared" si="60"/>
        <v>6</v>
      </c>
      <c r="M266" t="s">
        <v>72</v>
      </c>
      <c r="N266">
        <f>SUMIF(Executions!B:B,A266,Executions!H:H)</f>
        <v>-6</v>
      </c>
      <c r="O266">
        <f t="shared" si="57"/>
        <v>-1</v>
      </c>
      <c r="P266">
        <f>Tabla1[[#This Row],[Initial Risk $]]/Tabla1[[#This Row],[Position Size (shares)]]+Tabla1[[#This Row],[Entry Price]]</f>
        <v>599.15</v>
      </c>
      <c r="Q266">
        <f>Tabla1[[#This Row],[Initial Risk $]]/Tabla1[[#This Row],[Position Size (shares)]]*1.5+Tabla1[[#This Row],[Entry Price]]</f>
        <v>600.65</v>
      </c>
      <c r="R266">
        <f>Tabla1[[#This Row],[Initial Risk $]]/Tabla1[[#This Row],[Position Size (shares)]]*2+Tabla1[[#This Row],[Entry Price]]</f>
        <v>602.15</v>
      </c>
      <c r="S266">
        <f>Tabla1[[#This Row],[Initial Risk $]]/Tabla1[[#This Row],[Position Size (shares)]]*2.5+Tabla1[[#This Row],[Entry Price]]</f>
        <v>603.65</v>
      </c>
      <c r="T266">
        <f>Tabla1[[#This Row],[Initial Risk $]]/Tabla1[[#This Row],[Position Size (shares)]]*3+Tabla1[[#This Row],[Entry Price]]</f>
        <v>605.15</v>
      </c>
    </row>
    <row r="267" spans="1:20" customFormat="1" hidden="1" x14ac:dyDescent="0.25">
      <c r="A267" t="str">
        <f t="shared" si="58"/>
        <v>T-266</v>
      </c>
      <c r="B267" s="1">
        <v>46175</v>
      </c>
      <c r="C267" t="s">
        <v>428</v>
      </c>
      <c r="D267" t="s">
        <v>28</v>
      </c>
      <c r="E267" t="s">
        <v>58</v>
      </c>
      <c r="F267">
        <v>456.79</v>
      </c>
      <c r="G267">
        <v>451.1</v>
      </c>
      <c r="H267">
        <f>Tabla1[[#This Row],[Entry Price]]-(Tabla1[[#This Row],[Entry Price]]-Tabla1[[#This Row],[Initial Stop]])/2</f>
        <v>453.94500000000005</v>
      </c>
      <c r="I267">
        <v>2</v>
      </c>
      <c r="J267">
        <f t="shared" si="59"/>
        <v>11.379999999999995</v>
      </c>
      <c r="K267">
        <v>1</v>
      </c>
      <c r="L267">
        <f t="shared" si="60"/>
        <v>11.379999999999995</v>
      </c>
      <c r="M267" t="s">
        <v>72</v>
      </c>
      <c r="N267">
        <f>SUMIF(Executions!B:B,A267,Executions!H:H)</f>
        <v>-11.32000000000005</v>
      </c>
      <c r="O267">
        <f t="shared" si="57"/>
        <v>-0.99472759226714014</v>
      </c>
      <c r="P267">
        <f>Tabla1[[#This Row],[Initial Risk $]]/Tabla1[[#This Row],[Position Size (shares)]]+Tabla1[[#This Row],[Entry Price]]</f>
        <v>462.48</v>
      </c>
      <c r="Q267">
        <f>Tabla1[[#This Row],[Initial Risk $]]/Tabla1[[#This Row],[Position Size (shares)]]*1.5+Tabla1[[#This Row],[Entry Price]]</f>
        <v>465.32500000000005</v>
      </c>
      <c r="R267">
        <f>Tabla1[[#This Row],[Initial Risk $]]/Tabla1[[#This Row],[Position Size (shares)]]*2+Tabla1[[#This Row],[Entry Price]]</f>
        <v>468.17</v>
      </c>
      <c r="S267">
        <f>Tabla1[[#This Row],[Initial Risk $]]/Tabla1[[#This Row],[Position Size (shares)]]*2.5+Tabla1[[#This Row],[Entry Price]]</f>
        <v>471.01499999999999</v>
      </c>
      <c r="T267">
        <f>Tabla1[[#This Row],[Initial Risk $]]/Tabla1[[#This Row],[Position Size (shares)]]*3+Tabla1[[#This Row],[Entry Price]]</f>
        <v>473.86</v>
      </c>
    </row>
    <row r="268" spans="1:20" customFormat="1" hidden="1" x14ac:dyDescent="0.25">
      <c r="A268" t="str">
        <f t="shared" si="58"/>
        <v>T-267</v>
      </c>
      <c r="B268" s="1">
        <v>46175</v>
      </c>
      <c r="C268" t="s">
        <v>193</v>
      </c>
      <c r="D268" t="s">
        <v>28</v>
      </c>
      <c r="E268" t="s">
        <v>58</v>
      </c>
      <c r="F268">
        <v>268.57</v>
      </c>
      <c r="G268">
        <v>267.57</v>
      </c>
      <c r="H268">
        <f>Tabla1[[#This Row],[Entry Price]]-(Tabla1[[#This Row],[Entry Price]]-Tabla1[[#This Row],[Initial Stop]])/2</f>
        <v>268.07</v>
      </c>
      <c r="I268">
        <v>4</v>
      </c>
      <c r="J268">
        <f t="shared" si="59"/>
        <v>4</v>
      </c>
      <c r="K268">
        <v>1</v>
      </c>
      <c r="L268">
        <f t="shared" si="60"/>
        <v>4</v>
      </c>
      <c r="M268" t="s">
        <v>72</v>
      </c>
      <c r="N268">
        <f>SUMIF(Executions!B:B,A268,Executions!H:H)</f>
        <v>49.860000000000127</v>
      </c>
      <c r="O268">
        <f t="shared" si="57"/>
        <v>12.465000000000032</v>
      </c>
      <c r="P268">
        <f>Tabla1[[#This Row],[Initial Risk $]]/Tabla1[[#This Row],[Position Size (shares)]]+Tabla1[[#This Row],[Entry Price]]</f>
        <v>269.57</v>
      </c>
      <c r="Q268">
        <f>Tabla1[[#This Row],[Initial Risk $]]/Tabla1[[#This Row],[Position Size (shares)]]*1.5+Tabla1[[#This Row],[Entry Price]]</f>
        <v>270.07</v>
      </c>
      <c r="R268">
        <f>Tabla1[[#This Row],[Initial Risk $]]/Tabla1[[#This Row],[Position Size (shares)]]*2+Tabla1[[#This Row],[Entry Price]]</f>
        <v>270.57</v>
      </c>
      <c r="S268">
        <f>Tabla1[[#This Row],[Initial Risk $]]/Tabla1[[#This Row],[Position Size (shares)]]*2.5+Tabla1[[#This Row],[Entry Price]]</f>
        <v>271.07</v>
      </c>
      <c r="T268">
        <f>Tabla1[[#This Row],[Initial Risk $]]/Tabla1[[#This Row],[Position Size (shares)]]*3+Tabla1[[#This Row],[Entry Price]]</f>
        <v>271.57</v>
      </c>
    </row>
    <row r="269" spans="1:20" customFormat="1" hidden="1" x14ac:dyDescent="0.25">
      <c r="A269" t="str">
        <f t="shared" si="58"/>
        <v>T-268</v>
      </c>
      <c r="B269" s="1">
        <v>46175</v>
      </c>
      <c r="C269" t="s">
        <v>417</v>
      </c>
      <c r="D269" t="s">
        <v>28</v>
      </c>
      <c r="E269" t="s">
        <v>119</v>
      </c>
      <c r="F269">
        <v>597.75</v>
      </c>
      <c r="G269">
        <v>593.75</v>
      </c>
      <c r="H269">
        <f>Tabla1[[#This Row],[Entry Price]]-(Tabla1[[#This Row],[Entry Price]]-Tabla1[[#This Row],[Initial Stop]])/2</f>
        <v>595.75</v>
      </c>
      <c r="I269">
        <v>2</v>
      </c>
      <c r="J269">
        <f t="shared" si="59"/>
        <v>8</v>
      </c>
      <c r="K269">
        <v>1</v>
      </c>
      <c r="L269">
        <f t="shared" si="60"/>
        <v>8</v>
      </c>
      <c r="M269" t="s">
        <v>72</v>
      </c>
      <c r="N269">
        <f>SUMIF(Executions!B:B,A269,Executions!H:H)</f>
        <v>2.4200000000000728</v>
      </c>
      <c r="O269">
        <f t="shared" si="57"/>
        <v>0.30250000000000909</v>
      </c>
      <c r="P269">
        <f>Tabla1[[#This Row],[Initial Risk $]]/Tabla1[[#This Row],[Position Size (shares)]]+Tabla1[[#This Row],[Entry Price]]</f>
        <v>601.75</v>
      </c>
      <c r="Q269">
        <f>Tabla1[[#This Row],[Initial Risk $]]/Tabla1[[#This Row],[Position Size (shares)]]*1.5+Tabla1[[#This Row],[Entry Price]]</f>
        <v>603.75</v>
      </c>
      <c r="R269">
        <f>Tabla1[[#This Row],[Initial Risk $]]/Tabla1[[#This Row],[Position Size (shares)]]*2+Tabla1[[#This Row],[Entry Price]]</f>
        <v>605.75</v>
      </c>
      <c r="S269">
        <f>Tabla1[[#This Row],[Initial Risk $]]/Tabla1[[#This Row],[Position Size (shares)]]*2.5+Tabla1[[#This Row],[Entry Price]]</f>
        <v>607.75</v>
      </c>
      <c r="T269">
        <f>Tabla1[[#This Row],[Initial Risk $]]/Tabla1[[#This Row],[Position Size (shares)]]*3+Tabla1[[#This Row],[Entry Price]]</f>
        <v>609.75</v>
      </c>
    </row>
    <row r="270" spans="1:20" customFormat="1" hidden="1" x14ac:dyDescent="0.25">
      <c r="A270" t="str">
        <f t="shared" ref="A270:A277" si="61">"T-"&amp; TEXT(ROW()-1,"000")</f>
        <v>T-269</v>
      </c>
      <c r="B270" s="1">
        <v>46176</v>
      </c>
      <c r="C270" t="s">
        <v>161</v>
      </c>
      <c r="D270" t="s">
        <v>28</v>
      </c>
      <c r="E270" t="s">
        <v>49</v>
      </c>
      <c r="F270">
        <v>115.61</v>
      </c>
      <c r="G270">
        <v>114.73</v>
      </c>
      <c r="H270">
        <f>Tabla1[[#This Row],[Entry Price]]-(Tabla1[[#This Row],[Entry Price]]-Tabla1[[#This Row],[Initial Stop]])/2</f>
        <v>115.17</v>
      </c>
      <c r="I270">
        <v>8</v>
      </c>
      <c r="J270">
        <f t="shared" ref="J270:J277" si="62">IF(D270="Long",(F270-G270)*I270,(G270-F270)*0)</f>
        <v>7.0399999999999636</v>
      </c>
      <c r="K270">
        <v>1</v>
      </c>
      <c r="L270">
        <f t="shared" ref="L270:L277" si="63">J270*K270</f>
        <v>7.0399999999999636</v>
      </c>
      <c r="M270" t="s">
        <v>72</v>
      </c>
      <c r="N270">
        <f>SUMIF(Executions!B:B,A270,Executions!H:H)</f>
        <v>-7.0399999999999636</v>
      </c>
      <c r="O270">
        <f t="shared" si="57"/>
        <v>-1</v>
      </c>
      <c r="P270">
        <f>Tabla1[[#This Row],[Initial Risk $]]/Tabla1[[#This Row],[Position Size (shares)]]+Tabla1[[#This Row],[Entry Price]]</f>
        <v>116.49</v>
      </c>
      <c r="Q270">
        <f>Tabla1[[#This Row],[Initial Risk $]]/Tabla1[[#This Row],[Position Size (shares)]]*1.5+Tabla1[[#This Row],[Entry Price]]</f>
        <v>116.92999999999999</v>
      </c>
      <c r="R270">
        <f>Tabla1[[#This Row],[Initial Risk $]]/Tabla1[[#This Row],[Position Size (shares)]]*2+Tabla1[[#This Row],[Entry Price]]</f>
        <v>117.36999999999999</v>
      </c>
      <c r="S270">
        <f>Tabla1[[#This Row],[Initial Risk $]]/Tabla1[[#This Row],[Position Size (shares)]]*2.5+Tabla1[[#This Row],[Entry Price]]</f>
        <v>117.80999999999999</v>
      </c>
      <c r="T270">
        <f>Tabla1[[#This Row],[Initial Risk $]]/Tabla1[[#This Row],[Position Size (shares)]]*3+Tabla1[[#This Row],[Entry Price]]</f>
        <v>118.24999999999999</v>
      </c>
    </row>
    <row r="271" spans="1:20" customFormat="1" hidden="1" x14ac:dyDescent="0.25">
      <c r="A271" t="str">
        <f t="shared" si="61"/>
        <v>T-270</v>
      </c>
      <c r="B271" s="1">
        <v>46176</v>
      </c>
      <c r="C271" t="s">
        <v>255</v>
      </c>
      <c r="D271" t="s">
        <v>28</v>
      </c>
      <c r="E271" t="s">
        <v>58</v>
      </c>
      <c r="F271">
        <v>316.67</v>
      </c>
      <c r="G271">
        <v>313.67</v>
      </c>
      <c r="H271">
        <f>Tabla1[[#This Row],[Entry Price]]-(Tabla1[[#This Row],[Entry Price]]-Tabla1[[#This Row],[Initial Stop]])/2</f>
        <v>315.17</v>
      </c>
      <c r="I271">
        <v>3</v>
      </c>
      <c r="J271">
        <f t="shared" si="62"/>
        <v>9</v>
      </c>
      <c r="K271">
        <v>1</v>
      </c>
      <c r="L271">
        <f t="shared" si="63"/>
        <v>9</v>
      </c>
      <c r="M271" t="s">
        <v>72</v>
      </c>
      <c r="N271">
        <f>SUMIF(Executions!B:B,A271,Executions!H:H)</f>
        <v>-9</v>
      </c>
      <c r="O271">
        <f t="shared" si="57"/>
        <v>-1</v>
      </c>
      <c r="P271">
        <f>Tabla1[[#This Row],[Initial Risk $]]/Tabla1[[#This Row],[Position Size (shares)]]+Tabla1[[#This Row],[Entry Price]]</f>
        <v>319.67</v>
      </c>
      <c r="Q271">
        <f>Tabla1[[#This Row],[Initial Risk $]]/Tabla1[[#This Row],[Position Size (shares)]]*1.5+Tabla1[[#This Row],[Entry Price]]</f>
        <v>321.17</v>
      </c>
      <c r="R271">
        <f>Tabla1[[#This Row],[Initial Risk $]]/Tabla1[[#This Row],[Position Size (shares)]]*2+Tabla1[[#This Row],[Entry Price]]</f>
        <v>322.67</v>
      </c>
      <c r="S271">
        <f>Tabla1[[#This Row],[Initial Risk $]]/Tabla1[[#This Row],[Position Size (shares)]]*2.5+Tabla1[[#This Row],[Entry Price]]</f>
        <v>324.17</v>
      </c>
      <c r="T271">
        <f>Tabla1[[#This Row],[Initial Risk $]]/Tabla1[[#This Row],[Position Size (shares)]]*3+Tabla1[[#This Row],[Entry Price]]</f>
        <v>325.67</v>
      </c>
    </row>
    <row r="272" spans="1:20" customFormat="1" hidden="1" x14ac:dyDescent="0.25">
      <c r="A272" t="str">
        <f t="shared" si="61"/>
        <v>T-271</v>
      </c>
      <c r="B272" s="1">
        <v>46176</v>
      </c>
      <c r="C272" t="s">
        <v>161</v>
      </c>
      <c r="D272" t="s">
        <v>28</v>
      </c>
      <c r="E272" t="s">
        <v>49</v>
      </c>
      <c r="F272">
        <v>114.8</v>
      </c>
      <c r="G272">
        <v>112.17</v>
      </c>
      <c r="H272">
        <f>Tabla1[[#This Row],[Entry Price]]-(Tabla1[[#This Row],[Entry Price]]-Tabla1[[#This Row],[Initial Stop]])/2</f>
        <v>113.485</v>
      </c>
      <c r="I272">
        <v>16</v>
      </c>
      <c r="J272">
        <f t="shared" si="62"/>
        <v>42.079999999999927</v>
      </c>
      <c r="K272">
        <v>1</v>
      </c>
      <c r="L272">
        <f t="shared" si="63"/>
        <v>42.079999999999927</v>
      </c>
      <c r="M272" t="s">
        <v>72</v>
      </c>
      <c r="N272">
        <f>SUMIF(Executions!B:B,A272,Executions!H:H)</f>
        <v>-42.079999999999927</v>
      </c>
      <c r="O272">
        <f t="shared" si="57"/>
        <v>-1</v>
      </c>
      <c r="P272">
        <f>Tabla1[[#This Row],[Initial Risk $]]/Tabla1[[#This Row],[Position Size (shares)]]+Tabla1[[#This Row],[Entry Price]]</f>
        <v>117.42999999999999</v>
      </c>
      <c r="Q272">
        <f>Tabla1[[#This Row],[Initial Risk $]]/Tabla1[[#This Row],[Position Size (shares)]]*1.5+Tabla1[[#This Row],[Entry Price]]</f>
        <v>118.74499999999999</v>
      </c>
      <c r="R272">
        <f>Tabla1[[#This Row],[Initial Risk $]]/Tabla1[[#This Row],[Position Size (shares)]]*2+Tabla1[[#This Row],[Entry Price]]</f>
        <v>120.05999999999999</v>
      </c>
      <c r="S272">
        <f>Tabla1[[#This Row],[Initial Risk $]]/Tabla1[[#This Row],[Position Size (shares)]]*2.5+Tabla1[[#This Row],[Entry Price]]</f>
        <v>121.37499999999999</v>
      </c>
      <c r="T272">
        <f>Tabla1[[#This Row],[Initial Risk $]]/Tabla1[[#This Row],[Position Size (shares)]]*3+Tabla1[[#This Row],[Entry Price]]</f>
        <v>122.68999999999998</v>
      </c>
    </row>
    <row r="273" spans="1:20" customFormat="1" hidden="1" x14ac:dyDescent="0.25">
      <c r="A273" t="str">
        <f t="shared" si="61"/>
        <v>T-272</v>
      </c>
      <c r="B273" s="1">
        <v>46176</v>
      </c>
      <c r="C273" t="s">
        <v>130</v>
      </c>
      <c r="D273" t="s">
        <v>28</v>
      </c>
      <c r="E273" t="s">
        <v>58</v>
      </c>
      <c r="F273">
        <v>532.37</v>
      </c>
      <c r="G273">
        <v>528.37</v>
      </c>
      <c r="H273">
        <f>Tabla1[[#This Row],[Entry Price]]-(Tabla1[[#This Row],[Entry Price]]-Tabla1[[#This Row],[Initial Stop]])/2</f>
        <v>530.37</v>
      </c>
      <c r="I273">
        <v>2</v>
      </c>
      <c r="J273">
        <f t="shared" si="62"/>
        <v>8</v>
      </c>
      <c r="K273">
        <v>1</v>
      </c>
      <c r="L273">
        <f t="shared" si="63"/>
        <v>8</v>
      </c>
      <c r="M273" t="s">
        <v>72</v>
      </c>
      <c r="N273">
        <f>SUMIF(Executions!B:B,A273,Executions!H:H)</f>
        <v>12.099999999999909</v>
      </c>
      <c r="O273">
        <f t="shared" si="57"/>
        <v>1.5124999999999886</v>
      </c>
      <c r="P273">
        <f>Tabla1[[#This Row],[Initial Risk $]]/Tabla1[[#This Row],[Position Size (shares)]]+Tabla1[[#This Row],[Entry Price]]</f>
        <v>536.37</v>
      </c>
      <c r="Q273">
        <f>Tabla1[[#This Row],[Initial Risk $]]/Tabla1[[#This Row],[Position Size (shares)]]*1.5+Tabla1[[#This Row],[Entry Price]]</f>
        <v>538.37</v>
      </c>
      <c r="R273">
        <f>Tabla1[[#This Row],[Initial Risk $]]/Tabla1[[#This Row],[Position Size (shares)]]*2+Tabla1[[#This Row],[Entry Price]]</f>
        <v>540.37</v>
      </c>
      <c r="S273">
        <f>Tabla1[[#This Row],[Initial Risk $]]/Tabla1[[#This Row],[Position Size (shares)]]*2.5+Tabla1[[#This Row],[Entry Price]]</f>
        <v>542.37</v>
      </c>
      <c r="T273">
        <f>Tabla1[[#This Row],[Initial Risk $]]/Tabla1[[#This Row],[Position Size (shares)]]*3+Tabla1[[#This Row],[Entry Price]]</f>
        <v>544.37</v>
      </c>
    </row>
    <row r="274" spans="1:20" customFormat="1" hidden="1" x14ac:dyDescent="0.25">
      <c r="A274" t="str">
        <f t="shared" si="61"/>
        <v>T-273</v>
      </c>
      <c r="B274" s="1">
        <v>46176</v>
      </c>
      <c r="C274" t="s">
        <v>193</v>
      </c>
      <c r="D274" t="s">
        <v>28</v>
      </c>
      <c r="E274" t="s">
        <v>58</v>
      </c>
      <c r="F274">
        <v>309.55</v>
      </c>
      <c r="G274">
        <v>305.55</v>
      </c>
      <c r="H274">
        <f>Tabla1[[#This Row],[Entry Price]]-(Tabla1[[#This Row],[Entry Price]]-Tabla1[[#This Row],[Initial Stop]])/2</f>
        <v>307.55</v>
      </c>
      <c r="I274">
        <v>3</v>
      </c>
      <c r="J274">
        <f t="shared" si="62"/>
        <v>12</v>
      </c>
      <c r="K274">
        <v>1</v>
      </c>
      <c r="L274">
        <f t="shared" si="63"/>
        <v>12</v>
      </c>
      <c r="M274" t="s">
        <v>72</v>
      </c>
      <c r="N274">
        <f>SUMIF(Executions!B:B,A274,Executions!H:H)</f>
        <v>-11.970000000000027</v>
      </c>
      <c r="O274">
        <f t="shared" si="57"/>
        <v>-0.99750000000000227</v>
      </c>
      <c r="P274">
        <f>Tabla1[[#This Row],[Initial Risk $]]/Tabla1[[#This Row],[Position Size (shares)]]+Tabla1[[#This Row],[Entry Price]]</f>
        <v>313.55</v>
      </c>
      <c r="Q274">
        <f>Tabla1[[#This Row],[Initial Risk $]]/Tabla1[[#This Row],[Position Size (shares)]]*1.5+Tabla1[[#This Row],[Entry Price]]</f>
        <v>315.55</v>
      </c>
      <c r="R274">
        <f>Tabla1[[#This Row],[Initial Risk $]]/Tabla1[[#This Row],[Position Size (shares)]]*2+Tabla1[[#This Row],[Entry Price]]</f>
        <v>317.55</v>
      </c>
      <c r="S274">
        <f>Tabla1[[#This Row],[Initial Risk $]]/Tabla1[[#This Row],[Position Size (shares)]]*2.5+Tabla1[[#This Row],[Entry Price]]</f>
        <v>319.55</v>
      </c>
      <c r="T274">
        <f>Tabla1[[#This Row],[Initial Risk $]]/Tabla1[[#This Row],[Position Size (shares)]]*3+Tabla1[[#This Row],[Entry Price]]</f>
        <v>321.55</v>
      </c>
    </row>
    <row r="275" spans="1:20" customFormat="1" hidden="1" x14ac:dyDescent="0.25">
      <c r="A275" t="str">
        <f t="shared" si="61"/>
        <v>T-274</v>
      </c>
      <c r="B275" s="1">
        <v>46176</v>
      </c>
      <c r="C275" t="s">
        <v>417</v>
      </c>
      <c r="D275" t="s">
        <v>28</v>
      </c>
      <c r="E275" t="s">
        <v>119</v>
      </c>
      <c r="F275">
        <v>571.83000000000004</v>
      </c>
      <c r="G275">
        <v>568.83000000000004</v>
      </c>
      <c r="H275">
        <f>Tabla1[[#This Row],[Entry Price]]-(Tabla1[[#This Row],[Entry Price]]-Tabla1[[#This Row],[Initial Stop]])/2</f>
        <v>570.33000000000004</v>
      </c>
      <c r="I275">
        <v>2</v>
      </c>
      <c r="J275">
        <f t="shared" si="62"/>
        <v>6</v>
      </c>
      <c r="K275">
        <v>1</v>
      </c>
      <c r="L275">
        <f t="shared" si="63"/>
        <v>6</v>
      </c>
      <c r="M275" t="s">
        <v>72</v>
      </c>
      <c r="N275">
        <f>SUMIF(Executions!B:B,A275,Executions!H:H)</f>
        <v>-6.3600000000001273</v>
      </c>
      <c r="O275">
        <f t="shared" si="57"/>
        <v>-1.0600000000000211</v>
      </c>
      <c r="P275">
        <f>Tabla1[[#This Row],[Initial Risk $]]/Tabla1[[#This Row],[Position Size (shares)]]+Tabla1[[#This Row],[Entry Price]]</f>
        <v>574.83000000000004</v>
      </c>
      <c r="Q275">
        <f>Tabla1[[#This Row],[Initial Risk $]]/Tabla1[[#This Row],[Position Size (shares)]]*1.5+Tabla1[[#This Row],[Entry Price]]</f>
        <v>576.33000000000004</v>
      </c>
      <c r="R275">
        <f>Tabla1[[#This Row],[Initial Risk $]]/Tabla1[[#This Row],[Position Size (shares)]]*2+Tabla1[[#This Row],[Entry Price]]</f>
        <v>577.83000000000004</v>
      </c>
      <c r="S275">
        <f>Tabla1[[#This Row],[Initial Risk $]]/Tabla1[[#This Row],[Position Size (shares)]]*2.5+Tabla1[[#This Row],[Entry Price]]</f>
        <v>579.33000000000004</v>
      </c>
      <c r="T275">
        <f>Tabla1[[#This Row],[Initial Risk $]]/Tabla1[[#This Row],[Position Size (shares)]]*3+Tabla1[[#This Row],[Entry Price]]</f>
        <v>580.83000000000004</v>
      </c>
    </row>
    <row r="276" spans="1:20" customFormat="1" hidden="1" x14ac:dyDescent="0.25">
      <c r="A276" t="str">
        <f t="shared" si="61"/>
        <v>T-275</v>
      </c>
      <c r="B276" s="1">
        <v>46176</v>
      </c>
      <c r="C276" t="s">
        <v>161</v>
      </c>
      <c r="D276" t="s">
        <v>28</v>
      </c>
      <c r="E276" t="s">
        <v>119</v>
      </c>
      <c r="F276">
        <v>112.88</v>
      </c>
      <c r="G276">
        <v>111.49</v>
      </c>
      <c r="H276">
        <f>Tabla1[[#This Row],[Entry Price]]-(Tabla1[[#This Row],[Entry Price]]-Tabla1[[#This Row],[Initial Stop]])/2</f>
        <v>112.185</v>
      </c>
      <c r="I276">
        <v>10</v>
      </c>
      <c r="J276">
        <f t="shared" si="62"/>
        <v>13.900000000000006</v>
      </c>
      <c r="K276">
        <v>1</v>
      </c>
      <c r="L276">
        <f t="shared" si="63"/>
        <v>13.900000000000006</v>
      </c>
      <c r="M276" t="s">
        <v>72</v>
      </c>
      <c r="N276">
        <f>SUMIF(Executions!B:B,A276,Executions!H:H)</f>
        <v>-14.200000000000017</v>
      </c>
      <c r="O276">
        <f t="shared" si="57"/>
        <v>-1.0215827338129504</v>
      </c>
      <c r="P276">
        <f>Tabla1[[#This Row],[Initial Risk $]]/Tabla1[[#This Row],[Position Size (shares)]]+Tabla1[[#This Row],[Entry Price]]</f>
        <v>114.27</v>
      </c>
      <c r="Q276">
        <f>Tabla1[[#This Row],[Initial Risk $]]/Tabla1[[#This Row],[Position Size (shares)]]*1.5+Tabla1[[#This Row],[Entry Price]]</f>
        <v>114.965</v>
      </c>
      <c r="R276">
        <f>Tabla1[[#This Row],[Initial Risk $]]/Tabla1[[#This Row],[Position Size (shares)]]*2+Tabla1[[#This Row],[Entry Price]]</f>
        <v>115.66</v>
      </c>
      <c r="S276">
        <f>Tabla1[[#This Row],[Initial Risk $]]/Tabla1[[#This Row],[Position Size (shares)]]*2.5+Tabla1[[#This Row],[Entry Price]]</f>
        <v>116.35499999999999</v>
      </c>
      <c r="T276">
        <f>Tabla1[[#This Row],[Initial Risk $]]/Tabla1[[#This Row],[Position Size (shares)]]*3+Tabla1[[#This Row],[Entry Price]]</f>
        <v>117.05</v>
      </c>
    </row>
    <row r="277" spans="1:20" customFormat="1" hidden="1" x14ac:dyDescent="0.25">
      <c r="A277" t="str">
        <f t="shared" si="61"/>
        <v>T-276</v>
      </c>
      <c r="B277" s="1">
        <v>46176</v>
      </c>
      <c r="C277" t="s">
        <v>462</v>
      </c>
      <c r="D277" t="s">
        <v>28</v>
      </c>
      <c r="E277" t="s">
        <v>58</v>
      </c>
      <c r="F277">
        <v>27.97</v>
      </c>
      <c r="G277">
        <v>25.97</v>
      </c>
      <c r="H277">
        <f>Tabla1[[#This Row],[Entry Price]]-(Tabla1[[#This Row],[Entry Price]]-Tabla1[[#This Row],[Initial Stop]])/2</f>
        <v>26.97</v>
      </c>
      <c r="I277">
        <v>8</v>
      </c>
      <c r="J277">
        <f t="shared" si="62"/>
        <v>16</v>
      </c>
      <c r="K277">
        <v>1</v>
      </c>
      <c r="L277">
        <f t="shared" si="63"/>
        <v>16</v>
      </c>
      <c r="M277" t="s">
        <v>72</v>
      </c>
      <c r="N277">
        <f>SUMIF(Executions!B:B,A277,Executions!H:H)</f>
        <v>-15.519999999999982</v>
      </c>
      <c r="O277">
        <f t="shared" si="57"/>
        <v>-0.96999999999999886</v>
      </c>
      <c r="P277">
        <f>Tabla1[[#This Row],[Initial Risk $]]/Tabla1[[#This Row],[Position Size (shares)]]+Tabla1[[#This Row],[Entry Price]]</f>
        <v>29.97</v>
      </c>
      <c r="Q277">
        <f>Tabla1[[#This Row],[Initial Risk $]]/Tabla1[[#This Row],[Position Size (shares)]]*1.5+Tabla1[[#This Row],[Entry Price]]</f>
        <v>30.97</v>
      </c>
      <c r="R277">
        <f>Tabla1[[#This Row],[Initial Risk $]]/Tabla1[[#This Row],[Position Size (shares)]]*2+Tabla1[[#This Row],[Entry Price]]</f>
        <v>31.97</v>
      </c>
      <c r="S277">
        <f>Tabla1[[#This Row],[Initial Risk $]]/Tabla1[[#This Row],[Position Size (shares)]]*2.5+Tabla1[[#This Row],[Entry Price]]</f>
        <v>32.97</v>
      </c>
      <c r="T277">
        <f>Tabla1[[#This Row],[Initial Risk $]]/Tabla1[[#This Row],[Position Size (shares)]]*3+Tabla1[[#This Row],[Entry Price]]</f>
        <v>33.97</v>
      </c>
    </row>
    <row r="278" spans="1:20" customFormat="1" hidden="1" x14ac:dyDescent="0.25">
      <c r="A278" t="str">
        <f t="shared" ref="A278:A285" si="64">"T-"&amp; TEXT(ROW()-1,"000")</f>
        <v>T-277</v>
      </c>
      <c r="B278" s="1">
        <v>46177</v>
      </c>
      <c r="C278" t="s">
        <v>255</v>
      </c>
      <c r="D278" t="s">
        <v>28</v>
      </c>
      <c r="E278" t="s">
        <v>49</v>
      </c>
      <c r="F278">
        <v>312.2</v>
      </c>
      <c r="G278">
        <v>310.81</v>
      </c>
      <c r="H278">
        <f>Tabla1[[#This Row],[Entry Price]]-(Tabla1[[#This Row],[Entry Price]]-Tabla1[[#This Row],[Initial Stop]])/2</f>
        <v>311.505</v>
      </c>
      <c r="I278">
        <v>3</v>
      </c>
      <c r="J278">
        <f t="shared" ref="J278:J285" si="65">IF(D278="Long",(F278-G278)*I278,(G278-F278)*0)</f>
        <v>4.1699999999999591</v>
      </c>
      <c r="K278">
        <v>1</v>
      </c>
      <c r="L278">
        <f t="shared" ref="L278:L285" si="66">J278*K278</f>
        <v>4.1699999999999591</v>
      </c>
      <c r="M278" t="s">
        <v>72</v>
      </c>
      <c r="N278">
        <f>SUMIF(Executions!B:B,A278,Executions!H:H)</f>
        <v>-4.1999999999999318</v>
      </c>
      <c r="O278">
        <f t="shared" si="57"/>
        <v>-1.0071942446043101</v>
      </c>
      <c r="P278">
        <f>Tabla1[[#This Row],[Initial Risk $]]/Tabla1[[#This Row],[Position Size (shares)]]+Tabla1[[#This Row],[Entry Price]]</f>
        <v>313.58999999999997</v>
      </c>
      <c r="Q278">
        <f>Tabla1[[#This Row],[Initial Risk $]]/Tabla1[[#This Row],[Position Size (shares)]]*1.5+Tabla1[[#This Row],[Entry Price]]</f>
        <v>314.28499999999997</v>
      </c>
      <c r="R278">
        <f>Tabla1[[#This Row],[Initial Risk $]]/Tabla1[[#This Row],[Position Size (shares)]]*2+Tabla1[[#This Row],[Entry Price]]</f>
        <v>314.97999999999996</v>
      </c>
      <c r="S278">
        <f>Tabla1[[#This Row],[Initial Risk $]]/Tabla1[[#This Row],[Position Size (shares)]]*2.5+Tabla1[[#This Row],[Entry Price]]</f>
        <v>315.67499999999995</v>
      </c>
      <c r="T278">
        <f>Tabla1[[#This Row],[Initial Risk $]]/Tabla1[[#This Row],[Position Size (shares)]]*3+Tabla1[[#This Row],[Entry Price]]</f>
        <v>316.36999999999995</v>
      </c>
    </row>
    <row r="279" spans="1:20" customFormat="1" hidden="1" x14ac:dyDescent="0.25">
      <c r="A279" t="str">
        <f t="shared" si="64"/>
        <v>T-278</v>
      </c>
      <c r="B279" s="1">
        <v>46177</v>
      </c>
      <c r="C279" t="s">
        <v>197</v>
      </c>
      <c r="D279" t="s">
        <v>28</v>
      </c>
      <c r="E279" t="s">
        <v>58</v>
      </c>
      <c r="F279">
        <v>81.84</v>
      </c>
      <c r="G279">
        <v>81.290000000000006</v>
      </c>
      <c r="H279">
        <f>Tabla1[[#This Row],[Entry Price]]-(Tabla1[[#This Row],[Entry Price]]-Tabla1[[#This Row],[Initial Stop]])/2</f>
        <v>81.564999999999998</v>
      </c>
      <c r="I279">
        <v>10</v>
      </c>
      <c r="J279">
        <f t="shared" si="65"/>
        <v>5.4999999999999716</v>
      </c>
      <c r="K279">
        <v>1</v>
      </c>
      <c r="L279">
        <f t="shared" si="66"/>
        <v>5.4999999999999716</v>
      </c>
      <c r="M279" t="s">
        <v>72</v>
      </c>
      <c r="N279">
        <f>SUMIF(Executions!B:B,A279,Executions!H:H)</f>
        <v>-5.3000000000000114</v>
      </c>
      <c r="O279">
        <f t="shared" si="57"/>
        <v>-0.96363636363637073</v>
      </c>
      <c r="P279">
        <f>Tabla1[[#This Row],[Initial Risk $]]/Tabla1[[#This Row],[Position Size (shares)]]+Tabla1[[#This Row],[Entry Price]]</f>
        <v>82.39</v>
      </c>
      <c r="Q279">
        <f>Tabla1[[#This Row],[Initial Risk $]]/Tabla1[[#This Row],[Position Size (shares)]]*1.5+Tabla1[[#This Row],[Entry Price]]</f>
        <v>82.664999999999992</v>
      </c>
      <c r="R279">
        <f>Tabla1[[#This Row],[Initial Risk $]]/Tabla1[[#This Row],[Position Size (shares)]]*2+Tabla1[[#This Row],[Entry Price]]</f>
        <v>82.94</v>
      </c>
      <c r="S279">
        <f>Tabla1[[#This Row],[Initial Risk $]]/Tabla1[[#This Row],[Position Size (shares)]]*2.5+Tabla1[[#This Row],[Entry Price]]</f>
        <v>83.215000000000003</v>
      </c>
      <c r="T279">
        <f>Tabla1[[#This Row],[Initial Risk $]]/Tabla1[[#This Row],[Position Size (shares)]]*3+Tabla1[[#This Row],[Entry Price]]</f>
        <v>83.49</v>
      </c>
    </row>
    <row r="280" spans="1:20" customFormat="1" hidden="1" x14ac:dyDescent="0.25">
      <c r="A280" t="str">
        <f t="shared" si="64"/>
        <v>T-279</v>
      </c>
      <c r="B280" s="1">
        <v>46177</v>
      </c>
      <c r="C280" t="s">
        <v>327</v>
      </c>
      <c r="D280" t="s">
        <v>28</v>
      </c>
      <c r="E280" t="s">
        <v>58</v>
      </c>
      <c r="F280">
        <v>179.16</v>
      </c>
      <c r="G280">
        <v>178.16</v>
      </c>
      <c r="H280">
        <f>Tabla1[[#This Row],[Entry Price]]-(Tabla1[[#This Row],[Entry Price]]-Tabla1[[#This Row],[Initial Stop]])/2</f>
        <v>178.66</v>
      </c>
      <c r="I280">
        <v>8</v>
      </c>
      <c r="J280">
        <f t="shared" si="65"/>
        <v>8</v>
      </c>
      <c r="K280">
        <v>1</v>
      </c>
      <c r="L280">
        <f t="shared" si="66"/>
        <v>8</v>
      </c>
      <c r="M280" t="s">
        <v>72</v>
      </c>
      <c r="N280">
        <f>SUMIF(Executions!B:B,A280,Executions!H:H)</f>
        <v>-11.099999999999852</v>
      </c>
      <c r="O280">
        <f t="shared" si="57"/>
        <v>-1.3874999999999815</v>
      </c>
      <c r="P280">
        <f>Tabla1[[#This Row],[Initial Risk $]]/Tabla1[[#This Row],[Position Size (shares)]]+Tabla1[[#This Row],[Entry Price]]</f>
        <v>180.16</v>
      </c>
      <c r="Q280">
        <f>Tabla1[[#This Row],[Initial Risk $]]/Tabla1[[#This Row],[Position Size (shares)]]*1.5+Tabla1[[#This Row],[Entry Price]]</f>
        <v>180.66</v>
      </c>
      <c r="R280">
        <f>Tabla1[[#This Row],[Initial Risk $]]/Tabla1[[#This Row],[Position Size (shares)]]*2+Tabla1[[#This Row],[Entry Price]]</f>
        <v>181.16</v>
      </c>
      <c r="S280">
        <f>Tabla1[[#This Row],[Initial Risk $]]/Tabla1[[#This Row],[Position Size (shares)]]*2.5+Tabla1[[#This Row],[Entry Price]]</f>
        <v>181.66</v>
      </c>
      <c r="T280">
        <f>Tabla1[[#This Row],[Initial Risk $]]/Tabla1[[#This Row],[Position Size (shares)]]*3+Tabla1[[#This Row],[Entry Price]]</f>
        <v>182.16</v>
      </c>
    </row>
    <row r="281" spans="1:20" customFormat="1" hidden="1" x14ac:dyDescent="0.25">
      <c r="A281" t="str">
        <f t="shared" si="64"/>
        <v>T-280</v>
      </c>
      <c r="B281" s="1">
        <v>46177</v>
      </c>
      <c r="C281" t="s">
        <v>417</v>
      </c>
      <c r="D281" t="s">
        <v>28</v>
      </c>
      <c r="E281" t="s">
        <v>49</v>
      </c>
      <c r="F281">
        <v>578.48</v>
      </c>
      <c r="G281">
        <v>575.48</v>
      </c>
      <c r="H281">
        <f>Tabla1[[#This Row],[Entry Price]]-(Tabla1[[#This Row],[Entry Price]]-Tabla1[[#This Row],[Initial Stop]])/2</f>
        <v>576.98</v>
      </c>
      <c r="I281">
        <v>2</v>
      </c>
      <c r="J281">
        <f t="shared" si="65"/>
        <v>6</v>
      </c>
      <c r="K281">
        <v>1</v>
      </c>
      <c r="L281">
        <f t="shared" si="66"/>
        <v>6</v>
      </c>
      <c r="M281" t="s">
        <v>72</v>
      </c>
      <c r="N281">
        <f>SUMIF(Executions!B:B,A281,Executions!H:H)</f>
        <v>-9.2400000000000091</v>
      </c>
      <c r="O281">
        <f t="shared" si="57"/>
        <v>-1.5400000000000016</v>
      </c>
      <c r="P281">
        <f>Tabla1[[#This Row],[Initial Risk $]]/Tabla1[[#This Row],[Position Size (shares)]]+Tabla1[[#This Row],[Entry Price]]</f>
        <v>581.48</v>
      </c>
      <c r="Q281">
        <f>Tabla1[[#This Row],[Initial Risk $]]/Tabla1[[#This Row],[Position Size (shares)]]*1.5+Tabla1[[#This Row],[Entry Price]]</f>
        <v>582.98</v>
      </c>
      <c r="R281">
        <f>Tabla1[[#This Row],[Initial Risk $]]/Tabla1[[#This Row],[Position Size (shares)]]*2+Tabla1[[#This Row],[Entry Price]]</f>
        <v>584.48</v>
      </c>
      <c r="S281">
        <f>Tabla1[[#This Row],[Initial Risk $]]/Tabla1[[#This Row],[Position Size (shares)]]*2.5+Tabla1[[#This Row],[Entry Price]]</f>
        <v>585.98</v>
      </c>
      <c r="T281">
        <f>Tabla1[[#This Row],[Initial Risk $]]/Tabla1[[#This Row],[Position Size (shares)]]*3+Tabla1[[#This Row],[Entry Price]]</f>
        <v>587.48</v>
      </c>
    </row>
    <row r="282" spans="1:20" customFormat="1" hidden="1" x14ac:dyDescent="0.25">
      <c r="A282" t="str">
        <f t="shared" si="64"/>
        <v>T-281</v>
      </c>
      <c r="B282" s="1">
        <v>46177</v>
      </c>
      <c r="C282" t="s">
        <v>186</v>
      </c>
      <c r="D282" t="s">
        <v>28</v>
      </c>
      <c r="E282" t="s">
        <v>119</v>
      </c>
      <c r="F282">
        <v>253.75</v>
      </c>
      <c r="G282">
        <v>251.75</v>
      </c>
      <c r="H282">
        <f>Tabla1[[#This Row],[Entry Price]]-(Tabla1[[#This Row],[Entry Price]]-Tabla1[[#This Row],[Initial Stop]])/2</f>
        <v>252.75</v>
      </c>
      <c r="I282">
        <v>4</v>
      </c>
      <c r="J282">
        <f t="shared" si="65"/>
        <v>8</v>
      </c>
      <c r="K282">
        <v>1</v>
      </c>
      <c r="L282">
        <f t="shared" si="66"/>
        <v>8</v>
      </c>
      <c r="M282" t="s">
        <v>72</v>
      </c>
      <c r="N282">
        <f>SUMIF(Executions!B:B,A282,Executions!H:H)</f>
        <v>-8.8799999999999955</v>
      </c>
      <c r="O282">
        <f t="shared" si="57"/>
        <v>-1.1099999999999994</v>
      </c>
      <c r="P282">
        <f>Tabla1[[#This Row],[Initial Risk $]]/Tabla1[[#This Row],[Position Size (shares)]]+Tabla1[[#This Row],[Entry Price]]</f>
        <v>255.75</v>
      </c>
      <c r="Q282">
        <f>Tabla1[[#This Row],[Initial Risk $]]/Tabla1[[#This Row],[Position Size (shares)]]*1.5+Tabla1[[#This Row],[Entry Price]]</f>
        <v>256.75</v>
      </c>
      <c r="R282">
        <f>Tabla1[[#This Row],[Initial Risk $]]/Tabla1[[#This Row],[Position Size (shares)]]*2+Tabla1[[#This Row],[Entry Price]]</f>
        <v>257.75</v>
      </c>
      <c r="S282">
        <f>Tabla1[[#This Row],[Initial Risk $]]/Tabla1[[#This Row],[Position Size (shares)]]*2.5+Tabla1[[#This Row],[Entry Price]]</f>
        <v>258.75</v>
      </c>
      <c r="T282">
        <f>Tabla1[[#This Row],[Initial Risk $]]/Tabla1[[#This Row],[Position Size (shares)]]*3+Tabla1[[#This Row],[Entry Price]]</f>
        <v>259.75</v>
      </c>
    </row>
    <row r="283" spans="1:20" customFormat="1" hidden="1" x14ac:dyDescent="0.25">
      <c r="A283" t="str">
        <f t="shared" si="64"/>
        <v>T-282</v>
      </c>
      <c r="B283" s="1">
        <v>46177</v>
      </c>
      <c r="C283" t="s">
        <v>417</v>
      </c>
      <c r="D283" t="s">
        <v>28</v>
      </c>
      <c r="E283" t="s">
        <v>119</v>
      </c>
      <c r="F283">
        <v>575.54999999999995</v>
      </c>
      <c r="G283">
        <v>572.54999999999995</v>
      </c>
      <c r="H283">
        <f>Tabla1[[#This Row],[Entry Price]]-(Tabla1[[#This Row],[Entry Price]]-Tabla1[[#This Row],[Initial Stop]])/2</f>
        <v>574.04999999999995</v>
      </c>
      <c r="I283">
        <v>2</v>
      </c>
      <c r="J283">
        <f t="shared" si="65"/>
        <v>6</v>
      </c>
      <c r="K283">
        <v>1</v>
      </c>
      <c r="L283">
        <f t="shared" si="66"/>
        <v>6</v>
      </c>
      <c r="M283" t="s">
        <v>72</v>
      </c>
      <c r="N283">
        <f>SUMIF(Executions!B:B,A283,Executions!H:H)</f>
        <v>-6.9800000000000182</v>
      </c>
      <c r="O283">
        <f t="shared" si="57"/>
        <v>-1.1633333333333364</v>
      </c>
      <c r="P283">
        <f>Tabla1[[#This Row],[Initial Risk $]]/Tabla1[[#This Row],[Position Size (shares)]]+Tabla1[[#This Row],[Entry Price]]</f>
        <v>578.54999999999995</v>
      </c>
      <c r="Q283">
        <f>Tabla1[[#This Row],[Initial Risk $]]/Tabla1[[#This Row],[Position Size (shares)]]*1.5+Tabla1[[#This Row],[Entry Price]]</f>
        <v>580.04999999999995</v>
      </c>
      <c r="R283">
        <f>Tabla1[[#This Row],[Initial Risk $]]/Tabla1[[#This Row],[Position Size (shares)]]*2+Tabla1[[#This Row],[Entry Price]]</f>
        <v>581.54999999999995</v>
      </c>
      <c r="S283">
        <f>Tabla1[[#This Row],[Initial Risk $]]/Tabla1[[#This Row],[Position Size (shares)]]*2.5+Tabla1[[#This Row],[Entry Price]]</f>
        <v>583.04999999999995</v>
      </c>
      <c r="T283">
        <f>Tabla1[[#This Row],[Initial Risk $]]/Tabla1[[#This Row],[Position Size (shares)]]*3+Tabla1[[#This Row],[Entry Price]]</f>
        <v>584.54999999999995</v>
      </c>
    </row>
    <row r="284" spans="1:20" customFormat="1" hidden="1" x14ac:dyDescent="0.25">
      <c r="A284" t="str">
        <f t="shared" si="64"/>
        <v>T-283</v>
      </c>
      <c r="B284" s="1">
        <v>46177</v>
      </c>
      <c r="C284" t="s">
        <v>387</v>
      </c>
      <c r="D284" t="s">
        <v>28</v>
      </c>
      <c r="E284" t="s">
        <v>49</v>
      </c>
      <c r="F284">
        <v>412.59</v>
      </c>
      <c r="G284">
        <v>410.22</v>
      </c>
      <c r="H284">
        <f>Tabla1[[#This Row],[Entry Price]]-(Tabla1[[#This Row],[Entry Price]]-Tabla1[[#This Row],[Initial Stop]])/2</f>
        <v>411.40499999999997</v>
      </c>
      <c r="I284">
        <v>3</v>
      </c>
      <c r="J284">
        <f t="shared" si="65"/>
        <v>7.1099999999998431</v>
      </c>
      <c r="K284">
        <v>1</v>
      </c>
      <c r="L284">
        <f t="shared" si="66"/>
        <v>7.1099999999998431</v>
      </c>
      <c r="M284" t="s">
        <v>72</v>
      </c>
      <c r="N284">
        <f>SUMIF(Executions!B:B,A284,Executions!H:H)</f>
        <v>-7.1699999999999591</v>
      </c>
      <c r="O284">
        <f t="shared" si="57"/>
        <v>-1.0084388185654174</v>
      </c>
      <c r="P284">
        <f>Tabla1[[#This Row],[Initial Risk $]]/Tabla1[[#This Row],[Position Size (shares)]]+Tabla1[[#This Row],[Entry Price]]</f>
        <v>414.95999999999992</v>
      </c>
      <c r="Q284">
        <f>Tabla1[[#This Row],[Initial Risk $]]/Tabla1[[#This Row],[Position Size (shares)]]*1.5+Tabla1[[#This Row],[Entry Price]]</f>
        <v>416.14499999999987</v>
      </c>
      <c r="R284">
        <f>Tabla1[[#This Row],[Initial Risk $]]/Tabla1[[#This Row],[Position Size (shares)]]*2+Tabla1[[#This Row],[Entry Price]]</f>
        <v>417.32999999999987</v>
      </c>
      <c r="S284">
        <f>Tabla1[[#This Row],[Initial Risk $]]/Tabla1[[#This Row],[Position Size (shares)]]*2.5+Tabla1[[#This Row],[Entry Price]]</f>
        <v>418.51499999999987</v>
      </c>
      <c r="T284">
        <f>Tabla1[[#This Row],[Initial Risk $]]/Tabla1[[#This Row],[Position Size (shares)]]*3+Tabla1[[#This Row],[Entry Price]]</f>
        <v>419.69999999999982</v>
      </c>
    </row>
    <row r="285" spans="1:20" customFormat="1" hidden="1" x14ac:dyDescent="0.25">
      <c r="A285" t="str">
        <f t="shared" si="64"/>
        <v>T-284</v>
      </c>
      <c r="B285" s="1">
        <v>46177</v>
      </c>
      <c r="C285" t="s">
        <v>197</v>
      </c>
      <c r="D285" t="s">
        <v>28</v>
      </c>
      <c r="E285" t="s">
        <v>60</v>
      </c>
      <c r="F285">
        <v>81.150000000000006</v>
      </c>
      <c r="G285">
        <v>79.760000000000005</v>
      </c>
      <c r="H285">
        <f>Tabla1[[#This Row],[Entry Price]]-(Tabla1[[#This Row],[Entry Price]]-Tabla1[[#This Row],[Initial Stop]])/2</f>
        <v>80.455000000000013</v>
      </c>
      <c r="I285">
        <v>5</v>
      </c>
      <c r="J285">
        <f t="shared" si="65"/>
        <v>6.9500000000000028</v>
      </c>
      <c r="K285">
        <v>1</v>
      </c>
      <c r="L285">
        <f t="shared" si="66"/>
        <v>6.9500000000000028</v>
      </c>
      <c r="M285" t="s">
        <v>72</v>
      </c>
      <c r="N285">
        <f>SUMIF(Executions!B:B,A285,Executions!H:H)</f>
        <v>-7.1500000000000341</v>
      </c>
      <c r="O285">
        <f t="shared" si="57"/>
        <v>-1.0287769784172707</v>
      </c>
      <c r="P285">
        <f>Tabla1[[#This Row],[Initial Risk $]]/Tabla1[[#This Row],[Position Size (shares)]]+Tabla1[[#This Row],[Entry Price]]</f>
        <v>82.54</v>
      </c>
      <c r="Q285">
        <f>Tabla1[[#This Row],[Initial Risk $]]/Tabla1[[#This Row],[Position Size (shares)]]*1.5+Tabla1[[#This Row],[Entry Price]]</f>
        <v>83.235000000000014</v>
      </c>
      <c r="R285">
        <f>Tabla1[[#This Row],[Initial Risk $]]/Tabla1[[#This Row],[Position Size (shares)]]*2+Tabla1[[#This Row],[Entry Price]]</f>
        <v>83.93</v>
      </c>
      <c r="S285">
        <f>Tabla1[[#This Row],[Initial Risk $]]/Tabla1[[#This Row],[Position Size (shares)]]*2.5+Tabla1[[#This Row],[Entry Price]]</f>
        <v>84.625</v>
      </c>
      <c r="T285">
        <f>Tabla1[[#This Row],[Initial Risk $]]/Tabla1[[#This Row],[Position Size (shares)]]*3+Tabla1[[#This Row],[Entry Price]]</f>
        <v>85.320000000000007</v>
      </c>
    </row>
    <row r="286" spans="1:20" customFormat="1" hidden="1" x14ac:dyDescent="0.25">
      <c r="A286" t="str">
        <f t="shared" ref="A286:A294" si="67">"T-"&amp; TEXT(ROW()-1,"000")</f>
        <v>T-285</v>
      </c>
      <c r="B286" s="1">
        <v>46178</v>
      </c>
      <c r="C286" t="s">
        <v>472</v>
      </c>
      <c r="D286" t="s">
        <v>28</v>
      </c>
      <c r="E286" t="s">
        <v>58</v>
      </c>
      <c r="F286">
        <v>401.84</v>
      </c>
      <c r="G286">
        <v>398.66</v>
      </c>
      <c r="H286">
        <f>Tabla1[[#This Row],[Entry Price]]-(Tabla1[[#This Row],[Entry Price]]-Tabla1[[#This Row],[Initial Stop]])/2</f>
        <v>400.25</v>
      </c>
      <c r="I286">
        <v>2</v>
      </c>
      <c r="J286">
        <f t="shared" ref="J286:J294" si="68">IF(D286="Long",(F286-G286)*I286,(G286-F286)*0)</f>
        <v>6.3599999999999</v>
      </c>
      <c r="K286">
        <v>1</v>
      </c>
      <c r="L286">
        <f t="shared" ref="L286:L294" si="69">J286*K286</f>
        <v>6.3599999999999</v>
      </c>
      <c r="M286" t="s">
        <v>72</v>
      </c>
      <c r="N286">
        <f>SUMIF(Executions!B:B,A286,Executions!H:H)</f>
        <v>-6.4799999999999045</v>
      </c>
      <c r="O286">
        <f t="shared" si="57"/>
        <v>-1.018867924528303</v>
      </c>
      <c r="P286">
        <f>Tabla1[[#This Row],[Initial Risk $]]/Tabla1[[#This Row],[Position Size (shares)]]+Tabla1[[#This Row],[Entry Price]]</f>
        <v>405.01999999999992</v>
      </c>
      <c r="Q286">
        <f>Tabla1[[#This Row],[Initial Risk $]]/Tabla1[[#This Row],[Position Size (shares)]]*1.5+Tabla1[[#This Row],[Entry Price]]</f>
        <v>406.6099999999999</v>
      </c>
      <c r="R286">
        <f>Tabla1[[#This Row],[Initial Risk $]]/Tabla1[[#This Row],[Position Size (shares)]]*2+Tabla1[[#This Row],[Entry Price]]</f>
        <v>408.19999999999987</v>
      </c>
      <c r="S286">
        <f>Tabla1[[#This Row],[Initial Risk $]]/Tabla1[[#This Row],[Position Size (shares)]]*2.5+Tabla1[[#This Row],[Entry Price]]</f>
        <v>409.78999999999985</v>
      </c>
      <c r="T286">
        <f>Tabla1[[#This Row],[Initial Risk $]]/Tabla1[[#This Row],[Position Size (shares)]]*3+Tabla1[[#This Row],[Entry Price]]</f>
        <v>411.37999999999982</v>
      </c>
    </row>
    <row r="287" spans="1:20" customFormat="1" hidden="1" x14ac:dyDescent="0.25">
      <c r="A287" t="str">
        <f t="shared" si="67"/>
        <v>T-286</v>
      </c>
      <c r="B287" s="1">
        <v>46178</v>
      </c>
      <c r="C287" t="s">
        <v>417</v>
      </c>
      <c r="D287" t="s">
        <v>28</v>
      </c>
      <c r="E287" t="s">
        <v>49</v>
      </c>
      <c r="F287">
        <v>592.85</v>
      </c>
      <c r="G287">
        <v>586.85</v>
      </c>
      <c r="H287">
        <f>Tabla1[[#This Row],[Entry Price]]-(Tabla1[[#This Row],[Entry Price]]-Tabla1[[#This Row],[Initial Stop]])/2</f>
        <v>589.85</v>
      </c>
      <c r="I287">
        <v>2</v>
      </c>
      <c r="J287">
        <f t="shared" si="68"/>
        <v>12</v>
      </c>
      <c r="K287">
        <v>1</v>
      </c>
      <c r="L287">
        <f t="shared" si="69"/>
        <v>12</v>
      </c>
      <c r="M287" t="s">
        <v>72</v>
      </c>
      <c r="N287">
        <f>SUMIF(Executions!B:B,A287,Executions!H:H)</f>
        <v>-12.799999999999955</v>
      </c>
      <c r="O287">
        <f t="shared" si="57"/>
        <v>-1.0666666666666629</v>
      </c>
      <c r="P287">
        <f>Tabla1[[#This Row],[Initial Risk $]]/Tabla1[[#This Row],[Position Size (shares)]]+Tabla1[[#This Row],[Entry Price]]</f>
        <v>598.85</v>
      </c>
      <c r="Q287">
        <f>Tabla1[[#This Row],[Initial Risk $]]/Tabla1[[#This Row],[Position Size (shares)]]*1.5+Tabla1[[#This Row],[Entry Price]]</f>
        <v>601.85</v>
      </c>
      <c r="R287">
        <f>Tabla1[[#This Row],[Initial Risk $]]/Tabla1[[#This Row],[Position Size (shares)]]*2+Tabla1[[#This Row],[Entry Price]]</f>
        <v>604.85</v>
      </c>
      <c r="S287">
        <f>Tabla1[[#This Row],[Initial Risk $]]/Tabla1[[#This Row],[Position Size (shares)]]*2.5+Tabla1[[#This Row],[Entry Price]]</f>
        <v>607.85</v>
      </c>
      <c r="T287">
        <f>Tabla1[[#This Row],[Initial Risk $]]/Tabla1[[#This Row],[Position Size (shares)]]*3+Tabla1[[#This Row],[Entry Price]]</f>
        <v>610.85</v>
      </c>
    </row>
    <row r="288" spans="1:20" customFormat="1" hidden="1" x14ac:dyDescent="0.25">
      <c r="A288" t="str">
        <f t="shared" si="67"/>
        <v>T-287</v>
      </c>
      <c r="B288" s="1">
        <v>46178</v>
      </c>
      <c r="C288" t="s">
        <v>474</v>
      </c>
      <c r="D288" t="s">
        <v>28</v>
      </c>
      <c r="E288" t="s">
        <v>58</v>
      </c>
      <c r="F288">
        <v>228.95</v>
      </c>
      <c r="G288">
        <v>227.47</v>
      </c>
      <c r="H288">
        <f>Tabla1[[#This Row],[Entry Price]]-(Tabla1[[#This Row],[Entry Price]]-Tabla1[[#This Row],[Initial Stop]])/2</f>
        <v>228.20999999999998</v>
      </c>
      <c r="I288">
        <v>3</v>
      </c>
      <c r="J288">
        <f t="shared" si="68"/>
        <v>4.4399999999999693</v>
      </c>
      <c r="K288">
        <v>1</v>
      </c>
      <c r="L288">
        <f t="shared" si="69"/>
        <v>4.4399999999999693</v>
      </c>
      <c r="M288" t="s">
        <v>72</v>
      </c>
      <c r="N288">
        <f>SUMIF(Executions!B:B,A288,Executions!H:H)</f>
        <v>-5.8399999999999181</v>
      </c>
      <c r="O288">
        <f t="shared" si="57"/>
        <v>-1.3153153153153059</v>
      </c>
      <c r="P288">
        <f>Tabla1[[#This Row],[Initial Risk $]]/Tabla1[[#This Row],[Position Size (shares)]]+Tabla1[[#This Row],[Entry Price]]</f>
        <v>230.42999999999998</v>
      </c>
      <c r="Q288">
        <f>Tabla1[[#This Row],[Initial Risk $]]/Tabla1[[#This Row],[Position Size (shares)]]*1.5+Tabla1[[#This Row],[Entry Price]]</f>
        <v>231.16999999999996</v>
      </c>
      <c r="R288">
        <f>Tabla1[[#This Row],[Initial Risk $]]/Tabla1[[#This Row],[Position Size (shares)]]*2+Tabla1[[#This Row],[Entry Price]]</f>
        <v>231.90999999999997</v>
      </c>
      <c r="S288">
        <f>Tabla1[[#This Row],[Initial Risk $]]/Tabla1[[#This Row],[Position Size (shares)]]*2.5+Tabla1[[#This Row],[Entry Price]]</f>
        <v>232.64999999999998</v>
      </c>
      <c r="T288">
        <f>Tabla1[[#This Row],[Initial Risk $]]/Tabla1[[#This Row],[Position Size (shares)]]*3+Tabla1[[#This Row],[Entry Price]]</f>
        <v>233.38999999999996</v>
      </c>
    </row>
    <row r="289" spans="1:20" customFormat="1" hidden="1" x14ac:dyDescent="0.25">
      <c r="A289" t="str">
        <f t="shared" si="67"/>
        <v>T-288</v>
      </c>
      <c r="B289" s="1">
        <v>46178</v>
      </c>
      <c r="C289" t="s">
        <v>95</v>
      </c>
      <c r="D289" t="s">
        <v>28</v>
      </c>
      <c r="E289" t="s">
        <v>58</v>
      </c>
      <c r="F289">
        <v>89.57</v>
      </c>
      <c r="G289">
        <v>88.57</v>
      </c>
      <c r="H289">
        <f>Tabla1[[#This Row],[Entry Price]]-(Tabla1[[#This Row],[Entry Price]]-Tabla1[[#This Row],[Initial Stop]])/2</f>
        <v>89.07</v>
      </c>
      <c r="I289">
        <v>8</v>
      </c>
      <c r="J289">
        <f t="shared" si="68"/>
        <v>8</v>
      </c>
      <c r="K289">
        <v>1</v>
      </c>
      <c r="L289">
        <f t="shared" si="69"/>
        <v>8</v>
      </c>
      <c r="M289" t="s">
        <v>72</v>
      </c>
      <c r="N289">
        <f>SUMIF(Executions!B:B,A289,Executions!H:H)</f>
        <v>-8.1599999999999682</v>
      </c>
      <c r="O289">
        <f t="shared" si="57"/>
        <v>-1.019999999999996</v>
      </c>
      <c r="P289">
        <f>Tabla1[[#This Row],[Initial Risk $]]/Tabla1[[#This Row],[Position Size (shares)]]+Tabla1[[#This Row],[Entry Price]]</f>
        <v>90.57</v>
      </c>
      <c r="Q289">
        <f>Tabla1[[#This Row],[Initial Risk $]]/Tabla1[[#This Row],[Position Size (shares)]]*1.5+Tabla1[[#This Row],[Entry Price]]</f>
        <v>91.07</v>
      </c>
      <c r="R289">
        <f>Tabla1[[#This Row],[Initial Risk $]]/Tabla1[[#This Row],[Position Size (shares)]]*2+Tabla1[[#This Row],[Entry Price]]</f>
        <v>91.57</v>
      </c>
      <c r="S289">
        <f>Tabla1[[#This Row],[Initial Risk $]]/Tabla1[[#This Row],[Position Size (shares)]]*2.5+Tabla1[[#This Row],[Entry Price]]</f>
        <v>92.07</v>
      </c>
      <c r="T289">
        <f>Tabla1[[#This Row],[Initial Risk $]]/Tabla1[[#This Row],[Position Size (shares)]]*3+Tabla1[[#This Row],[Entry Price]]</f>
        <v>92.57</v>
      </c>
    </row>
    <row r="290" spans="1:20" customFormat="1" hidden="1" x14ac:dyDescent="0.25">
      <c r="A290" t="str">
        <f t="shared" si="67"/>
        <v>T-289</v>
      </c>
      <c r="B290" s="1">
        <v>46178</v>
      </c>
      <c r="C290" t="s">
        <v>383</v>
      </c>
      <c r="D290" t="s">
        <v>28</v>
      </c>
      <c r="E290" t="s">
        <v>49</v>
      </c>
      <c r="F290">
        <v>697.14</v>
      </c>
      <c r="G290">
        <v>693.14</v>
      </c>
      <c r="H290">
        <f>Tabla1[[#This Row],[Entry Price]]-(Tabla1[[#This Row],[Entry Price]]-Tabla1[[#This Row],[Initial Stop]])/2</f>
        <v>695.14</v>
      </c>
      <c r="I290">
        <v>2</v>
      </c>
      <c r="J290">
        <f t="shared" si="68"/>
        <v>8</v>
      </c>
      <c r="K290">
        <v>1</v>
      </c>
      <c r="L290">
        <f t="shared" si="69"/>
        <v>8</v>
      </c>
      <c r="M290" t="s">
        <v>72</v>
      </c>
      <c r="N290">
        <f>SUMIF(Executions!B:B,A290,Executions!H:H)</f>
        <v>-8.7200000000000273</v>
      </c>
      <c r="O290">
        <f t="shared" si="57"/>
        <v>-1.0900000000000034</v>
      </c>
      <c r="P290">
        <f>Tabla1[[#This Row],[Initial Risk $]]/Tabla1[[#This Row],[Position Size (shares)]]+Tabla1[[#This Row],[Entry Price]]</f>
        <v>701.14</v>
      </c>
      <c r="Q290">
        <f>Tabla1[[#This Row],[Initial Risk $]]/Tabla1[[#This Row],[Position Size (shares)]]*1.5+Tabla1[[#This Row],[Entry Price]]</f>
        <v>703.14</v>
      </c>
      <c r="R290">
        <f>Tabla1[[#This Row],[Initial Risk $]]/Tabla1[[#This Row],[Position Size (shares)]]*2+Tabla1[[#This Row],[Entry Price]]</f>
        <v>705.14</v>
      </c>
      <c r="S290">
        <f>Tabla1[[#This Row],[Initial Risk $]]/Tabla1[[#This Row],[Position Size (shares)]]*2.5+Tabla1[[#This Row],[Entry Price]]</f>
        <v>707.14</v>
      </c>
      <c r="T290">
        <f>Tabla1[[#This Row],[Initial Risk $]]/Tabla1[[#This Row],[Position Size (shares)]]*3+Tabla1[[#This Row],[Entry Price]]</f>
        <v>709.14</v>
      </c>
    </row>
    <row r="291" spans="1:20" customFormat="1" hidden="1" x14ac:dyDescent="0.25">
      <c r="A291" t="str">
        <f t="shared" si="67"/>
        <v>T-290</v>
      </c>
      <c r="B291" s="1">
        <v>46178</v>
      </c>
      <c r="C291" t="s">
        <v>164</v>
      </c>
      <c r="D291" t="s">
        <v>28</v>
      </c>
      <c r="E291" t="s">
        <v>119</v>
      </c>
      <c r="F291">
        <v>213.46</v>
      </c>
      <c r="G291">
        <v>212.46</v>
      </c>
      <c r="H291">
        <f>Tabla1[[#This Row],[Entry Price]]-(Tabla1[[#This Row],[Entry Price]]-Tabla1[[#This Row],[Initial Stop]])/2</f>
        <v>212.96</v>
      </c>
      <c r="I291">
        <v>4</v>
      </c>
      <c r="J291">
        <f t="shared" si="68"/>
        <v>4</v>
      </c>
      <c r="K291">
        <v>1</v>
      </c>
      <c r="L291">
        <f t="shared" si="69"/>
        <v>4</v>
      </c>
      <c r="M291" t="s">
        <v>72</v>
      </c>
      <c r="N291">
        <f>SUMIF(Executions!B:B,A291,Executions!H:H)</f>
        <v>-4</v>
      </c>
      <c r="O291">
        <f t="shared" si="57"/>
        <v>-1</v>
      </c>
      <c r="P291">
        <f>Tabla1[[#This Row],[Initial Risk $]]/Tabla1[[#This Row],[Position Size (shares)]]+Tabla1[[#This Row],[Entry Price]]</f>
        <v>214.46</v>
      </c>
      <c r="Q291">
        <f>Tabla1[[#This Row],[Initial Risk $]]/Tabla1[[#This Row],[Position Size (shares)]]*1.5+Tabla1[[#This Row],[Entry Price]]</f>
        <v>214.96</v>
      </c>
      <c r="R291">
        <f>Tabla1[[#This Row],[Initial Risk $]]/Tabla1[[#This Row],[Position Size (shares)]]*2+Tabla1[[#This Row],[Entry Price]]</f>
        <v>215.46</v>
      </c>
      <c r="S291">
        <f>Tabla1[[#This Row],[Initial Risk $]]/Tabla1[[#This Row],[Position Size (shares)]]*2.5+Tabla1[[#This Row],[Entry Price]]</f>
        <v>215.96</v>
      </c>
      <c r="T291">
        <f>Tabla1[[#This Row],[Initial Risk $]]/Tabla1[[#This Row],[Position Size (shares)]]*3+Tabla1[[#This Row],[Entry Price]]</f>
        <v>216.46</v>
      </c>
    </row>
    <row r="292" spans="1:20" customFormat="1" hidden="1" x14ac:dyDescent="0.25">
      <c r="A292" t="str">
        <f t="shared" si="67"/>
        <v>T-291</v>
      </c>
      <c r="B292" s="1">
        <v>46178</v>
      </c>
      <c r="C292" t="s">
        <v>383</v>
      </c>
      <c r="D292" t="s">
        <v>28</v>
      </c>
      <c r="E292" t="s">
        <v>119</v>
      </c>
      <c r="F292">
        <v>692.39</v>
      </c>
      <c r="G292">
        <v>686.39</v>
      </c>
      <c r="H292">
        <f>Tabla1[[#This Row],[Entry Price]]-(Tabla1[[#This Row],[Entry Price]]-Tabla1[[#This Row],[Initial Stop]])/2</f>
        <v>689.39</v>
      </c>
      <c r="I292">
        <v>1</v>
      </c>
      <c r="J292">
        <f t="shared" si="68"/>
        <v>6</v>
      </c>
      <c r="K292">
        <v>1</v>
      </c>
      <c r="L292">
        <f t="shared" si="69"/>
        <v>6</v>
      </c>
      <c r="M292" t="s">
        <v>72</v>
      </c>
      <c r="N292">
        <f>SUMIF(Executions!B:B,A292,Executions!H:H)</f>
        <v>-5.6399999999999864</v>
      </c>
      <c r="O292">
        <f t="shared" si="57"/>
        <v>-0.93999999999999773</v>
      </c>
      <c r="P292">
        <f>Tabla1[[#This Row],[Initial Risk $]]/Tabla1[[#This Row],[Position Size (shares)]]+Tabla1[[#This Row],[Entry Price]]</f>
        <v>698.39</v>
      </c>
      <c r="Q292">
        <f>Tabla1[[#This Row],[Initial Risk $]]/Tabla1[[#This Row],[Position Size (shares)]]*1.5+Tabla1[[#This Row],[Entry Price]]</f>
        <v>701.39</v>
      </c>
      <c r="R292">
        <f>Tabla1[[#This Row],[Initial Risk $]]/Tabla1[[#This Row],[Position Size (shares)]]*2+Tabla1[[#This Row],[Entry Price]]</f>
        <v>704.39</v>
      </c>
      <c r="S292">
        <f>Tabla1[[#This Row],[Initial Risk $]]/Tabla1[[#This Row],[Position Size (shares)]]*2.5+Tabla1[[#This Row],[Entry Price]]</f>
        <v>707.39</v>
      </c>
      <c r="T292">
        <f>Tabla1[[#This Row],[Initial Risk $]]/Tabla1[[#This Row],[Position Size (shares)]]*3+Tabla1[[#This Row],[Entry Price]]</f>
        <v>710.39</v>
      </c>
    </row>
    <row r="293" spans="1:20" customFormat="1" hidden="1" x14ac:dyDescent="0.25">
      <c r="A293" t="str">
        <f t="shared" si="67"/>
        <v>T-292</v>
      </c>
      <c r="B293" s="1">
        <v>46178</v>
      </c>
      <c r="C293" t="s">
        <v>145</v>
      </c>
      <c r="D293" t="s">
        <v>28</v>
      </c>
      <c r="E293" t="s">
        <v>119</v>
      </c>
      <c r="F293">
        <v>119.82</v>
      </c>
      <c r="G293">
        <v>116.82</v>
      </c>
      <c r="H293">
        <f>Tabla1[[#This Row],[Entry Price]]-(Tabla1[[#This Row],[Entry Price]]-Tabla1[[#This Row],[Initial Stop]])/2</f>
        <v>118.32</v>
      </c>
      <c r="I293">
        <v>2</v>
      </c>
      <c r="J293">
        <f t="shared" si="68"/>
        <v>6</v>
      </c>
      <c r="K293">
        <v>1</v>
      </c>
      <c r="L293">
        <f t="shared" si="69"/>
        <v>6</v>
      </c>
      <c r="M293" t="s">
        <v>72</v>
      </c>
      <c r="N293">
        <f>SUMIF(Executions!B:B,A293,Executions!H:H)</f>
        <v>-5.9799999999999898</v>
      </c>
      <c r="O293">
        <f t="shared" si="57"/>
        <v>-0.99666666666666492</v>
      </c>
      <c r="P293">
        <f>Tabla1[[#This Row],[Initial Risk $]]/Tabla1[[#This Row],[Position Size (shares)]]+Tabla1[[#This Row],[Entry Price]]</f>
        <v>122.82</v>
      </c>
      <c r="Q293">
        <f>Tabla1[[#This Row],[Initial Risk $]]/Tabla1[[#This Row],[Position Size (shares)]]*1.5+Tabla1[[#This Row],[Entry Price]]</f>
        <v>124.32</v>
      </c>
      <c r="R293">
        <f>Tabla1[[#This Row],[Initial Risk $]]/Tabla1[[#This Row],[Position Size (shares)]]*2+Tabla1[[#This Row],[Entry Price]]</f>
        <v>125.82</v>
      </c>
      <c r="S293">
        <f>Tabla1[[#This Row],[Initial Risk $]]/Tabla1[[#This Row],[Position Size (shares)]]*2.5+Tabla1[[#This Row],[Entry Price]]</f>
        <v>127.32</v>
      </c>
      <c r="T293">
        <f>Tabla1[[#This Row],[Initial Risk $]]/Tabla1[[#This Row],[Position Size (shares)]]*3+Tabla1[[#This Row],[Entry Price]]</f>
        <v>128.82</v>
      </c>
    </row>
    <row r="294" spans="1:20" customFormat="1" hidden="1" x14ac:dyDescent="0.25">
      <c r="A294" t="str">
        <f t="shared" si="67"/>
        <v>T-293</v>
      </c>
      <c r="B294" s="1">
        <v>46178</v>
      </c>
      <c r="C294" t="s">
        <v>480</v>
      </c>
      <c r="D294" t="s">
        <v>28</v>
      </c>
      <c r="E294" t="s">
        <v>58</v>
      </c>
      <c r="F294">
        <v>27.67</v>
      </c>
      <c r="G294">
        <v>26.67</v>
      </c>
      <c r="H294">
        <f>Tabla1[[#This Row],[Entry Price]]-(Tabla1[[#This Row],[Entry Price]]-Tabla1[[#This Row],[Initial Stop]])/2</f>
        <v>27.17</v>
      </c>
      <c r="I294">
        <v>3</v>
      </c>
      <c r="J294">
        <f t="shared" si="68"/>
        <v>3</v>
      </c>
      <c r="K294">
        <v>1</v>
      </c>
      <c r="L294">
        <f t="shared" si="69"/>
        <v>3</v>
      </c>
      <c r="M294" t="s">
        <v>72</v>
      </c>
      <c r="N294">
        <f>SUMIF(Executions!B:B,A294,Executions!H:H)</f>
        <v>4.3799999999999919</v>
      </c>
      <c r="O294">
        <f t="shared" si="57"/>
        <v>1.4599999999999973</v>
      </c>
      <c r="P294">
        <f>Tabla1[[#This Row],[Initial Risk $]]/Tabla1[[#This Row],[Position Size (shares)]]+Tabla1[[#This Row],[Entry Price]]</f>
        <v>28.67</v>
      </c>
      <c r="Q294">
        <f>Tabla1[[#This Row],[Initial Risk $]]/Tabla1[[#This Row],[Position Size (shares)]]*1.5+Tabla1[[#This Row],[Entry Price]]</f>
        <v>29.17</v>
      </c>
      <c r="R294">
        <f>Tabla1[[#This Row],[Initial Risk $]]/Tabla1[[#This Row],[Position Size (shares)]]*2+Tabla1[[#This Row],[Entry Price]]</f>
        <v>29.67</v>
      </c>
      <c r="S294">
        <f>Tabla1[[#This Row],[Initial Risk $]]/Tabla1[[#This Row],[Position Size (shares)]]*2.5+Tabla1[[#This Row],[Entry Price]]</f>
        <v>30.17</v>
      </c>
      <c r="T294">
        <f>Tabla1[[#This Row],[Initial Risk $]]/Tabla1[[#This Row],[Position Size (shares)]]*3+Tabla1[[#This Row],[Entry Price]]</f>
        <v>30.67</v>
      </c>
    </row>
    <row r="295" spans="1:20" customFormat="1" hidden="1" x14ac:dyDescent="0.25">
      <c r="A295" t="str">
        <f t="shared" ref="A295:A302" si="70">"T-"&amp; TEXT(ROW()-1,"000")</f>
        <v>T-294</v>
      </c>
      <c r="B295" s="1">
        <v>46181</v>
      </c>
      <c r="C295" t="s">
        <v>161</v>
      </c>
      <c r="D295" t="s">
        <v>28</v>
      </c>
      <c r="E295" t="s">
        <v>58</v>
      </c>
      <c r="F295">
        <v>110.23</v>
      </c>
      <c r="G295">
        <v>109.23</v>
      </c>
      <c r="H295">
        <f>Tabla1[[#This Row],[Entry Price]]-(Tabla1[[#This Row],[Entry Price]]-Tabla1[[#This Row],[Initial Stop]])/2</f>
        <v>109.73</v>
      </c>
      <c r="I295">
        <v>8</v>
      </c>
      <c r="J295">
        <f t="shared" ref="J295:J302" si="71">IF(D295="Long",(F295-G295)*I295,(G295-F295)*0)</f>
        <v>8</v>
      </c>
      <c r="K295">
        <v>1</v>
      </c>
      <c r="L295">
        <f t="shared" ref="L295:L302" si="72">J295*K295</f>
        <v>8</v>
      </c>
      <c r="M295" t="s">
        <v>72</v>
      </c>
      <c r="N295">
        <f>SUMIF(Executions!B:B,A295,Executions!H:H)</f>
        <v>-2.8799999999999955</v>
      </c>
      <c r="O295">
        <f t="shared" si="57"/>
        <v>-0.35999999999999943</v>
      </c>
      <c r="P295">
        <f>Tabla1[[#This Row],[Initial Risk $]]/Tabla1[[#This Row],[Position Size (shares)]]+Tabla1[[#This Row],[Entry Price]]</f>
        <v>111.23</v>
      </c>
      <c r="Q295">
        <f>Tabla1[[#This Row],[Initial Risk $]]/Tabla1[[#This Row],[Position Size (shares)]]*1.5+Tabla1[[#This Row],[Entry Price]]</f>
        <v>111.73</v>
      </c>
      <c r="R295">
        <f>Tabla1[[#This Row],[Initial Risk $]]/Tabla1[[#This Row],[Position Size (shares)]]*2+Tabla1[[#This Row],[Entry Price]]</f>
        <v>112.23</v>
      </c>
      <c r="S295">
        <f>Tabla1[[#This Row],[Initial Risk $]]/Tabla1[[#This Row],[Position Size (shares)]]*2.5+Tabla1[[#This Row],[Entry Price]]</f>
        <v>112.73</v>
      </c>
      <c r="T295">
        <f>Tabla1[[#This Row],[Initial Risk $]]/Tabla1[[#This Row],[Position Size (shares)]]*3+Tabla1[[#This Row],[Entry Price]]</f>
        <v>113.23</v>
      </c>
    </row>
    <row r="296" spans="1:20" customFormat="1" hidden="1" x14ac:dyDescent="0.25">
      <c r="A296" t="str">
        <f t="shared" si="70"/>
        <v>T-295</v>
      </c>
      <c r="B296" s="1">
        <v>46181</v>
      </c>
      <c r="C296" t="s">
        <v>417</v>
      </c>
      <c r="D296" t="s">
        <v>28</v>
      </c>
      <c r="E296" t="s">
        <v>119</v>
      </c>
      <c r="F296">
        <v>567.03</v>
      </c>
      <c r="G296">
        <v>561.03</v>
      </c>
      <c r="H296">
        <f>Tabla1[[#This Row],[Entry Price]]-(Tabla1[[#This Row],[Entry Price]]-Tabla1[[#This Row],[Initial Stop]])/2</f>
        <v>564.03</v>
      </c>
      <c r="I296">
        <v>2</v>
      </c>
      <c r="J296">
        <f t="shared" si="71"/>
        <v>12</v>
      </c>
      <c r="K296">
        <v>1</v>
      </c>
      <c r="L296">
        <f t="shared" si="72"/>
        <v>12</v>
      </c>
      <c r="M296" t="s">
        <v>72</v>
      </c>
      <c r="N296">
        <f>SUMIF(Executions!B:B,A296,Executions!H:H)</f>
        <v>-10.319999999999936</v>
      </c>
      <c r="O296">
        <f t="shared" si="57"/>
        <v>-0.85999999999999466</v>
      </c>
      <c r="P296">
        <f>Tabla1[[#This Row],[Initial Risk $]]/Tabla1[[#This Row],[Position Size (shares)]]+Tabla1[[#This Row],[Entry Price]]</f>
        <v>573.03</v>
      </c>
      <c r="Q296">
        <f>Tabla1[[#This Row],[Initial Risk $]]/Tabla1[[#This Row],[Position Size (shares)]]*1.5+Tabla1[[#This Row],[Entry Price]]</f>
        <v>576.03</v>
      </c>
      <c r="R296">
        <f>Tabla1[[#This Row],[Initial Risk $]]/Tabla1[[#This Row],[Position Size (shares)]]*2+Tabla1[[#This Row],[Entry Price]]</f>
        <v>579.03</v>
      </c>
      <c r="S296">
        <f>Tabla1[[#This Row],[Initial Risk $]]/Tabla1[[#This Row],[Position Size (shares)]]*2.5+Tabla1[[#This Row],[Entry Price]]</f>
        <v>582.03</v>
      </c>
      <c r="T296">
        <f>Tabla1[[#This Row],[Initial Risk $]]/Tabla1[[#This Row],[Position Size (shares)]]*3+Tabla1[[#This Row],[Entry Price]]</f>
        <v>585.03</v>
      </c>
    </row>
    <row r="297" spans="1:20" customFormat="1" hidden="1" x14ac:dyDescent="0.25">
      <c r="A297" t="str">
        <f t="shared" si="70"/>
        <v>T-296</v>
      </c>
      <c r="B297" s="1">
        <v>46181</v>
      </c>
      <c r="C297" t="s">
        <v>417</v>
      </c>
      <c r="D297" t="s">
        <v>28</v>
      </c>
      <c r="E297" t="s">
        <v>119</v>
      </c>
      <c r="F297">
        <v>563.76</v>
      </c>
      <c r="G297">
        <v>561.26</v>
      </c>
      <c r="H297">
        <f>Tabla1[[#This Row],[Entry Price]]-(Tabla1[[#This Row],[Entry Price]]-Tabla1[[#This Row],[Initial Stop]])/2</f>
        <v>562.51</v>
      </c>
      <c r="I297">
        <v>2</v>
      </c>
      <c r="J297">
        <f t="shared" si="71"/>
        <v>5</v>
      </c>
      <c r="K297">
        <v>1</v>
      </c>
      <c r="L297">
        <f t="shared" si="72"/>
        <v>5</v>
      </c>
      <c r="M297" t="s">
        <v>72</v>
      </c>
      <c r="N297">
        <f>SUMIF(Executions!B:B,A297,Executions!H:H)</f>
        <v>3.2799999999999727</v>
      </c>
      <c r="O297">
        <f t="shared" si="57"/>
        <v>0.65599999999999459</v>
      </c>
      <c r="P297">
        <f>Tabla1[[#This Row],[Initial Risk $]]/Tabla1[[#This Row],[Position Size (shares)]]+Tabla1[[#This Row],[Entry Price]]</f>
        <v>566.26</v>
      </c>
      <c r="Q297">
        <f>Tabla1[[#This Row],[Initial Risk $]]/Tabla1[[#This Row],[Position Size (shares)]]*1.5+Tabla1[[#This Row],[Entry Price]]</f>
        <v>567.51</v>
      </c>
      <c r="R297">
        <f>Tabla1[[#This Row],[Initial Risk $]]/Tabla1[[#This Row],[Position Size (shares)]]*2+Tabla1[[#This Row],[Entry Price]]</f>
        <v>568.76</v>
      </c>
      <c r="S297">
        <f>Tabla1[[#This Row],[Initial Risk $]]/Tabla1[[#This Row],[Position Size (shares)]]*2.5+Tabla1[[#This Row],[Entry Price]]</f>
        <v>570.01</v>
      </c>
      <c r="T297">
        <f>Tabla1[[#This Row],[Initial Risk $]]/Tabla1[[#This Row],[Position Size (shares)]]*3+Tabla1[[#This Row],[Entry Price]]</f>
        <v>571.26</v>
      </c>
    </row>
    <row r="298" spans="1:20" customFormat="1" hidden="1" x14ac:dyDescent="0.25">
      <c r="A298" t="str">
        <f t="shared" si="70"/>
        <v>T-297</v>
      </c>
      <c r="B298" s="1">
        <v>46181</v>
      </c>
      <c r="C298" t="s">
        <v>164</v>
      </c>
      <c r="D298" t="s">
        <v>28</v>
      </c>
      <c r="E298" t="s">
        <v>58</v>
      </c>
      <c r="F298">
        <v>209.3</v>
      </c>
      <c r="G298">
        <v>208.01</v>
      </c>
      <c r="H298">
        <f>Tabla1[[#This Row],[Entry Price]]-(Tabla1[[#This Row],[Entry Price]]-Tabla1[[#This Row],[Initial Stop]])/2</f>
        <v>208.655</v>
      </c>
      <c r="I298">
        <v>4</v>
      </c>
      <c r="J298">
        <f t="shared" si="71"/>
        <v>5.1600000000000819</v>
      </c>
      <c r="K298">
        <v>1</v>
      </c>
      <c r="L298">
        <f t="shared" si="72"/>
        <v>5.1600000000000819</v>
      </c>
      <c r="M298" t="s">
        <v>72</v>
      </c>
      <c r="N298">
        <f>SUMIF(Executions!B:B,A298,Executions!H:H)</f>
        <v>-5.0800000000000409</v>
      </c>
      <c r="O298">
        <f t="shared" si="57"/>
        <v>-0.98449612403100006</v>
      </c>
      <c r="P298">
        <f>Tabla1[[#This Row],[Initial Risk $]]/Tabla1[[#This Row],[Position Size (shares)]]+Tabla1[[#This Row],[Entry Price]]</f>
        <v>210.59000000000003</v>
      </c>
      <c r="Q298">
        <f>Tabla1[[#This Row],[Initial Risk $]]/Tabla1[[#This Row],[Position Size (shares)]]*1.5+Tabla1[[#This Row],[Entry Price]]</f>
        <v>211.23500000000004</v>
      </c>
      <c r="R298">
        <f>Tabla1[[#This Row],[Initial Risk $]]/Tabla1[[#This Row],[Position Size (shares)]]*2+Tabla1[[#This Row],[Entry Price]]</f>
        <v>211.88000000000005</v>
      </c>
      <c r="S298">
        <f>Tabla1[[#This Row],[Initial Risk $]]/Tabla1[[#This Row],[Position Size (shares)]]*2.5+Tabla1[[#This Row],[Entry Price]]</f>
        <v>212.52500000000006</v>
      </c>
      <c r="T298">
        <f>Tabla1[[#This Row],[Initial Risk $]]/Tabla1[[#This Row],[Position Size (shares)]]*3+Tabla1[[#This Row],[Entry Price]]</f>
        <v>213.17000000000007</v>
      </c>
    </row>
    <row r="299" spans="1:20" customFormat="1" hidden="1" x14ac:dyDescent="0.25">
      <c r="A299" t="str">
        <f t="shared" si="70"/>
        <v>T-298</v>
      </c>
      <c r="B299" s="1">
        <v>46181</v>
      </c>
      <c r="C299" t="s">
        <v>161</v>
      </c>
      <c r="D299" t="s">
        <v>28</v>
      </c>
      <c r="E299" t="s">
        <v>119</v>
      </c>
      <c r="F299">
        <v>108.66</v>
      </c>
      <c r="G299">
        <v>107.36</v>
      </c>
      <c r="H299">
        <f>Tabla1[[#This Row],[Entry Price]]-(Tabla1[[#This Row],[Entry Price]]-Tabla1[[#This Row],[Initial Stop]])/2</f>
        <v>108.00999999999999</v>
      </c>
      <c r="I299">
        <v>8</v>
      </c>
      <c r="J299">
        <f t="shared" si="71"/>
        <v>10.399999999999977</v>
      </c>
      <c r="K299">
        <v>1</v>
      </c>
      <c r="L299">
        <f t="shared" si="72"/>
        <v>10.399999999999977</v>
      </c>
      <c r="M299" t="s">
        <v>72</v>
      </c>
      <c r="N299">
        <f>SUMIF(Executions!B:B,A299,Executions!H:H)</f>
        <v>-10.399999999999977</v>
      </c>
      <c r="O299">
        <f t="shared" si="57"/>
        <v>-1</v>
      </c>
      <c r="P299">
        <f>Tabla1[[#This Row],[Initial Risk $]]/Tabla1[[#This Row],[Position Size (shares)]]+Tabla1[[#This Row],[Entry Price]]</f>
        <v>109.96</v>
      </c>
      <c r="Q299">
        <f>Tabla1[[#This Row],[Initial Risk $]]/Tabla1[[#This Row],[Position Size (shares)]]*1.5+Tabla1[[#This Row],[Entry Price]]</f>
        <v>110.60999999999999</v>
      </c>
      <c r="R299">
        <f>Tabla1[[#This Row],[Initial Risk $]]/Tabla1[[#This Row],[Position Size (shares)]]*2+Tabla1[[#This Row],[Entry Price]]</f>
        <v>111.25999999999999</v>
      </c>
      <c r="S299">
        <f>Tabla1[[#This Row],[Initial Risk $]]/Tabla1[[#This Row],[Position Size (shares)]]*2.5+Tabla1[[#This Row],[Entry Price]]</f>
        <v>111.91</v>
      </c>
      <c r="T299">
        <f>Tabla1[[#This Row],[Initial Risk $]]/Tabla1[[#This Row],[Position Size (shares)]]*3+Tabla1[[#This Row],[Entry Price]]</f>
        <v>112.55999999999999</v>
      </c>
    </row>
    <row r="300" spans="1:20" customFormat="1" hidden="1" x14ac:dyDescent="0.25">
      <c r="A300" t="str">
        <f t="shared" si="70"/>
        <v>T-299</v>
      </c>
      <c r="B300" s="1">
        <v>46181</v>
      </c>
      <c r="C300" t="s">
        <v>486</v>
      </c>
      <c r="D300" t="s">
        <v>28</v>
      </c>
      <c r="E300" t="s">
        <v>58</v>
      </c>
      <c r="F300">
        <v>402.33</v>
      </c>
      <c r="G300">
        <v>399.19</v>
      </c>
      <c r="H300">
        <f>Tabla1[[#This Row],[Entry Price]]-(Tabla1[[#This Row],[Entry Price]]-Tabla1[[#This Row],[Initial Stop]])/2</f>
        <v>400.76</v>
      </c>
      <c r="I300">
        <v>3</v>
      </c>
      <c r="J300">
        <f t="shared" si="71"/>
        <v>9.4199999999999591</v>
      </c>
      <c r="K300">
        <v>1</v>
      </c>
      <c r="L300">
        <f t="shared" si="72"/>
        <v>9.4199999999999591</v>
      </c>
      <c r="M300" t="s">
        <v>72</v>
      </c>
      <c r="N300">
        <f>SUMIF(Executions!B:B,A300,Executions!H:H)</f>
        <v>-6.5400000000000205</v>
      </c>
      <c r="O300">
        <f t="shared" si="57"/>
        <v>-0.69426751592357205</v>
      </c>
      <c r="P300">
        <f>Tabla1[[#This Row],[Initial Risk $]]/Tabla1[[#This Row],[Position Size (shares)]]+Tabla1[[#This Row],[Entry Price]]</f>
        <v>405.46999999999997</v>
      </c>
      <c r="Q300">
        <f>Tabla1[[#This Row],[Initial Risk $]]/Tabla1[[#This Row],[Position Size (shares)]]*1.5+Tabla1[[#This Row],[Entry Price]]</f>
        <v>407.03999999999996</v>
      </c>
      <c r="R300">
        <f>Tabla1[[#This Row],[Initial Risk $]]/Tabla1[[#This Row],[Position Size (shares)]]*2+Tabla1[[#This Row],[Entry Price]]</f>
        <v>408.60999999999996</v>
      </c>
      <c r="S300">
        <f>Tabla1[[#This Row],[Initial Risk $]]/Tabla1[[#This Row],[Position Size (shares)]]*2.5+Tabla1[[#This Row],[Entry Price]]</f>
        <v>410.17999999999995</v>
      </c>
      <c r="T300">
        <f>Tabla1[[#This Row],[Initial Risk $]]/Tabla1[[#This Row],[Position Size (shares)]]*3+Tabla1[[#This Row],[Entry Price]]</f>
        <v>411.74999999999994</v>
      </c>
    </row>
    <row r="301" spans="1:20" customFormat="1" hidden="1" x14ac:dyDescent="0.25">
      <c r="A301" t="str">
        <f t="shared" si="70"/>
        <v>T-300</v>
      </c>
      <c r="B301" s="1">
        <v>46181</v>
      </c>
      <c r="C301" t="s">
        <v>193</v>
      </c>
      <c r="D301" t="s">
        <v>28</v>
      </c>
      <c r="E301" t="s">
        <v>58</v>
      </c>
      <c r="F301">
        <v>289.67</v>
      </c>
      <c r="G301">
        <v>286.17</v>
      </c>
      <c r="H301">
        <f>Tabla1[[#This Row],[Entry Price]]-(Tabla1[[#This Row],[Entry Price]]-Tabla1[[#This Row],[Initial Stop]])/2</f>
        <v>287.92</v>
      </c>
      <c r="I301">
        <v>3</v>
      </c>
      <c r="J301">
        <f t="shared" si="71"/>
        <v>10.5</v>
      </c>
      <c r="K301">
        <v>1</v>
      </c>
      <c r="L301">
        <f t="shared" si="72"/>
        <v>10.5</v>
      </c>
      <c r="M301" t="s">
        <v>72</v>
      </c>
      <c r="N301">
        <f>SUMIF(Executions!B:B,A301,Executions!H:H)</f>
        <v>12.269999999999925</v>
      </c>
      <c r="O301">
        <f t="shared" si="57"/>
        <v>1.1685714285714215</v>
      </c>
      <c r="P301">
        <f>Tabla1[[#This Row],[Initial Risk $]]/Tabla1[[#This Row],[Position Size (shares)]]+Tabla1[[#This Row],[Entry Price]]</f>
        <v>293.17</v>
      </c>
      <c r="Q301">
        <f>Tabla1[[#This Row],[Initial Risk $]]/Tabla1[[#This Row],[Position Size (shares)]]*1.5+Tabla1[[#This Row],[Entry Price]]</f>
        <v>294.92</v>
      </c>
      <c r="R301">
        <f>Tabla1[[#This Row],[Initial Risk $]]/Tabla1[[#This Row],[Position Size (shares)]]*2+Tabla1[[#This Row],[Entry Price]]</f>
        <v>296.67</v>
      </c>
      <c r="S301">
        <f>Tabla1[[#This Row],[Initial Risk $]]/Tabla1[[#This Row],[Position Size (shares)]]*2.5+Tabla1[[#This Row],[Entry Price]]</f>
        <v>298.42</v>
      </c>
      <c r="T301">
        <f>Tabla1[[#This Row],[Initial Risk $]]/Tabla1[[#This Row],[Position Size (shares)]]*3+Tabla1[[#This Row],[Entry Price]]</f>
        <v>300.17</v>
      </c>
    </row>
    <row r="302" spans="1:20" customFormat="1" hidden="1" x14ac:dyDescent="0.25">
      <c r="A302" t="str">
        <f t="shared" si="70"/>
        <v>T-301</v>
      </c>
      <c r="B302" s="1">
        <v>46181</v>
      </c>
      <c r="C302" t="s">
        <v>491</v>
      </c>
      <c r="D302" t="s">
        <v>28</v>
      </c>
      <c r="E302" t="s">
        <v>58</v>
      </c>
      <c r="F302">
        <v>4.03</v>
      </c>
      <c r="G302">
        <v>3.93</v>
      </c>
      <c r="H302">
        <f>Tabla1[[#This Row],[Entry Price]]-(Tabla1[[#This Row],[Entry Price]]-Tabla1[[#This Row],[Initial Stop]])/2</f>
        <v>3.9800000000000004</v>
      </c>
      <c r="I302">
        <v>50</v>
      </c>
      <c r="J302">
        <f t="shared" si="71"/>
        <v>5.0000000000000044</v>
      </c>
      <c r="K302">
        <v>1</v>
      </c>
      <c r="L302">
        <f t="shared" si="72"/>
        <v>5.0000000000000044</v>
      </c>
      <c r="M302" t="s">
        <v>72</v>
      </c>
      <c r="N302">
        <f>SUMIF(Executions!B:B,A302,Executions!H:H)</f>
        <v>-5.0000000000000044</v>
      </c>
      <c r="O302">
        <f t="shared" si="57"/>
        <v>-1</v>
      </c>
      <c r="P302">
        <f>Tabla1[[#This Row],[Initial Risk $]]/Tabla1[[#This Row],[Position Size (shares)]]+Tabla1[[#This Row],[Entry Price]]</f>
        <v>4.1300000000000008</v>
      </c>
      <c r="Q302">
        <f>Tabla1[[#This Row],[Initial Risk $]]/Tabla1[[#This Row],[Position Size (shares)]]*1.5+Tabla1[[#This Row],[Entry Price]]</f>
        <v>4.1800000000000006</v>
      </c>
      <c r="R302">
        <f>Tabla1[[#This Row],[Initial Risk $]]/Tabla1[[#This Row],[Position Size (shares)]]*2+Tabla1[[#This Row],[Entry Price]]</f>
        <v>4.2300000000000004</v>
      </c>
      <c r="S302">
        <f>Tabla1[[#This Row],[Initial Risk $]]/Tabla1[[#This Row],[Position Size (shares)]]*2.5+Tabla1[[#This Row],[Entry Price]]</f>
        <v>4.28</v>
      </c>
      <c r="T302">
        <f>Tabla1[[#This Row],[Initial Risk $]]/Tabla1[[#This Row],[Position Size (shares)]]*3+Tabla1[[#This Row],[Entry Price]]</f>
        <v>4.33</v>
      </c>
    </row>
    <row r="303" spans="1:20" customFormat="1" hidden="1" x14ac:dyDescent="0.25">
      <c r="A303" t="str">
        <f t="shared" ref="A303:A310" si="73">"T-"&amp; TEXT(ROW()-1,"000")</f>
        <v>T-302</v>
      </c>
      <c r="B303" s="1">
        <v>46182</v>
      </c>
      <c r="C303" t="s">
        <v>193</v>
      </c>
      <c r="D303" t="s">
        <v>28</v>
      </c>
      <c r="E303" t="s">
        <v>58</v>
      </c>
      <c r="F303">
        <v>286.91000000000003</v>
      </c>
      <c r="G303">
        <v>280.91000000000003</v>
      </c>
      <c r="H303">
        <f>Tabla1[[#This Row],[Entry Price]]-(Tabla1[[#This Row],[Entry Price]]-Tabla1[[#This Row],[Initial Stop]])/2</f>
        <v>283.91000000000003</v>
      </c>
      <c r="I303">
        <v>5</v>
      </c>
      <c r="J303">
        <f t="shared" ref="J303:J310" si="74">IF(D303="Long",(F303-G303)*I303,(G303-F303)*0)</f>
        <v>30</v>
      </c>
      <c r="K303">
        <v>1</v>
      </c>
      <c r="L303">
        <f t="shared" ref="L303:L310" si="75">J303*K303</f>
        <v>30</v>
      </c>
      <c r="M303" t="s">
        <v>72</v>
      </c>
      <c r="N303">
        <f>SUMIF(Executions!B:B,A303,Executions!H:H)</f>
        <v>-155.00000000000014</v>
      </c>
      <c r="O303">
        <f t="shared" si="57"/>
        <v>-5.1666666666666714</v>
      </c>
      <c r="P303">
        <f>Tabla1[[#This Row],[Initial Risk $]]/Tabla1[[#This Row],[Position Size (shares)]]+Tabla1[[#This Row],[Entry Price]]</f>
        <v>292.91000000000003</v>
      </c>
      <c r="Q303">
        <f>Tabla1[[#This Row],[Initial Risk $]]/Tabla1[[#This Row],[Position Size (shares)]]*1.5+Tabla1[[#This Row],[Entry Price]]</f>
        <v>295.91000000000003</v>
      </c>
      <c r="R303">
        <f>Tabla1[[#This Row],[Initial Risk $]]/Tabla1[[#This Row],[Position Size (shares)]]*2+Tabla1[[#This Row],[Entry Price]]</f>
        <v>298.91000000000003</v>
      </c>
      <c r="S303">
        <f>Tabla1[[#This Row],[Initial Risk $]]/Tabla1[[#This Row],[Position Size (shares)]]*2.5+Tabla1[[#This Row],[Entry Price]]</f>
        <v>301.91000000000003</v>
      </c>
      <c r="T303">
        <f>Tabla1[[#This Row],[Initial Risk $]]/Tabla1[[#This Row],[Position Size (shares)]]*3+Tabla1[[#This Row],[Entry Price]]</f>
        <v>304.91000000000003</v>
      </c>
    </row>
    <row r="304" spans="1:20" customFormat="1" hidden="1" x14ac:dyDescent="0.25">
      <c r="A304" t="str">
        <f t="shared" si="73"/>
        <v>T-303</v>
      </c>
      <c r="B304" s="1">
        <v>46182</v>
      </c>
      <c r="C304" t="s">
        <v>494</v>
      </c>
      <c r="D304" t="s">
        <v>28</v>
      </c>
      <c r="E304" t="s">
        <v>119</v>
      </c>
      <c r="F304">
        <v>593.70000000000005</v>
      </c>
      <c r="G304">
        <v>590.70000000000005</v>
      </c>
      <c r="H304">
        <f>Tabla1[[#This Row],[Entry Price]]-(Tabla1[[#This Row],[Entry Price]]-Tabla1[[#This Row],[Initial Stop]])/2</f>
        <v>592.20000000000005</v>
      </c>
      <c r="I304">
        <v>2</v>
      </c>
      <c r="J304">
        <f t="shared" si="74"/>
        <v>6</v>
      </c>
      <c r="K304">
        <v>1</v>
      </c>
      <c r="L304">
        <f t="shared" si="75"/>
        <v>6</v>
      </c>
      <c r="M304" t="s">
        <v>72</v>
      </c>
      <c r="N304">
        <f>SUMIF(Executions!B:B,A304,Executions!H:H)</f>
        <v>-6.1400000000001</v>
      </c>
      <c r="O304">
        <f t="shared" si="57"/>
        <v>-1.0233333333333501</v>
      </c>
      <c r="P304">
        <f>Tabla1[[#This Row],[Initial Risk $]]/Tabla1[[#This Row],[Position Size (shares)]]+Tabla1[[#This Row],[Entry Price]]</f>
        <v>596.70000000000005</v>
      </c>
      <c r="Q304">
        <f>Tabla1[[#This Row],[Initial Risk $]]/Tabla1[[#This Row],[Position Size (shares)]]*1.5+Tabla1[[#This Row],[Entry Price]]</f>
        <v>598.20000000000005</v>
      </c>
      <c r="R304">
        <f>Tabla1[[#This Row],[Initial Risk $]]/Tabla1[[#This Row],[Position Size (shares)]]*2+Tabla1[[#This Row],[Entry Price]]</f>
        <v>599.70000000000005</v>
      </c>
      <c r="S304">
        <f>Tabla1[[#This Row],[Initial Risk $]]/Tabla1[[#This Row],[Position Size (shares)]]*2.5+Tabla1[[#This Row],[Entry Price]]</f>
        <v>601.20000000000005</v>
      </c>
      <c r="T304">
        <f>Tabla1[[#This Row],[Initial Risk $]]/Tabla1[[#This Row],[Position Size (shares)]]*3+Tabla1[[#This Row],[Entry Price]]</f>
        <v>602.70000000000005</v>
      </c>
    </row>
    <row r="305" spans="1:20" customFormat="1" hidden="1" x14ac:dyDescent="0.25">
      <c r="A305" t="str">
        <f t="shared" si="73"/>
        <v>T-304</v>
      </c>
      <c r="B305" s="1">
        <v>46182</v>
      </c>
      <c r="C305" t="s">
        <v>495</v>
      </c>
      <c r="D305" t="s">
        <v>28</v>
      </c>
      <c r="E305" t="s">
        <v>58</v>
      </c>
      <c r="F305">
        <v>359.74</v>
      </c>
      <c r="G305">
        <v>356.74</v>
      </c>
      <c r="H305">
        <f>Tabla1[[#This Row],[Entry Price]]-(Tabla1[[#This Row],[Entry Price]]-Tabla1[[#This Row],[Initial Stop]])/2</f>
        <v>358.24</v>
      </c>
      <c r="I305">
        <v>3</v>
      </c>
      <c r="J305">
        <f t="shared" si="74"/>
        <v>9</v>
      </c>
      <c r="K305">
        <v>1</v>
      </c>
      <c r="L305">
        <f t="shared" si="75"/>
        <v>9</v>
      </c>
      <c r="M305" t="s">
        <v>72</v>
      </c>
      <c r="N305">
        <f>SUMIF(Executions!B:B,A305,Executions!H:H)</f>
        <v>-10.020000000000095</v>
      </c>
      <c r="O305">
        <f t="shared" si="57"/>
        <v>-1.1133333333333439</v>
      </c>
      <c r="P305">
        <f>Tabla1[[#This Row],[Initial Risk $]]/Tabla1[[#This Row],[Position Size (shares)]]+Tabla1[[#This Row],[Entry Price]]</f>
        <v>362.74</v>
      </c>
      <c r="Q305">
        <f>Tabla1[[#This Row],[Initial Risk $]]/Tabla1[[#This Row],[Position Size (shares)]]*1.5+Tabla1[[#This Row],[Entry Price]]</f>
        <v>364.24</v>
      </c>
      <c r="R305">
        <f>Tabla1[[#This Row],[Initial Risk $]]/Tabla1[[#This Row],[Position Size (shares)]]*2+Tabla1[[#This Row],[Entry Price]]</f>
        <v>365.74</v>
      </c>
      <c r="S305">
        <f>Tabla1[[#This Row],[Initial Risk $]]/Tabla1[[#This Row],[Position Size (shares)]]*2.5+Tabla1[[#This Row],[Entry Price]]</f>
        <v>367.24</v>
      </c>
      <c r="T305">
        <f>Tabla1[[#This Row],[Initial Risk $]]/Tabla1[[#This Row],[Position Size (shares)]]*3+Tabla1[[#This Row],[Entry Price]]</f>
        <v>368.74</v>
      </c>
    </row>
    <row r="306" spans="1:20" customFormat="1" hidden="1" x14ac:dyDescent="0.25">
      <c r="A306" t="str">
        <f t="shared" si="73"/>
        <v>T-305</v>
      </c>
      <c r="B306" s="1">
        <v>46182</v>
      </c>
      <c r="C306" t="s">
        <v>279</v>
      </c>
      <c r="D306" t="s">
        <v>28</v>
      </c>
      <c r="E306" t="s">
        <v>58</v>
      </c>
      <c r="F306">
        <v>979.66</v>
      </c>
      <c r="G306">
        <v>967.66</v>
      </c>
      <c r="H306">
        <f>Tabla1[[#This Row],[Entry Price]]-(Tabla1[[#This Row],[Entry Price]]-Tabla1[[#This Row],[Initial Stop]])/2</f>
        <v>973.66</v>
      </c>
      <c r="I306">
        <v>1</v>
      </c>
      <c r="J306">
        <f t="shared" si="74"/>
        <v>12</v>
      </c>
      <c r="K306">
        <v>1</v>
      </c>
      <c r="L306">
        <f t="shared" si="75"/>
        <v>12</v>
      </c>
      <c r="M306" t="s">
        <v>72</v>
      </c>
      <c r="N306">
        <f>SUMIF(Executions!B:B,A306,Executions!H:H)</f>
        <v>-11.75</v>
      </c>
      <c r="O306">
        <f t="shared" si="57"/>
        <v>-0.97916666666666663</v>
      </c>
      <c r="P306">
        <f>Tabla1[[#This Row],[Initial Risk $]]/Tabla1[[#This Row],[Position Size (shares)]]+Tabla1[[#This Row],[Entry Price]]</f>
        <v>991.66</v>
      </c>
      <c r="Q306">
        <f>Tabla1[[#This Row],[Initial Risk $]]/Tabla1[[#This Row],[Position Size (shares)]]*1.5+Tabla1[[#This Row],[Entry Price]]</f>
        <v>997.66</v>
      </c>
      <c r="R306">
        <f>Tabla1[[#This Row],[Initial Risk $]]/Tabla1[[#This Row],[Position Size (shares)]]*2+Tabla1[[#This Row],[Entry Price]]</f>
        <v>1003.66</v>
      </c>
      <c r="S306">
        <f>Tabla1[[#This Row],[Initial Risk $]]/Tabla1[[#This Row],[Position Size (shares)]]*2.5+Tabla1[[#This Row],[Entry Price]]</f>
        <v>1009.66</v>
      </c>
      <c r="T306">
        <f>Tabla1[[#This Row],[Initial Risk $]]/Tabla1[[#This Row],[Position Size (shares)]]*3+Tabla1[[#This Row],[Entry Price]]</f>
        <v>1015.66</v>
      </c>
    </row>
    <row r="307" spans="1:20" customFormat="1" hidden="1" x14ac:dyDescent="0.25">
      <c r="A307" t="str">
        <f t="shared" si="73"/>
        <v>T-306</v>
      </c>
      <c r="B307" s="1">
        <v>46182</v>
      </c>
      <c r="C307" t="s">
        <v>164</v>
      </c>
      <c r="D307" t="s">
        <v>28</v>
      </c>
      <c r="E307" t="s">
        <v>58</v>
      </c>
      <c r="F307">
        <v>210.41</v>
      </c>
      <c r="G307">
        <v>209.41</v>
      </c>
      <c r="H307">
        <f>Tabla1[[#This Row],[Entry Price]]-(Tabla1[[#This Row],[Entry Price]]-Tabla1[[#This Row],[Initial Stop]])/2</f>
        <v>209.91</v>
      </c>
      <c r="I307">
        <v>4</v>
      </c>
      <c r="J307">
        <f t="shared" si="74"/>
        <v>4</v>
      </c>
      <c r="K307">
        <v>1</v>
      </c>
      <c r="L307">
        <f t="shared" si="75"/>
        <v>4</v>
      </c>
      <c r="M307" t="s">
        <v>72</v>
      </c>
      <c r="N307">
        <f>SUMIF(Executions!B:B,A307,Executions!H:H)</f>
        <v>-4.1200000000000045</v>
      </c>
      <c r="O307">
        <f t="shared" si="57"/>
        <v>-1.0300000000000011</v>
      </c>
      <c r="P307">
        <f>Tabla1[[#This Row],[Initial Risk $]]/Tabla1[[#This Row],[Position Size (shares)]]+Tabla1[[#This Row],[Entry Price]]</f>
        <v>211.41</v>
      </c>
      <c r="Q307">
        <f>Tabla1[[#This Row],[Initial Risk $]]/Tabla1[[#This Row],[Position Size (shares)]]*1.5+Tabla1[[#This Row],[Entry Price]]</f>
        <v>211.91</v>
      </c>
      <c r="R307">
        <f>Tabla1[[#This Row],[Initial Risk $]]/Tabla1[[#This Row],[Position Size (shares)]]*2+Tabla1[[#This Row],[Entry Price]]</f>
        <v>212.41</v>
      </c>
      <c r="S307">
        <f>Tabla1[[#This Row],[Initial Risk $]]/Tabla1[[#This Row],[Position Size (shares)]]*2.5+Tabla1[[#This Row],[Entry Price]]</f>
        <v>212.91</v>
      </c>
      <c r="T307">
        <f>Tabla1[[#This Row],[Initial Risk $]]/Tabla1[[#This Row],[Position Size (shares)]]*3+Tabla1[[#This Row],[Entry Price]]</f>
        <v>213.41</v>
      </c>
    </row>
    <row r="308" spans="1:20" customFormat="1" hidden="1" x14ac:dyDescent="0.25">
      <c r="A308" t="str">
        <f t="shared" si="73"/>
        <v>T-307</v>
      </c>
      <c r="B308" s="1">
        <v>46182</v>
      </c>
      <c r="C308" t="s">
        <v>186</v>
      </c>
      <c r="D308" t="s">
        <v>28</v>
      </c>
      <c r="E308" t="s">
        <v>58</v>
      </c>
      <c r="F308">
        <v>248.91</v>
      </c>
      <c r="G308">
        <v>247.91</v>
      </c>
      <c r="H308">
        <f>Tabla1[[#This Row],[Entry Price]]-(Tabla1[[#This Row],[Entry Price]]-Tabla1[[#This Row],[Initial Stop]])/2</f>
        <v>248.41</v>
      </c>
      <c r="I308">
        <v>4</v>
      </c>
      <c r="J308">
        <f t="shared" si="74"/>
        <v>4</v>
      </c>
      <c r="K308">
        <v>1</v>
      </c>
      <c r="L308">
        <f t="shared" si="75"/>
        <v>4</v>
      </c>
      <c r="M308" t="s">
        <v>72</v>
      </c>
      <c r="N308">
        <f>SUMIF(Executions!B:B,A308,Executions!H:H)</f>
        <v>-3.7999999999999545</v>
      </c>
      <c r="O308">
        <f t="shared" si="57"/>
        <v>-0.94999999999998863</v>
      </c>
      <c r="P308">
        <f>Tabla1[[#This Row],[Initial Risk $]]/Tabla1[[#This Row],[Position Size (shares)]]+Tabla1[[#This Row],[Entry Price]]</f>
        <v>249.91</v>
      </c>
      <c r="Q308">
        <f>Tabla1[[#This Row],[Initial Risk $]]/Tabla1[[#This Row],[Position Size (shares)]]*1.5+Tabla1[[#This Row],[Entry Price]]</f>
        <v>250.41</v>
      </c>
      <c r="R308">
        <f>Tabla1[[#This Row],[Initial Risk $]]/Tabla1[[#This Row],[Position Size (shares)]]*2+Tabla1[[#This Row],[Entry Price]]</f>
        <v>250.91</v>
      </c>
      <c r="S308">
        <f>Tabla1[[#This Row],[Initial Risk $]]/Tabla1[[#This Row],[Position Size (shares)]]*2.5+Tabla1[[#This Row],[Entry Price]]</f>
        <v>251.41</v>
      </c>
      <c r="T308">
        <f>Tabla1[[#This Row],[Initial Risk $]]/Tabla1[[#This Row],[Position Size (shares)]]*3+Tabla1[[#This Row],[Entry Price]]</f>
        <v>251.91</v>
      </c>
    </row>
    <row r="309" spans="1:20" customFormat="1" hidden="1" x14ac:dyDescent="0.25">
      <c r="A309" t="str">
        <f t="shared" si="73"/>
        <v>T-308</v>
      </c>
      <c r="B309" s="1">
        <v>46182</v>
      </c>
      <c r="C309" t="s">
        <v>161</v>
      </c>
      <c r="D309" t="s">
        <v>28</v>
      </c>
      <c r="E309" t="s">
        <v>119</v>
      </c>
      <c r="F309">
        <v>112.25</v>
      </c>
      <c r="G309">
        <v>111.25</v>
      </c>
      <c r="H309">
        <f>Tabla1[[#This Row],[Entry Price]]-(Tabla1[[#This Row],[Entry Price]]-Tabla1[[#This Row],[Initial Stop]])/2</f>
        <v>111.75</v>
      </c>
      <c r="I309">
        <v>6</v>
      </c>
      <c r="J309">
        <f t="shared" si="74"/>
        <v>6</v>
      </c>
      <c r="K309">
        <v>1</v>
      </c>
      <c r="L309">
        <f t="shared" si="75"/>
        <v>6</v>
      </c>
      <c r="M309" t="s">
        <v>72</v>
      </c>
      <c r="N309">
        <f>SUMIF(Executions!B:B,A309,Executions!H:H)</f>
        <v>-6.1199999999999761</v>
      </c>
      <c r="O309">
        <f t="shared" si="57"/>
        <v>-1.019999999999996</v>
      </c>
      <c r="P309">
        <f>Tabla1[[#This Row],[Initial Risk $]]/Tabla1[[#This Row],[Position Size (shares)]]+Tabla1[[#This Row],[Entry Price]]</f>
        <v>113.25</v>
      </c>
      <c r="Q309">
        <f>Tabla1[[#This Row],[Initial Risk $]]/Tabla1[[#This Row],[Position Size (shares)]]*1.5+Tabla1[[#This Row],[Entry Price]]</f>
        <v>113.75</v>
      </c>
      <c r="R309">
        <f>Tabla1[[#This Row],[Initial Risk $]]/Tabla1[[#This Row],[Position Size (shares)]]*2+Tabla1[[#This Row],[Entry Price]]</f>
        <v>114.25</v>
      </c>
      <c r="S309">
        <f>Tabla1[[#This Row],[Initial Risk $]]/Tabla1[[#This Row],[Position Size (shares)]]*2.5+Tabla1[[#This Row],[Entry Price]]</f>
        <v>114.75</v>
      </c>
      <c r="T309">
        <f>Tabla1[[#This Row],[Initial Risk $]]/Tabla1[[#This Row],[Position Size (shares)]]*3+Tabla1[[#This Row],[Entry Price]]</f>
        <v>115.25</v>
      </c>
    </row>
    <row r="310" spans="1:20" customFormat="1" hidden="1" x14ac:dyDescent="0.25">
      <c r="A310" t="str">
        <f t="shared" si="73"/>
        <v>T-309</v>
      </c>
      <c r="B310" s="1">
        <v>46182</v>
      </c>
      <c r="C310" t="s">
        <v>100</v>
      </c>
      <c r="D310" t="s">
        <v>28</v>
      </c>
      <c r="E310" t="s">
        <v>58</v>
      </c>
      <c r="F310">
        <v>163.72999999999999</v>
      </c>
      <c r="G310">
        <v>162.75</v>
      </c>
      <c r="H310">
        <f>Tabla1[[#This Row],[Entry Price]]-(Tabla1[[#This Row],[Entry Price]]-Tabla1[[#This Row],[Initial Stop]])/2</f>
        <v>163.24</v>
      </c>
      <c r="I310">
        <v>3</v>
      </c>
      <c r="J310">
        <f t="shared" si="74"/>
        <v>2.9399999999999693</v>
      </c>
      <c r="K310">
        <v>1</v>
      </c>
      <c r="L310">
        <f t="shared" si="75"/>
        <v>2.9399999999999693</v>
      </c>
      <c r="M310" t="s">
        <v>72</v>
      </c>
      <c r="N310">
        <f>SUMIF(Executions!B:B,A310,Executions!H:H)</f>
        <v>7.4700000000000273</v>
      </c>
      <c r="O310">
        <f t="shared" si="57"/>
        <v>2.5408163265306483</v>
      </c>
      <c r="P310">
        <f>Tabla1[[#This Row],[Initial Risk $]]/Tabla1[[#This Row],[Position Size (shares)]]+Tabla1[[#This Row],[Entry Price]]</f>
        <v>164.70999999999998</v>
      </c>
      <c r="Q310">
        <f>Tabla1[[#This Row],[Initial Risk $]]/Tabla1[[#This Row],[Position Size (shares)]]*1.5+Tabla1[[#This Row],[Entry Price]]</f>
        <v>165.2</v>
      </c>
      <c r="R310">
        <f>Tabla1[[#This Row],[Initial Risk $]]/Tabla1[[#This Row],[Position Size (shares)]]*2+Tabla1[[#This Row],[Entry Price]]</f>
        <v>165.68999999999997</v>
      </c>
      <c r="S310">
        <f>Tabla1[[#This Row],[Initial Risk $]]/Tabla1[[#This Row],[Position Size (shares)]]*2.5+Tabla1[[#This Row],[Entry Price]]</f>
        <v>166.17999999999995</v>
      </c>
      <c r="T310">
        <f>Tabla1[[#This Row],[Initial Risk $]]/Tabla1[[#This Row],[Position Size (shares)]]*3+Tabla1[[#This Row],[Entry Price]]</f>
        <v>166.66999999999996</v>
      </c>
    </row>
    <row r="311" spans="1:20" customFormat="1" hidden="1" x14ac:dyDescent="0.25">
      <c r="A311" t="str">
        <f t="shared" ref="A311:A319" si="76">"T-"&amp; TEXT(ROW()-1,"000")</f>
        <v>T-310</v>
      </c>
      <c r="B311" s="1">
        <v>46183</v>
      </c>
      <c r="C311" t="s">
        <v>164</v>
      </c>
      <c r="D311" t="s">
        <v>28</v>
      </c>
      <c r="E311" t="s">
        <v>58</v>
      </c>
      <c r="F311">
        <v>206.43</v>
      </c>
      <c r="G311">
        <v>205.23</v>
      </c>
      <c r="H311">
        <f>Tabla1[[#This Row],[Entry Price]]-(Tabla1[[#This Row],[Entry Price]]-Tabla1[[#This Row],[Initial Stop]])/2</f>
        <v>205.82999999999998</v>
      </c>
      <c r="I311">
        <v>4</v>
      </c>
      <c r="J311">
        <f t="shared" ref="J311:J319" si="77">IF(D311="Long",(F311-G311)*I311,(G311-F311)*0)</f>
        <v>4.8000000000000682</v>
      </c>
      <c r="K311">
        <v>1</v>
      </c>
      <c r="L311">
        <f t="shared" ref="L311:L319" si="78">J311*K311</f>
        <v>4.8000000000000682</v>
      </c>
      <c r="M311" t="s">
        <v>72</v>
      </c>
      <c r="N311">
        <f>SUMIF(Executions!B:B,A311,Executions!H:H)</f>
        <v>-3.9600000000000364</v>
      </c>
      <c r="O311">
        <f t="shared" si="57"/>
        <v>-0.82499999999999585</v>
      </c>
      <c r="P311">
        <f>Tabla1[[#This Row],[Initial Risk $]]/Tabla1[[#This Row],[Position Size (shares)]]+Tabla1[[#This Row],[Entry Price]]</f>
        <v>207.63000000000002</v>
      </c>
      <c r="Q311">
        <f>Tabla1[[#This Row],[Initial Risk $]]/Tabla1[[#This Row],[Position Size (shares)]]*1.5+Tabla1[[#This Row],[Entry Price]]</f>
        <v>208.23000000000002</v>
      </c>
      <c r="R311">
        <f>Tabla1[[#This Row],[Initial Risk $]]/Tabla1[[#This Row],[Position Size (shares)]]*2+Tabla1[[#This Row],[Entry Price]]</f>
        <v>208.83000000000004</v>
      </c>
      <c r="S311">
        <f>Tabla1[[#This Row],[Initial Risk $]]/Tabla1[[#This Row],[Position Size (shares)]]*2.5+Tabla1[[#This Row],[Entry Price]]</f>
        <v>209.43000000000006</v>
      </c>
      <c r="T311">
        <f>Tabla1[[#This Row],[Initial Risk $]]/Tabla1[[#This Row],[Position Size (shares)]]*3+Tabla1[[#This Row],[Entry Price]]</f>
        <v>210.03000000000006</v>
      </c>
    </row>
    <row r="312" spans="1:20" customFormat="1" hidden="1" x14ac:dyDescent="0.25">
      <c r="A312" t="str">
        <f t="shared" si="76"/>
        <v>T-311</v>
      </c>
      <c r="B312" s="1">
        <v>46183</v>
      </c>
      <c r="C312" t="s">
        <v>164</v>
      </c>
      <c r="D312" t="s">
        <v>28</v>
      </c>
      <c r="E312" t="s">
        <v>58</v>
      </c>
      <c r="F312">
        <v>206.91</v>
      </c>
      <c r="G312">
        <v>204.91</v>
      </c>
      <c r="H312">
        <f>Tabla1[[#This Row],[Entry Price]]-(Tabla1[[#This Row],[Entry Price]]-Tabla1[[#This Row],[Initial Stop]])/2</f>
        <v>205.91</v>
      </c>
      <c r="I312">
        <v>4</v>
      </c>
      <c r="J312">
        <f t="shared" si="77"/>
        <v>8</v>
      </c>
      <c r="K312">
        <v>1</v>
      </c>
      <c r="L312">
        <f t="shared" si="78"/>
        <v>8</v>
      </c>
      <c r="M312" t="s">
        <v>72</v>
      </c>
      <c r="N312">
        <f>SUMIF(Executions!B:B,A312,Executions!H:H)</f>
        <v>-8.0800000000000409</v>
      </c>
      <c r="O312">
        <f t="shared" si="57"/>
        <v>-1.0100000000000051</v>
      </c>
      <c r="P312">
        <f>Tabla1[[#This Row],[Initial Risk $]]/Tabla1[[#This Row],[Position Size (shares)]]+Tabla1[[#This Row],[Entry Price]]</f>
        <v>208.91</v>
      </c>
      <c r="Q312">
        <f>Tabla1[[#This Row],[Initial Risk $]]/Tabla1[[#This Row],[Position Size (shares)]]*1.5+Tabla1[[#This Row],[Entry Price]]</f>
        <v>209.91</v>
      </c>
      <c r="R312">
        <f>Tabla1[[#This Row],[Initial Risk $]]/Tabla1[[#This Row],[Position Size (shares)]]*2+Tabla1[[#This Row],[Entry Price]]</f>
        <v>210.91</v>
      </c>
      <c r="S312">
        <f>Tabla1[[#This Row],[Initial Risk $]]/Tabla1[[#This Row],[Position Size (shares)]]*2.5+Tabla1[[#This Row],[Entry Price]]</f>
        <v>211.91</v>
      </c>
      <c r="T312">
        <f>Tabla1[[#This Row],[Initial Risk $]]/Tabla1[[#This Row],[Position Size (shares)]]*3+Tabla1[[#This Row],[Entry Price]]</f>
        <v>212.91</v>
      </c>
    </row>
    <row r="313" spans="1:20" customFormat="1" hidden="1" x14ac:dyDescent="0.25">
      <c r="A313" t="str">
        <f t="shared" si="76"/>
        <v>T-312</v>
      </c>
      <c r="B313" s="1">
        <v>46183</v>
      </c>
      <c r="C313" t="s">
        <v>271</v>
      </c>
      <c r="D313" t="s">
        <v>28</v>
      </c>
      <c r="E313" t="s">
        <v>58</v>
      </c>
      <c r="F313">
        <v>511.91</v>
      </c>
      <c r="G313">
        <v>506.91</v>
      </c>
      <c r="H313">
        <f>Tabla1[[#This Row],[Entry Price]]-(Tabla1[[#This Row],[Entry Price]]-Tabla1[[#This Row],[Initial Stop]])/2</f>
        <v>509.41</v>
      </c>
      <c r="I313">
        <v>2</v>
      </c>
      <c r="J313">
        <f t="shared" si="77"/>
        <v>10</v>
      </c>
      <c r="K313">
        <v>1</v>
      </c>
      <c r="L313">
        <f t="shared" si="78"/>
        <v>10</v>
      </c>
      <c r="M313" t="s">
        <v>72</v>
      </c>
      <c r="N313">
        <f>SUMIF(Executions!B:B,A313,Executions!H:H)</f>
        <v>14.79000000000002</v>
      </c>
      <c r="O313">
        <f t="shared" si="57"/>
        <v>1.4790000000000021</v>
      </c>
      <c r="P313">
        <f>Tabla1[[#This Row],[Initial Risk $]]/Tabla1[[#This Row],[Position Size (shares)]]+Tabla1[[#This Row],[Entry Price]]</f>
        <v>516.91000000000008</v>
      </c>
      <c r="Q313">
        <f>Tabla1[[#This Row],[Initial Risk $]]/Tabla1[[#This Row],[Position Size (shares)]]*1.5+Tabla1[[#This Row],[Entry Price]]</f>
        <v>519.41000000000008</v>
      </c>
      <c r="R313">
        <f>Tabla1[[#This Row],[Initial Risk $]]/Tabla1[[#This Row],[Position Size (shares)]]*2+Tabla1[[#This Row],[Entry Price]]</f>
        <v>521.91000000000008</v>
      </c>
      <c r="S313">
        <f>Tabla1[[#This Row],[Initial Risk $]]/Tabla1[[#This Row],[Position Size (shares)]]*2.5+Tabla1[[#This Row],[Entry Price]]</f>
        <v>524.41000000000008</v>
      </c>
      <c r="T313">
        <f>Tabla1[[#This Row],[Initial Risk $]]/Tabla1[[#This Row],[Position Size (shares)]]*3+Tabla1[[#This Row],[Entry Price]]</f>
        <v>526.91000000000008</v>
      </c>
    </row>
    <row r="314" spans="1:20" customFormat="1" hidden="1" x14ac:dyDescent="0.25">
      <c r="A314" t="str">
        <f t="shared" si="76"/>
        <v>T-313</v>
      </c>
      <c r="B314" s="1">
        <v>46183</v>
      </c>
      <c r="C314" t="s">
        <v>130</v>
      </c>
      <c r="D314" t="s">
        <v>28</v>
      </c>
      <c r="E314" t="s">
        <v>58</v>
      </c>
      <c r="F314">
        <v>475.51</v>
      </c>
      <c r="G314">
        <v>470.51</v>
      </c>
      <c r="H314">
        <f>Tabla1[[#This Row],[Entry Price]]-(Tabla1[[#This Row],[Entry Price]]-Tabla1[[#This Row],[Initial Stop]])/2</f>
        <v>473.01</v>
      </c>
      <c r="I314">
        <v>2</v>
      </c>
      <c r="J314">
        <f t="shared" si="77"/>
        <v>10</v>
      </c>
      <c r="K314">
        <v>1</v>
      </c>
      <c r="L314">
        <f t="shared" si="78"/>
        <v>10</v>
      </c>
      <c r="M314" t="s">
        <v>72</v>
      </c>
      <c r="N314">
        <f>SUMIF(Executions!B:B,A314,Executions!H:H)</f>
        <v>-10.399999999999977</v>
      </c>
      <c r="O314">
        <f t="shared" si="57"/>
        <v>-1.0399999999999978</v>
      </c>
      <c r="P314">
        <f>Tabla1[[#This Row],[Initial Risk $]]/Tabla1[[#This Row],[Position Size (shares)]]+Tabla1[[#This Row],[Entry Price]]</f>
        <v>480.51</v>
      </c>
      <c r="Q314">
        <f>Tabla1[[#This Row],[Initial Risk $]]/Tabla1[[#This Row],[Position Size (shares)]]*1.5+Tabla1[[#This Row],[Entry Price]]</f>
        <v>483.01</v>
      </c>
      <c r="R314">
        <f>Tabla1[[#This Row],[Initial Risk $]]/Tabla1[[#This Row],[Position Size (shares)]]*2+Tabla1[[#This Row],[Entry Price]]</f>
        <v>485.51</v>
      </c>
      <c r="S314">
        <f>Tabla1[[#This Row],[Initial Risk $]]/Tabla1[[#This Row],[Position Size (shares)]]*2.5+Tabla1[[#This Row],[Entry Price]]</f>
        <v>488.01</v>
      </c>
      <c r="T314">
        <f>Tabla1[[#This Row],[Initial Risk $]]/Tabla1[[#This Row],[Position Size (shares)]]*3+Tabla1[[#This Row],[Entry Price]]</f>
        <v>490.51</v>
      </c>
    </row>
    <row r="315" spans="1:20" customFormat="1" hidden="1" x14ac:dyDescent="0.25">
      <c r="A315" t="str">
        <f t="shared" si="76"/>
        <v>T-314</v>
      </c>
      <c r="B315" s="1">
        <v>46183</v>
      </c>
      <c r="C315" t="s">
        <v>279</v>
      </c>
      <c r="D315" t="s">
        <v>28</v>
      </c>
      <c r="E315" t="s">
        <v>119</v>
      </c>
      <c r="F315">
        <v>913.93</v>
      </c>
      <c r="G315">
        <v>909.93</v>
      </c>
      <c r="H315">
        <f>Tabla1[[#This Row],[Entry Price]]-(Tabla1[[#This Row],[Entry Price]]-Tabla1[[#This Row],[Initial Stop]])/2</f>
        <v>911.93</v>
      </c>
      <c r="I315">
        <v>1</v>
      </c>
      <c r="J315">
        <f t="shared" si="77"/>
        <v>4</v>
      </c>
      <c r="K315">
        <v>1</v>
      </c>
      <c r="L315">
        <f t="shared" si="78"/>
        <v>4</v>
      </c>
      <c r="M315" t="s">
        <v>72</v>
      </c>
      <c r="N315">
        <f>SUMIF(Executions!B:B,A315,Executions!H:H)</f>
        <v>28.050000000000068</v>
      </c>
      <c r="O315">
        <f t="shared" si="57"/>
        <v>7.0125000000000171</v>
      </c>
      <c r="P315">
        <f>Tabla1[[#This Row],[Initial Risk $]]/Tabla1[[#This Row],[Position Size (shares)]]+Tabla1[[#This Row],[Entry Price]]</f>
        <v>917.93</v>
      </c>
      <c r="Q315">
        <f>Tabla1[[#This Row],[Initial Risk $]]/Tabla1[[#This Row],[Position Size (shares)]]*1.5+Tabla1[[#This Row],[Entry Price]]</f>
        <v>919.93</v>
      </c>
      <c r="R315">
        <f>Tabla1[[#This Row],[Initial Risk $]]/Tabla1[[#This Row],[Position Size (shares)]]*2+Tabla1[[#This Row],[Entry Price]]</f>
        <v>921.93</v>
      </c>
      <c r="S315">
        <f>Tabla1[[#This Row],[Initial Risk $]]/Tabla1[[#This Row],[Position Size (shares)]]*2.5+Tabla1[[#This Row],[Entry Price]]</f>
        <v>923.93</v>
      </c>
      <c r="T315">
        <f>Tabla1[[#This Row],[Initial Risk $]]/Tabla1[[#This Row],[Position Size (shares)]]*3+Tabla1[[#This Row],[Entry Price]]</f>
        <v>925.93</v>
      </c>
    </row>
    <row r="316" spans="1:20" customFormat="1" hidden="1" x14ac:dyDescent="0.25">
      <c r="A316" t="str">
        <f t="shared" si="76"/>
        <v>T-315</v>
      </c>
      <c r="B316" s="1">
        <v>46183</v>
      </c>
      <c r="C316" t="s">
        <v>271</v>
      </c>
      <c r="D316" t="s">
        <v>28</v>
      </c>
      <c r="E316" t="s">
        <v>119</v>
      </c>
      <c r="F316">
        <v>522.04</v>
      </c>
      <c r="G316">
        <v>519.04</v>
      </c>
      <c r="H316">
        <f>Tabla1[[#This Row],[Entry Price]]-(Tabla1[[#This Row],[Entry Price]]-Tabla1[[#This Row],[Initial Stop]])/2</f>
        <v>520.54</v>
      </c>
      <c r="I316">
        <v>2</v>
      </c>
      <c r="J316">
        <f t="shared" si="77"/>
        <v>6</v>
      </c>
      <c r="K316">
        <v>1</v>
      </c>
      <c r="L316">
        <f t="shared" si="78"/>
        <v>6</v>
      </c>
      <c r="M316" t="s">
        <v>72</v>
      </c>
      <c r="N316">
        <f>SUMIF(Executions!B:B,A316,Executions!H:H)</f>
        <v>-6</v>
      </c>
      <c r="O316">
        <f t="shared" si="57"/>
        <v>-1</v>
      </c>
      <c r="P316">
        <f>Tabla1[[#This Row],[Initial Risk $]]/Tabla1[[#This Row],[Position Size (shares)]]+Tabla1[[#This Row],[Entry Price]]</f>
        <v>525.04</v>
      </c>
      <c r="Q316">
        <f>Tabla1[[#This Row],[Initial Risk $]]/Tabla1[[#This Row],[Position Size (shares)]]*1.5+Tabla1[[#This Row],[Entry Price]]</f>
        <v>526.54</v>
      </c>
      <c r="R316">
        <f>Tabla1[[#This Row],[Initial Risk $]]/Tabla1[[#This Row],[Position Size (shares)]]*2+Tabla1[[#This Row],[Entry Price]]</f>
        <v>528.04</v>
      </c>
      <c r="S316">
        <f>Tabla1[[#This Row],[Initial Risk $]]/Tabla1[[#This Row],[Position Size (shares)]]*2.5+Tabla1[[#This Row],[Entry Price]]</f>
        <v>529.54</v>
      </c>
      <c r="T316">
        <f>Tabla1[[#This Row],[Initial Risk $]]/Tabla1[[#This Row],[Position Size (shares)]]*3+Tabla1[[#This Row],[Entry Price]]</f>
        <v>531.04</v>
      </c>
    </row>
    <row r="317" spans="1:20" customFormat="1" hidden="1" x14ac:dyDescent="0.25">
      <c r="A317" t="str">
        <f t="shared" si="76"/>
        <v>T-316</v>
      </c>
      <c r="B317" s="1">
        <v>46183</v>
      </c>
      <c r="C317" t="s">
        <v>279</v>
      </c>
      <c r="D317" t="s">
        <v>28</v>
      </c>
      <c r="E317" t="s">
        <v>119</v>
      </c>
      <c r="F317">
        <v>914.7</v>
      </c>
      <c r="G317">
        <v>906.7</v>
      </c>
      <c r="H317">
        <f>Tabla1[[#This Row],[Entry Price]]-(Tabla1[[#This Row],[Entry Price]]-Tabla1[[#This Row],[Initial Stop]])/2</f>
        <v>910.7</v>
      </c>
      <c r="I317">
        <v>1</v>
      </c>
      <c r="J317">
        <f t="shared" si="77"/>
        <v>8</v>
      </c>
      <c r="K317">
        <v>1</v>
      </c>
      <c r="L317">
        <f t="shared" si="78"/>
        <v>8</v>
      </c>
      <c r="M317" t="s">
        <v>72</v>
      </c>
      <c r="N317">
        <f>SUMIF(Executions!B:B,A317,Executions!H:H)</f>
        <v>-8</v>
      </c>
      <c r="O317">
        <f t="shared" si="57"/>
        <v>-1</v>
      </c>
      <c r="P317">
        <f>Tabla1[[#This Row],[Initial Risk $]]/Tabla1[[#This Row],[Position Size (shares)]]+Tabla1[[#This Row],[Entry Price]]</f>
        <v>922.7</v>
      </c>
      <c r="Q317">
        <f>Tabla1[[#This Row],[Initial Risk $]]/Tabla1[[#This Row],[Position Size (shares)]]*1.5+Tabla1[[#This Row],[Entry Price]]</f>
        <v>926.7</v>
      </c>
      <c r="R317">
        <f>Tabla1[[#This Row],[Initial Risk $]]/Tabla1[[#This Row],[Position Size (shares)]]*2+Tabla1[[#This Row],[Entry Price]]</f>
        <v>930.7</v>
      </c>
      <c r="S317">
        <f>Tabla1[[#This Row],[Initial Risk $]]/Tabla1[[#This Row],[Position Size (shares)]]*2.5+Tabla1[[#This Row],[Entry Price]]</f>
        <v>934.7</v>
      </c>
      <c r="T317">
        <f>Tabla1[[#This Row],[Initial Risk $]]/Tabla1[[#This Row],[Position Size (shares)]]*3+Tabla1[[#This Row],[Entry Price]]</f>
        <v>938.7</v>
      </c>
    </row>
    <row r="318" spans="1:20" customFormat="1" hidden="1" x14ac:dyDescent="0.25">
      <c r="A318" t="str">
        <f t="shared" si="76"/>
        <v>T-317</v>
      </c>
      <c r="B318" s="1">
        <v>46183</v>
      </c>
      <c r="C318" t="s">
        <v>271</v>
      </c>
      <c r="D318" t="s">
        <v>28</v>
      </c>
      <c r="E318" t="s">
        <v>60</v>
      </c>
      <c r="F318">
        <v>505.31</v>
      </c>
      <c r="G318">
        <v>500.31</v>
      </c>
      <c r="H318">
        <f>Tabla1[[#This Row],[Entry Price]]-(Tabla1[[#This Row],[Entry Price]]-Tabla1[[#This Row],[Initial Stop]])/2</f>
        <v>502.81</v>
      </c>
      <c r="I318">
        <v>1</v>
      </c>
      <c r="J318">
        <f t="shared" si="77"/>
        <v>5</v>
      </c>
      <c r="K318">
        <v>1</v>
      </c>
      <c r="L318">
        <f t="shared" si="78"/>
        <v>5</v>
      </c>
      <c r="M318" t="s">
        <v>72</v>
      </c>
      <c r="N318">
        <f>SUMIF(Executions!B:B,A318,Executions!H:H)</f>
        <v>-5.1399999999999864</v>
      </c>
      <c r="O318">
        <f t="shared" si="57"/>
        <v>-1.0279999999999974</v>
      </c>
      <c r="P318">
        <f>Tabla1[[#This Row],[Initial Risk $]]/Tabla1[[#This Row],[Position Size (shares)]]+Tabla1[[#This Row],[Entry Price]]</f>
        <v>510.31</v>
      </c>
      <c r="Q318">
        <f>Tabla1[[#This Row],[Initial Risk $]]/Tabla1[[#This Row],[Position Size (shares)]]*1.5+Tabla1[[#This Row],[Entry Price]]</f>
        <v>512.80999999999995</v>
      </c>
      <c r="R318">
        <f>Tabla1[[#This Row],[Initial Risk $]]/Tabla1[[#This Row],[Position Size (shares)]]*2+Tabla1[[#This Row],[Entry Price]]</f>
        <v>515.30999999999995</v>
      </c>
      <c r="S318">
        <f>Tabla1[[#This Row],[Initial Risk $]]/Tabla1[[#This Row],[Position Size (shares)]]*2.5+Tabla1[[#This Row],[Entry Price]]</f>
        <v>517.80999999999995</v>
      </c>
      <c r="T318">
        <f>Tabla1[[#This Row],[Initial Risk $]]/Tabla1[[#This Row],[Position Size (shares)]]*3+Tabla1[[#This Row],[Entry Price]]</f>
        <v>520.30999999999995</v>
      </c>
    </row>
    <row r="319" spans="1:20" customFormat="1" hidden="1" x14ac:dyDescent="0.25">
      <c r="A319" t="str">
        <f t="shared" si="76"/>
        <v>T-318</v>
      </c>
      <c r="B319" s="1">
        <v>46183</v>
      </c>
      <c r="C319" t="s">
        <v>512</v>
      </c>
      <c r="D319" t="s">
        <v>28</v>
      </c>
      <c r="E319" t="s">
        <v>119</v>
      </c>
      <c r="F319">
        <v>29.07</v>
      </c>
      <c r="G319">
        <v>27.37</v>
      </c>
      <c r="H319">
        <f>Tabla1[[#This Row],[Entry Price]]-(Tabla1[[#This Row],[Entry Price]]-Tabla1[[#This Row],[Initial Stop]])/2</f>
        <v>28.22</v>
      </c>
      <c r="I319">
        <v>3</v>
      </c>
      <c r="J319">
        <f t="shared" si="77"/>
        <v>5.0999999999999979</v>
      </c>
      <c r="K319">
        <v>1</v>
      </c>
      <c r="L319">
        <f t="shared" si="78"/>
        <v>5.0999999999999979</v>
      </c>
      <c r="M319" t="s">
        <v>72</v>
      </c>
      <c r="N319">
        <f>SUMIF(Executions!B:B,A319,Executions!H:H)</f>
        <v>-5.1300000000000026</v>
      </c>
      <c r="O319">
        <f t="shared" si="57"/>
        <v>-1.0058823529411773</v>
      </c>
      <c r="P319">
        <f>Tabla1[[#This Row],[Initial Risk $]]/Tabla1[[#This Row],[Position Size (shares)]]+Tabla1[[#This Row],[Entry Price]]</f>
        <v>30.77</v>
      </c>
      <c r="Q319">
        <f>Tabla1[[#This Row],[Initial Risk $]]/Tabla1[[#This Row],[Position Size (shares)]]*1.5+Tabla1[[#This Row],[Entry Price]]</f>
        <v>31.619999999999997</v>
      </c>
      <c r="R319">
        <f>Tabla1[[#This Row],[Initial Risk $]]/Tabla1[[#This Row],[Position Size (shares)]]*2+Tabla1[[#This Row],[Entry Price]]</f>
        <v>32.47</v>
      </c>
      <c r="S319">
        <f>Tabla1[[#This Row],[Initial Risk $]]/Tabla1[[#This Row],[Position Size (shares)]]*2.5+Tabla1[[#This Row],[Entry Price]]</f>
        <v>33.32</v>
      </c>
      <c r="T319">
        <f>Tabla1[[#This Row],[Initial Risk $]]/Tabla1[[#This Row],[Position Size (shares)]]*3+Tabla1[[#This Row],[Entry Price]]</f>
        <v>34.17</v>
      </c>
    </row>
    <row r="320" spans="1:20" customFormat="1" hidden="1" x14ac:dyDescent="0.25">
      <c r="A320" t="str">
        <f t="shared" ref="A320:A328" si="79">"T-"&amp; TEXT(ROW()-1,"000")</f>
        <v>T-319</v>
      </c>
      <c r="B320" s="1">
        <v>46184</v>
      </c>
      <c r="C320" t="s">
        <v>271</v>
      </c>
      <c r="D320" t="s">
        <v>28</v>
      </c>
      <c r="E320" t="s">
        <v>58</v>
      </c>
      <c r="F320">
        <v>527.16999999999996</v>
      </c>
      <c r="G320">
        <v>523.16999999999996</v>
      </c>
      <c r="H320">
        <f>Tabla1[[#This Row],[Entry Price]]-(Tabla1[[#This Row],[Entry Price]]-Tabla1[[#This Row],[Initial Stop]])/2</f>
        <v>525.16999999999996</v>
      </c>
      <c r="I320">
        <v>2</v>
      </c>
      <c r="J320">
        <f t="shared" ref="J320:J328" si="80">IF(D320="Long",(F320-G320)*I320,(G320-F320)*0)</f>
        <v>8</v>
      </c>
      <c r="K320">
        <v>1</v>
      </c>
      <c r="L320">
        <f t="shared" ref="L320:L328" si="81">J320*K320</f>
        <v>8</v>
      </c>
      <c r="M320" t="s">
        <v>72</v>
      </c>
      <c r="N320">
        <f>SUMIF(Executions!B:B,A320,Executions!H:H)</f>
        <v>-9.2999999999999545</v>
      </c>
      <c r="O320">
        <f t="shared" si="57"/>
        <v>-1.1624999999999943</v>
      </c>
      <c r="P320">
        <f>Tabla1[[#This Row],[Initial Risk $]]/Tabla1[[#This Row],[Position Size (shares)]]+Tabla1[[#This Row],[Entry Price]]</f>
        <v>531.16999999999996</v>
      </c>
      <c r="Q320">
        <f>Tabla1[[#This Row],[Initial Risk $]]/Tabla1[[#This Row],[Position Size (shares)]]*1.5+Tabla1[[#This Row],[Entry Price]]</f>
        <v>533.16999999999996</v>
      </c>
      <c r="R320">
        <f>Tabla1[[#This Row],[Initial Risk $]]/Tabla1[[#This Row],[Position Size (shares)]]*2+Tabla1[[#This Row],[Entry Price]]</f>
        <v>535.16999999999996</v>
      </c>
      <c r="S320">
        <f>Tabla1[[#This Row],[Initial Risk $]]/Tabla1[[#This Row],[Position Size (shares)]]*2.5+Tabla1[[#This Row],[Entry Price]]</f>
        <v>537.16999999999996</v>
      </c>
      <c r="T320">
        <f>Tabla1[[#This Row],[Initial Risk $]]/Tabla1[[#This Row],[Position Size (shares)]]*3+Tabla1[[#This Row],[Entry Price]]</f>
        <v>539.16999999999996</v>
      </c>
    </row>
    <row r="321" spans="1:20" customFormat="1" hidden="1" x14ac:dyDescent="0.25">
      <c r="A321" t="str">
        <f t="shared" si="79"/>
        <v>T-320</v>
      </c>
      <c r="B321" s="1">
        <v>46184</v>
      </c>
      <c r="C321" t="s">
        <v>279</v>
      </c>
      <c r="D321" t="s">
        <v>28</v>
      </c>
      <c r="E321" t="s">
        <v>58</v>
      </c>
      <c r="F321">
        <v>905</v>
      </c>
      <c r="G321">
        <v>900</v>
      </c>
      <c r="H321">
        <f>Tabla1[[#This Row],[Entry Price]]-(Tabla1[[#This Row],[Entry Price]]-Tabla1[[#This Row],[Initial Stop]])/2</f>
        <v>902.5</v>
      </c>
      <c r="I321">
        <v>1</v>
      </c>
      <c r="J321">
        <f t="shared" si="80"/>
        <v>5</v>
      </c>
      <c r="K321">
        <v>1</v>
      </c>
      <c r="L321">
        <f t="shared" si="81"/>
        <v>5</v>
      </c>
      <c r="M321" t="s">
        <v>72</v>
      </c>
      <c r="N321">
        <f>SUMIF(Executions!B:B,A321,Executions!H:H)</f>
        <v>-6.1000000000000227</v>
      </c>
      <c r="O321">
        <f t="shared" si="57"/>
        <v>-1.2200000000000046</v>
      </c>
      <c r="P321">
        <f>Tabla1[[#This Row],[Initial Risk $]]/Tabla1[[#This Row],[Position Size (shares)]]+Tabla1[[#This Row],[Entry Price]]</f>
        <v>910</v>
      </c>
      <c r="Q321">
        <f>Tabla1[[#This Row],[Initial Risk $]]/Tabla1[[#This Row],[Position Size (shares)]]*1.5+Tabla1[[#This Row],[Entry Price]]</f>
        <v>912.5</v>
      </c>
      <c r="R321">
        <f>Tabla1[[#This Row],[Initial Risk $]]/Tabla1[[#This Row],[Position Size (shares)]]*2+Tabla1[[#This Row],[Entry Price]]</f>
        <v>915</v>
      </c>
      <c r="S321">
        <f>Tabla1[[#This Row],[Initial Risk $]]/Tabla1[[#This Row],[Position Size (shares)]]*2.5+Tabla1[[#This Row],[Entry Price]]</f>
        <v>917.5</v>
      </c>
      <c r="T321">
        <f>Tabla1[[#This Row],[Initial Risk $]]/Tabla1[[#This Row],[Position Size (shares)]]*3+Tabla1[[#This Row],[Entry Price]]</f>
        <v>920</v>
      </c>
    </row>
    <row r="322" spans="1:20" customFormat="1" hidden="1" x14ac:dyDescent="0.25">
      <c r="A322" t="str">
        <f t="shared" si="79"/>
        <v>T-321</v>
      </c>
      <c r="B322" s="1">
        <v>46184</v>
      </c>
      <c r="C322" t="s">
        <v>279</v>
      </c>
      <c r="D322" t="s">
        <v>28</v>
      </c>
      <c r="E322" t="s">
        <v>58</v>
      </c>
      <c r="F322">
        <v>915.75</v>
      </c>
      <c r="G322">
        <v>905</v>
      </c>
      <c r="H322">
        <f>Tabla1[[#This Row],[Entry Price]]-(Tabla1[[#This Row],[Entry Price]]-Tabla1[[#This Row],[Initial Stop]])/2</f>
        <v>910.375</v>
      </c>
      <c r="I322">
        <v>1</v>
      </c>
      <c r="J322">
        <f t="shared" si="80"/>
        <v>10.75</v>
      </c>
      <c r="K322">
        <v>1</v>
      </c>
      <c r="L322">
        <f t="shared" si="81"/>
        <v>10.75</v>
      </c>
      <c r="M322" t="s">
        <v>72</v>
      </c>
      <c r="N322">
        <f>SUMIF(Executions!B:B,A322,Executions!H:H)</f>
        <v>-9.7000000000000455</v>
      </c>
      <c r="O322">
        <f t="shared" ref="O322:O346" si="82">N322/J322</f>
        <v>-0.90232558139535302</v>
      </c>
      <c r="P322">
        <f>Tabla1[[#This Row],[Initial Risk $]]/Tabla1[[#This Row],[Position Size (shares)]]+Tabla1[[#This Row],[Entry Price]]</f>
        <v>926.5</v>
      </c>
      <c r="Q322">
        <f>Tabla1[[#This Row],[Initial Risk $]]/Tabla1[[#This Row],[Position Size (shares)]]*1.5+Tabla1[[#This Row],[Entry Price]]</f>
        <v>931.875</v>
      </c>
      <c r="R322">
        <f>Tabla1[[#This Row],[Initial Risk $]]/Tabla1[[#This Row],[Position Size (shares)]]*2+Tabla1[[#This Row],[Entry Price]]</f>
        <v>937.25</v>
      </c>
      <c r="S322">
        <f>Tabla1[[#This Row],[Initial Risk $]]/Tabla1[[#This Row],[Position Size (shares)]]*2.5+Tabla1[[#This Row],[Entry Price]]</f>
        <v>942.625</v>
      </c>
      <c r="T322">
        <f>Tabla1[[#This Row],[Initial Risk $]]/Tabla1[[#This Row],[Position Size (shares)]]*3+Tabla1[[#This Row],[Entry Price]]</f>
        <v>948</v>
      </c>
    </row>
    <row r="323" spans="1:20" customFormat="1" hidden="1" x14ac:dyDescent="0.25">
      <c r="A323" t="str">
        <f t="shared" si="79"/>
        <v>T-322</v>
      </c>
      <c r="B323" s="1">
        <v>46184</v>
      </c>
      <c r="C323" t="s">
        <v>271</v>
      </c>
      <c r="D323" t="s">
        <v>28</v>
      </c>
      <c r="E323" t="s">
        <v>58</v>
      </c>
      <c r="F323">
        <v>530.59</v>
      </c>
      <c r="G323">
        <v>526.5</v>
      </c>
      <c r="H323">
        <f>Tabla1[[#This Row],[Entry Price]]-(Tabla1[[#This Row],[Entry Price]]-Tabla1[[#This Row],[Initial Stop]])/2</f>
        <v>528.54500000000007</v>
      </c>
      <c r="I323">
        <v>2</v>
      </c>
      <c r="J323">
        <f t="shared" si="80"/>
        <v>8.1800000000000637</v>
      </c>
      <c r="K323">
        <v>1</v>
      </c>
      <c r="L323">
        <f t="shared" si="81"/>
        <v>8.1800000000000637</v>
      </c>
      <c r="M323" t="s">
        <v>72</v>
      </c>
      <c r="N323">
        <f>SUMIF(Executions!B:B,A323,Executions!H:H)</f>
        <v>-8.1800000000000637</v>
      </c>
      <c r="O323">
        <f t="shared" si="82"/>
        <v>-1</v>
      </c>
      <c r="P323">
        <f>Tabla1[[#This Row],[Initial Risk $]]/Tabla1[[#This Row],[Position Size (shares)]]+Tabla1[[#This Row],[Entry Price]]</f>
        <v>534.68000000000006</v>
      </c>
      <c r="Q323">
        <f>Tabla1[[#This Row],[Initial Risk $]]/Tabla1[[#This Row],[Position Size (shares)]]*1.5+Tabla1[[#This Row],[Entry Price]]</f>
        <v>536.72500000000014</v>
      </c>
      <c r="R323">
        <f>Tabla1[[#This Row],[Initial Risk $]]/Tabla1[[#This Row],[Position Size (shares)]]*2+Tabla1[[#This Row],[Entry Price]]</f>
        <v>538.7700000000001</v>
      </c>
      <c r="S323">
        <f>Tabla1[[#This Row],[Initial Risk $]]/Tabla1[[#This Row],[Position Size (shares)]]*2.5+Tabla1[[#This Row],[Entry Price]]</f>
        <v>540.81500000000005</v>
      </c>
      <c r="T323">
        <f>Tabla1[[#This Row],[Initial Risk $]]/Tabla1[[#This Row],[Position Size (shares)]]*3+Tabla1[[#This Row],[Entry Price]]</f>
        <v>542.86000000000013</v>
      </c>
    </row>
    <row r="324" spans="1:20" customFormat="1" hidden="1" x14ac:dyDescent="0.25">
      <c r="A324" t="str">
        <f t="shared" si="79"/>
        <v>T-323</v>
      </c>
      <c r="B324" s="1">
        <v>46184</v>
      </c>
      <c r="C324" t="s">
        <v>161</v>
      </c>
      <c r="D324" t="s">
        <v>28</v>
      </c>
      <c r="E324" t="s">
        <v>58</v>
      </c>
      <c r="F324">
        <v>118.88</v>
      </c>
      <c r="G324">
        <v>116.07</v>
      </c>
      <c r="H324">
        <f>Tabla1[[#This Row],[Entry Price]]-(Tabla1[[#This Row],[Entry Price]]-Tabla1[[#This Row],[Initial Stop]])/2</f>
        <v>117.47499999999999</v>
      </c>
      <c r="I324">
        <v>3</v>
      </c>
      <c r="J324">
        <f t="shared" si="80"/>
        <v>8.4300000000000068</v>
      </c>
      <c r="K324">
        <v>1</v>
      </c>
      <c r="L324">
        <f t="shared" si="81"/>
        <v>8.4300000000000068</v>
      </c>
      <c r="M324" t="s">
        <v>72</v>
      </c>
      <c r="N324">
        <f>SUMIF(Executions!B:B,A324,Executions!H:H)</f>
        <v>-8.4300000000000068</v>
      </c>
      <c r="O324">
        <f t="shared" si="82"/>
        <v>-1</v>
      </c>
      <c r="P324">
        <f>Tabla1[[#This Row],[Initial Risk $]]/Tabla1[[#This Row],[Position Size (shares)]]+Tabla1[[#This Row],[Entry Price]]</f>
        <v>121.69</v>
      </c>
      <c r="Q324">
        <f>Tabla1[[#This Row],[Initial Risk $]]/Tabla1[[#This Row],[Position Size (shares)]]*1.5+Tabla1[[#This Row],[Entry Price]]</f>
        <v>123.095</v>
      </c>
      <c r="R324">
        <f>Tabla1[[#This Row],[Initial Risk $]]/Tabla1[[#This Row],[Position Size (shares)]]*2+Tabla1[[#This Row],[Entry Price]]</f>
        <v>124.5</v>
      </c>
      <c r="S324">
        <f>Tabla1[[#This Row],[Initial Risk $]]/Tabla1[[#This Row],[Position Size (shares)]]*2.5+Tabla1[[#This Row],[Entry Price]]</f>
        <v>125.905</v>
      </c>
      <c r="T324">
        <f>Tabla1[[#This Row],[Initial Risk $]]/Tabla1[[#This Row],[Position Size (shares)]]*3+Tabla1[[#This Row],[Entry Price]]</f>
        <v>127.31</v>
      </c>
    </row>
    <row r="325" spans="1:20" customFormat="1" hidden="1" x14ac:dyDescent="0.25">
      <c r="A325" t="str">
        <f t="shared" si="79"/>
        <v>T-324</v>
      </c>
      <c r="B325" s="1">
        <v>46184</v>
      </c>
      <c r="C325" t="s">
        <v>279</v>
      </c>
      <c r="D325" t="s">
        <v>28</v>
      </c>
      <c r="E325" t="s">
        <v>119</v>
      </c>
      <c r="F325">
        <v>913</v>
      </c>
      <c r="G325">
        <v>905</v>
      </c>
      <c r="H325">
        <f>Tabla1[[#This Row],[Entry Price]]-(Tabla1[[#This Row],[Entry Price]]-Tabla1[[#This Row],[Initial Stop]])/2</f>
        <v>909</v>
      </c>
      <c r="I325">
        <v>1</v>
      </c>
      <c r="J325">
        <f t="shared" si="80"/>
        <v>8</v>
      </c>
      <c r="K325">
        <v>1</v>
      </c>
      <c r="L325">
        <f t="shared" si="81"/>
        <v>8</v>
      </c>
      <c r="M325" t="s">
        <v>72</v>
      </c>
      <c r="N325">
        <f>SUMIF(Executions!B:B,A325,Executions!H:H)</f>
        <v>-8.1000000000000227</v>
      </c>
      <c r="O325">
        <f t="shared" si="82"/>
        <v>-1.0125000000000028</v>
      </c>
      <c r="P325">
        <f>Tabla1[[#This Row],[Initial Risk $]]/Tabla1[[#This Row],[Position Size (shares)]]+Tabla1[[#This Row],[Entry Price]]</f>
        <v>921</v>
      </c>
      <c r="Q325">
        <f>Tabla1[[#This Row],[Initial Risk $]]/Tabla1[[#This Row],[Position Size (shares)]]*1.5+Tabla1[[#This Row],[Entry Price]]</f>
        <v>925</v>
      </c>
      <c r="R325">
        <f>Tabla1[[#This Row],[Initial Risk $]]/Tabla1[[#This Row],[Position Size (shares)]]*2+Tabla1[[#This Row],[Entry Price]]</f>
        <v>929</v>
      </c>
      <c r="S325">
        <f>Tabla1[[#This Row],[Initial Risk $]]/Tabla1[[#This Row],[Position Size (shares)]]*2.5+Tabla1[[#This Row],[Entry Price]]</f>
        <v>933</v>
      </c>
      <c r="T325">
        <f>Tabla1[[#This Row],[Initial Risk $]]/Tabla1[[#This Row],[Position Size (shares)]]*3+Tabla1[[#This Row],[Entry Price]]</f>
        <v>937</v>
      </c>
    </row>
    <row r="326" spans="1:20" customFormat="1" hidden="1" x14ac:dyDescent="0.25">
      <c r="A326" t="str">
        <f t="shared" si="79"/>
        <v>T-325</v>
      </c>
      <c r="B326" s="1">
        <v>46184</v>
      </c>
      <c r="C326" t="s">
        <v>279</v>
      </c>
      <c r="D326" t="s">
        <v>28</v>
      </c>
      <c r="E326" t="s">
        <v>119</v>
      </c>
      <c r="F326">
        <v>911</v>
      </c>
      <c r="G326">
        <v>901</v>
      </c>
      <c r="H326">
        <f>Tabla1[[#This Row],[Entry Price]]-(Tabla1[[#This Row],[Entry Price]]-Tabla1[[#This Row],[Initial Stop]])/2</f>
        <v>906</v>
      </c>
      <c r="I326">
        <v>1</v>
      </c>
      <c r="J326">
        <f t="shared" si="80"/>
        <v>10</v>
      </c>
      <c r="K326">
        <v>1</v>
      </c>
      <c r="L326">
        <f t="shared" si="81"/>
        <v>10</v>
      </c>
      <c r="M326" t="s">
        <v>72</v>
      </c>
      <c r="N326">
        <f>SUMIF(Executions!B:B,A326,Executions!H:H)</f>
        <v>6.9199999999999591</v>
      </c>
      <c r="O326">
        <f t="shared" si="82"/>
        <v>0.69199999999999595</v>
      </c>
      <c r="P326">
        <f>Tabla1[[#This Row],[Initial Risk $]]/Tabla1[[#This Row],[Position Size (shares)]]+Tabla1[[#This Row],[Entry Price]]</f>
        <v>921</v>
      </c>
      <c r="Q326">
        <f>Tabla1[[#This Row],[Initial Risk $]]/Tabla1[[#This Row],[Position Size (shares)]]*1.5+Tabla1[[#This Row],[Entry Price]]</f>
        <v>926</v>
      </c>
      <c r="R326">
        <f>Tabla1[[#This Row],[Initial Risk $]]/Tabla1[[#This Row],[Position Size (shares)]]*2+Tabla1[[#This Row],[Entry Price]]</f>
        <v>931</v>
      </c>
      <c r="S326">
        <f>Tabla1[[#This Row],[Initial Risk $]]/Tabla1[[#This Row],[Position Size (shares)]]*2.5+Tabla1[[#This Row],[Entry Price]]</f>
        <v>936</v>
      </c>
      <c r="T326">
        <f>Tabla1[[#This Row],[Initial Risk $]]/Tabla1[[#This Row],[Position Size (shares)]]*3+Tabla1[[#This Row],[Entry Price]]</f>
        <v>941</v>
      </c>
    </row>
    <row r="327" spans="1:20" customFormat="1" hidden="1" x14ac:dyDescent="0.25">
      <c r="A327" t="str">
        <f t="shared" si="79"/>
        <v>T-326</v>
      </c>
      <c r="B327" s="1">
        <v>46184</v>
      </c>
      <c r="C327" t="s">
        <v>255</v>
      </c>
      <c r="D327" t="s">
        <v>28</v>
      </c>
      <c r="E327" t="s">
        <v>58</v>
      </c>
      <c r="F327">
        <v>292.33</v>
      </c>
      <c r="G327">
        <v>291.16000000000003</v>
      </c>
      <c r="H327">
        <f>Tabla1[[#This Row],[Entry Price]]-(Tabla1[[#This Row],[Entry Price]]-Tabla1[[#This Row],[Initial Stop]])/2</f>
        <v>291.745</v>
      </c>
      <c r="I327">
        <v>3</v>
      </c>
      <c r="J327">
        <f t="shared" si="80"/>
        <v>3.5099999999998772</v>
      </c>
      <c r="K327">
        <v>1</v>
      </c>
      <c r="L327">
        <f t="shared" si="81"/>
        <v>3.5099999999998772</v>
      </c>
      <c r="M327" t="s">
        <v>72</v>
      </c>
      <c r="N327">
        <f>SUMIF(Executions!B:B,A327,Executions!H:H)</f>
        <v>8.4300000000000068</v>
      </c>
      <c r="O327">
        <f t="shared" si="82"/>
        <v>2.4017094017094878</v>
      </c>
      <c r="P327">
        <f>Tabla1[[#This Row],[Initial Risk $]]/Tabla1[[#This Row],[Position Size (shares)]]+Tabla1[[#This Row],[Entry Price]]</f>
        <v>293.49999999999994</v>
      </c>
      <c r="Q327">
        <f>Tabla1[[#This Row],[Initial Risk $]]/Tabla1[[#This Row],[Position Size (shares)]]*1.5+Tabla1[[#This Row],[Entry Price]]</f>
        <v>294.08499999999992</v>
      </c>
      <c r="R327">
        <f>Tabla1[[#This Row],[Initial Risk $]]/Tabla1[[#This Row],[Position Size (shares)]]*2+Tabla1[[#This Row],[Entry Price]]</f>
        <v>294.6699999999999</v>
      </c>
      <c r="S327">
        <f>Tabla1[[#This Row],[Initial Risk $]]/Tabla1[[#This Row],[Position Size (shares)]]*2.5+Tabla1[[#This Row],[Entry Price]]</f>
        <v>295.25499999999988</v>
      </c>
      <c r="T327">
        <f>Tabla1[[#This Row],[Initial Risk $]]/Tabla1[[#This Row],[Position Size (shares)]]*3+Tabla1[[#This Row],[Entry Price]]</f>
        <v>295.83999999999986</v>
      </c>
    </row>
    <row r="328" spans="1:20" customFormat="1" hidden="1" x14ac:dyDescent="0.25">
      <c r="A328" t="str">
        <f t="shared" si="79"/>
        <v>T-327</v>
      </c>
      <c r="B328" s="1">
        <v>46184</v>
      </c>
      <c r="C328" t="s">
        <v>522</v>
      </c>
      <c r="D328" t="s">
        <v>28</v>
      </c>
      <c r="E328" t="s">
        <v>119</v>
      </c>
      <c r="F328">
        <v>153.35</v>
      </c>
      <c r="G328">
        <v>152.35</v>
      </c>
      <c r="H328">
        <f>Tabla1[[#This Row],[Entry Price]]-(Tabla1[[#This Row],[Entry Price]]-Tabla1[[#This Row],[Initial Stop]])/2</f>
        <v>152.85</v>
      </c>
      <c r="I328">
        <v>3</v>
      </c>
      <c r="J328">
        <f t="shared" si="80"/>
        <v>3</v>
      </c>
      <c r="K328">
        <v>1</v>
      </c>
      <c r="L328">
        <f t="shared" si="81"/>
        <v>3</v>
      </c>
      <c r="M328" t="s">
        <v>72</v>
      </c>
      <c r="N328">
        <f>SUMIF(Executions!B:B,A328,Executions!H:H)</f>
        <v>7.4099999999999966</v>
      </c>
      <c r="O328">
        <f t="shared" si="82"/>
        <v>2.4699999999999989</v>
      </c>
      <c r="P328">
        <f>Tabla1[[#This Row],[Initial Risk $]]/Tabla1[[#This Row],[Position Size (shares)]]+Tabla1[[#This Row],[Entry Price]]</f>
        <v>154.35</v>
      </c>
      <c r="Q328">
        <f>Tabla1[[#This Row],[Initial Risk $]]/Tabla1[[#This Row],[Position Size (shares)]]*1.5+Tabla1[[#This Row],[Entry Price]]</f>
        <v>154.85</v>
      </c>
      <c r="R328">
        <f>Tabla1[[#This Row],[Initial Risk $]]/Tabla1[[#This Row],[Position Size (shares)]]*2+Tabla1[[#This Row],[Entry Price]]</f>
        <v>155.35</v>
      </c>
      <c r="S328">
        <f>Tabla1[[#This Row],[Initial Risk $]]/Tabla1[[#This Row],[Position Size (shares)]]*2.5+Tabla1[[#This Row],[Entry Price]]</f>
        <v>155.85</v>
      </c>
      <c r="T328">
        <f>Tabla1[[#This Row],[Initial Risk $]]/Tabla1[[#This Row],[Position Size (shares)]]*3+Tabla1[[#This Row],[Entry Price]]</f>
        <v>156.35</v>
      </c>
    </row>
    <row r="329" spans="1:20" customFormat="1" hidden="1" x14ac:dyDescent="0.25">
      <c r="A329" t="str">
        <f t="shared" ref="A329:A338" si="83">"T-"&amp; TEXT(ROW()-1,"000")</f>
        <v>T-328</v>
      </c>
      <c r="B329" s="1">
        <v>46185</v>
      </c>
      <c r="C329" t="s">
        <v>526</v>
      </c>
      <c r="D329" t="s">
        <v>28</v>
      </c>
      <c r="E329" t="s">
        <v>58</v>
      </c>
      <c r="F329">
        <v>11.52</v>
      </c>
      <c r="G329">
        <v>10.52</v>
      </c>
      <c r="H329">
        <f>Tabla1[[#This Row],[Entry Price]]-(Tabla1[[#This Row],[Entry Price]]-Tabla1[[#This Row],[Initial Stop]])/2</f>
        <v>11.02</v>
      </c>
      <c r="I329">
        <v>10</v>
      </c>
      <c r="J329">
        <f t="shared" ref="J329:J338" si="84">IF(D329="Long",(F329-G329)*I329,(G329-F329)*0)</f>
        <v>10</v>
      </c>
      <c r="K329">
        <v>1</v>
      </c>
      <c r="L329">
        <f t="shared" ref="L329:L338" si="85">J329*K329</f>
        <v>10</v>
      </c>
      <c r="M329" t="s">
        <v>72</v>
      </c>
      <c r="N329">
        <f>SUMIF(Executions!B:B,A329,Executions!H:H)</f>
        <v>13.499999999999996</v>
      </c>
      <c r="O329">
        <f t="shared" si="82"/>
        <v>1.3499999999999996</v>
      </c>
      <c r="P329">
        <f>Tabla1[[#This Row],[Initial Risk $]]/Tabla1[[#This Row],[Position Size (shares)]]+Tabla1[[#This Row],[Entry Price]]</f>
        <v>12.52</v>
      </c>
      <c r="Q329">
        <f>Tabla1[[#This Row],[Initial Risk $]]/Tabla1[[#This Row],[Position Size (shares)]]*1.5+Tabla1[[#This Row],[Entry Price]]</f>
        <v>13.02</v>
      </c>
      <c r="R329">
        <f>Tabla1[[#This Row],[Initial Risk $]]/Tabla1[[#This Row],[Position Size (shares)]]*2+Tabla1[[#This Row],[Entry Price]]</f>
        <v>13.52</v>
      </c>
      <c r="S329">
        <f>Tabla1[[#This Row],[Initial Risk $]]/Tabla1[[#This Row],[Position Size (shares)]]*2.5+Tabla1[[#This Row],[Entry Price]]</f>
        <v>14.02</v>
      </c>
      <c r="T329">
        <f>Tabla1[[#This Row],[Initial Risk $]]/Tabla1[[#This Row],[Position Size (shares)]]*3+Tabla1[[#This Row],[Entry Price]]</f>
        <v>14.52</v>
      </c>
    </row>
    <row r="330" spans="1:20" customFormat="1" hidden="1" x14ac:dyDescent="0.25">
      <c r="A330" t="str">
        <f t="shared" si="83"/>
        <v>T-329</v>
      </c>
      <c r="B330" s="1">
        <v>46185</v>
      </c>
      <c r="C330" t="s">
        <v>130</v>
      </c>
      <c r="D330" t="s">
        <v>28</v>
      </c>
      <c r="E330" t="s">
        <v>58</v>
      </c>
      <c r="F330">
        <v>506.6</v>
      </c>
      <c r="G330">
        <v>501.6</v>
      </c>
      <c r="H330">
        <f>Tabla1[[#This Row],[Entry Price]]-(Tabla1[[#This Row],[Entry Price]]-Tabla1[[#This Row],[Initial Stop]])/2</f>
        <v>504.1</v>
      </c>
      <c r="I330">
        <v>2</v>
      </c>
      <c r="J330">
        <f t="shared" si="84"/>
        <v>10</v>
      </c>
      <c r="K330">
        <v>1</v>
      </c>
      <c r="L330">
        <f t="shared" si="85"/>
        <v>10</v>
      </c>
      <c r="M330" t="s">
        <v>72</v>
      </c>
      <c r="N330">
        <f>SUMIF(Executions!B:B,A330,Executions!H:H)</f>
        <v>-11.180000000000064</v>
      </c>
      <c r="O330">
        <f t="shared" si="82"/>
        <v>-1.1180000000000063</v>
      </c>
      <c r="P330">
        <f>Tabla1[[#This Row],[Initial Risk $]]/Tabla1[[#This Row],[Position Size (shares)]]+Tabla1[[#This Row],[Entry Price]]</f>
        <v>511.6</v>
      </c>
      <c r="Q330">
        <f>Tabla1[[#This Row],[Initial Risk $]]/Tabla1[[#This Row],[Position Size (shares)]]*1.5+Tabla1[[#This Row],[Entry Price]]</f>
        <v>514.1</v>
      </c>
      <c r="R330">
        <f>Tabla1[[#This Row],[Initial Risk $]]/Tabla1[[#This Row],[Position Size (shares)]]*2+Tabla1[[#This Row],[Entry Price]]</f>
        <v>516.6</v>
      </c>
      <c r="S330">
        <f>Tabla1[[#This Row],[Initial Risk $]]/Tabla1[[#This Row],[Position Size (shares)]]*2.5+Tabla1[[#This Row],[Entry Price]]</f>
        <v>519.1</v>
      </c>
      <c r="T330">
        <f>Tabla1[[#This Row],[Initial Risk $]]/Tabla1[[#This Row],[Position Size (shares)]]*3+Tabla1[[#This Row],[Entry Price]]</f>
        <v>521.6</v>
      </c>
    </row>
    <row r="331" spans="1:20" customFormat="1" hidden="1" x14ac:dyDescent="0.25">
      <c r="A331" t="str">
        <f t="shared" si="83"/>
        <v>T-330</v>
      </c>
      <c r="B331" s="1">
        <v>46185</v>
      </c>
      <c r="C331" t="s">
        <v>164</v>
      </c>
      <c r="D331" t="s">
        <v>28</v>
      </c>
      <c r="E331" t="s">
        <v>58</v>
      </c>
      <c r="F331">
        <v>206.08</v>
      </c>
      <c r="G331">
        <v>204.08</v>
      </c>
      <c r="H331">
        <f>Tabla1[[#This Row],[Entry Price]]-(Tabla1[[#This Row],[Entry Price]]-Tabla1[[#This Row],[Initial Stop]])/2</f>
        <v>205.08</v>
      </c>
      <c r="I331">
        <v>4</v>
      </c>
      <c r="J331">
        <f t="shared" si="84"/>
        <v>8</v>
      </c>
      <c r="K331">
        <v>1</v>
      </c>
      <c r="L331">
        <f t="shared" si="85"/>
        <v>8</v>
      </c>
      <c r="M331" t="s">
        <v>72</v>
      </c>
      <c r="N331">
        <f>SUMIF(Executions!B:B,A331,Executions!H:H)</f>
        <v>-8.0800000000000409</v>
      </c>
      <c r="O331">
        <f t="shared" si="82"/>
        <v>-1.0100000000000051</v>
      </c>
      <c r="P331">
        <f>Tabla1[[#This Row],[Initial Risk $]]/Tabla1[[#This Row],[Position Size (shares)]]+Tabla1[[#This Row],[Entry Price]]</f>
        <v>208.08</v>
      </c>
      <c r="Q331">
        <f>Tabla1[[#This Row],[Initial Risk $]]/Tabla1[[#This Row],[Position Size (shares)]]*1.5+Tabla1[[#This Row],[Entry Price]]</f>
        <v>209.08</v>
      </c>
      <c r="R331">
        <f>Tabla1[[#This Row],[Initial Risk $]]/Tabla1[[#This Row],[Position Size (shares)]]*2+Tabla1[[#This Row],[Entry Price]]</f>
        <v>210.08</v>
      </c>
      <c r="S331">
        <f>Tabla1[[#This Row],[Initial Risk $]]/Tabla1[[#This Row],[Position Size (shares)]]*2.5+Tabla1[[#This Row],[Entry Price]]</f>
        <v>211.08</v>
      </c>
      <c r="T331">
        <f>Tabla1[[#This Row],[Initial Risk $]]/Tabla1[[#This Row],[Position Size (shares)]]*3+Tabla1[[#This Row],[Entry Price]]</f>
        <v>212.08</v>
      </c>
    </row>
    <row r="332" spans="1:20" customFormat="1" hidden="1" x14ac:dyDescent="0.25">
      <c r="A332" t="str">
        <f t="shared" si="83"/>
        <v>T-331</v>
      </c>
      <c r="B332" s="1">
        <v>46185</v>
      </c>
      <c r="C332" t="s">
        <v>130</v>
      </c>
      <c r="D332" t="s">
        <v>28</v>
      </c>
      <c r="E332" t="s">
        <v>58</v>
      </c>
      <c r="F332">
        <v>507.55</v>
      </c>
      <c r="G332">
        <v>503.55</v>
      </c>
      <c r="H332">
        <f>Tabla1[[#This Row],[Entry Price]]-(Tabla1[[#This Row],[Entry Price]]-Tabla1[[#This Row],[Initial Stop]])/2</f>
        <v>505.55</v>
      </c>
      <c r="I332">
        <v>2</v>
      </c>
      <c r="J332">
        <f t="shared" si="84"/>
        <v>8</v>
      </c>
      <c r="K332">
        <v>1</v>
      </c>
      <c r="L332">
        <f t="shared" si="85"/>
        <v>8</v>
      </c>
      <c r="M332" t="s">
        <v>72</v>
      </c>
      <c r="N332">
        <f>SUMIF(Executions!B:B,A332,Executions!H:H)</f>
        <v>21.899999999999977</v>
      </c>
      <c r="O332">
        <f t="shared" si="82"/>
        <v>2.7374999999999972</v>
      </c>
      <c r="P332">
        <f>Tabla1[[#This Row],[Initial Risk $]]/Tabla1[[#This Row],[Position Size (shares)]]+Tabla1[[#This Row],[Entry Price]]</f>
        <v>511.55</v>
      </c>
      <c r="Q332">
        <f>Tabla1[[#This Row],[Initial Risk $]]/Tabla1[[#This Row],[Position Size (shares)]]*1.5+Tabla1[[#This Row],[Entry Price]]</f>
        <v>513.54999999999995</v>
      </c>
      <c r="R332">
        <f>Tabla1[[#This Row],[Initial Risk $]]/Tabla1[[#This Row],[Position Size (shares)]]*2+Tabla1[[#This Row],[Entry Price]]</f>
        <v>515.54999999999995</v>
      </c>
      <c r="S332">
        <f>Tabla1[[#This Row],[Initial Risk $]]/Tabla1[[#This Row],[Position Size (shares)]]*2.5+Tabla1[[#This Row],[Entry Price]]</f>
        <v>517.54999999999995</v>
      </c>
      <c r="T332">
        <f>Tabla1[[#This Row],[Initial Risk $]]/Tabla1[[#This Row],[Position Size (shares)]]*3+Tabla1[[#This Row],[Entry Price]]</f>
        <v>519.54999999999995</v>
      </c>
    </row>
    <row r="333" spans="1:20" customFormat="1" hidden="1" x14ac:dyDescent="0.25">
      <c r="A333" t="str">
        <f t="shared" si="83"/>
        <v>T-332</v>
      </c>
      <c r="B333" s="1">
        <v>46185</v>
      </c>
      <c r="C333" t="s">
        <v>279</v>
      </c>
      <c r="D333" t="s">
        <v>28</v>
      </c>
      <c r="E333" t="s">
        <v>58</v>
      </c>
      <c r="F333">
        <v>971.48</v>
      </c>
      <c r="G333">
        <v>960</v>
      </c>
      <c r="H333">
        <f>Tabla1[[#This Row],[Entry Price]]-(Tabla1[[#This Row],[Entry Price]]-Tabla1[[#This Row],[Initial Stop]])/2</f>
        <v>965.74</v>
      </c>
      <c r="I333">
        <v>1</v>
      </c>
      <c r="J333">
        <f t="shared" si="84"/>
        <v>11.480000000000018</v>
      </c>
      <c r="K333">
        <v>1</v>
      </c>
      <c r="L333">
        <f t="shared" si="85"/>
        <v>11.480000000000018</v>
      </c>
      <c r="M333" t="s">
        <v>72</v>
      </c>
      <c r="N333">
        <f>SUMIF(Executions!B:B,A333,Executions!H:H)</f>
        <v>15.309999999999945</v>
      </c>
      <c r="O333">
        <f t="shared" si="82"/>
        <v>1.333623693379784</v>
      </c>
      <c r="P333">
        <f>Tabla1[[#This Row],[Initial Risk $]]/Tabla1[[#This Row],[Position Size (shares)]]+Tabla1[[#This Row],[Entry Price]]</f>
        <v>982.96</v>
      </c>
      <c r="Q333">
        <f>Tabla1[[#This Row],[Initial Risk $]]/Tabla1[[#This Row],[Position Size (shares)]]*1.5+Tabla1[[#This Row],[Entry Price]]</f>
        <v>988.7</v>
      </c>
      <c r="R333">
        <f>Tabla1[[#This Row],[Initial Risk $]]/Tabla1[[#This Row],[Position Size (shares)]]*2+Tabla1[[#This Row],[Entry Price]]</f>
        <v>994.44</v>
      </c>
      <c r="S333">
        <f>Tabla1[[#This Row],[Initial Risk $]]/Tabla1[[#This Row],[Position Size (shares)]]*2.5+Tabla1[[#This Row],[Entry Price]]</f>
        <v>1000.1800000000001</v>
      </c>
      <c r="T333">
        <f>Tabla1[[#This Row],[Initial Risk $]]/Tabla1[[#This Row],[Position Size (shares)]]*3+Tabla1[[#This Row],[Entry Price]]</f>
        <v>1005.9200000000001</v>
      </c>
    </row>
    <row r="334" spans="1:20" customFormat="1" hidden="1" x14ac:dyDescent="0.25">
      <c r="A334" t="str">
        <f t="shared" si="83"/>
        <v>T-333</v>
      </c>
      <c r="B334" s="1">
        <v>46185</v>
      </c>
      <c r="C334" t="s">
        <v>529</v>
      </c>
      <c r="D334" t="s">
        <v>28</v>
      </c>
      <c r="E334" t="s">
        <v>119</v>
      </c>
      <c r="F334">
        <v>108.37</v>
      </c>
      <c r="G334">
        <v>107.37</v>
      </c>
      <c r="H334">
        <f>Tabla1[[#This Row],[Entry Price]]-(Tabla1[[#This Row],[Entry Price]]-Tabla1[[#This Row],[Initial Stop]])/2</f>
        <v>107.87</v>
      </c>
      <c r="I334">
        <v>5</v>
      </c>
      <c r="J334">
        <f t="shared" si="84"/>
        <v>5</v>
      </c>
      <c r="K334">
        <v>1</v>
      </c>
      <c r="L334">
        <f t="shared" si="85"/>
        <v>5</v>
      </c>
      <c r="M334" t="s">
        <v>72</v>
      </c>
      <c r="N334">
        <f>SUMIF(Executions!B:B,A334,Executions!H:H)</f>
        <v>-5.0500000000000256</v>
      </c>
      <c r="O334">
        <f t="shared" si="82"/>
        <v>-1.0100000000000051</v>
      </c>
      <c r="P334">
        <f>Tabla1[[#This Row],[Initial Risk $]]/Tabla1[[#This Row],[Position Size (shares)]]+Tabla1[[#This Row],[Entry Price]]</f>
        <v>109.37</v>
      </c>
      <c r="Q334">
        <f>Tabla1[[#This Row],[Initial Risk $]]/Tabla1[[#This Row],[Position Size (shares)]]*1.5+Tabla1[[#This Row],[Entry Price]]</f>
        <v>109.87</v>
      </c>
      <c r="R334">
        <f>Tabla1[[#This Row],[Initial Risk $]]/Tabla1[[#This Row],[Position Size (shares)]]*2+Tabla1[[#This Row],[Entry Price]]</f>
        <v>110.37</v>
      </c>
      <c r="S334">
        <f>Tabla1[[#This Row],[Initial Risk $]]/Tabla1[[#This Row],[Position Size (shares)]]*2.5+Tabla1[[#This Row],[Entry Price]]</f>
        <v>110.87</v>
      </c>
      <c r="T334">
        <f>Tabla1[[#This Row],[Initial Risk $]]/Tabla1[[#This Row],[Position Size (shares)]]*3+Tabla1[[#This Row],[Entry Price]]</f>
        <v>111.37</v>
      </c>
    </row>
    <row r="335" spans="1:20" customFormat="1" hidden="1" x14ac:dyDescent="0.25">
      <c r="A335" t="str">
        <f t="shared" si="83"/>
        <v>T-334</v>
      </c>
      <c r="B335" s="1">
        <v>46185</v>
      </c>
      <c r="C335" t="s">
        <v>417</v>
      </c>
      <c r="D335" t="s">
        <v>28</v>
      </c>
      <c r="E335" t="s">
        <v>119</v>
      </c>
      <c r="F335">
        <v>484.38</v>
      </c>
      <c r="G335">
        <v>480.38</v>
      </c>
      <c r="H335">
        <f>Tabla1[[#This Row],[Entry Price]]-(Tabla1[[#This Row],[Entry Price]]-Tabla1[[#This Row],[Initial Stop]])/2</f>
        <v>482.38</v>
      </c>
      <c r="I335">
        <v>2</v>
      </c>
      <c r="J335">
        <f t="shared" si="84"/>
        <v>8</v>
      </c>
      <c r="K335">
        <v>1</v>
      </c>
      <c r="L335">
        <f t="shared" si="85"/>
        <v>8</v>
      </c>
      <c r="M335" t="s">
        <v>72</v>
      </c>
      <c r="N335">
        <f>SUMIF(Executions!B:B,A335,Executions!H:H)</f>
        <v>-8.4399999999999409</v>
      </c>
      <c r="O335">
        <f t="shared" si="82"/>
        <v>-1.0549999999999926</v>
      </c>
      <c r="P335">
        <f>Tabla1[[#This Row],[Initial Risk $]]/Tabla1[[#This Row],[Position Size (shares)]]+Tabla1[[#This Row],[Entry Price]]</f>
        <v>488.38</v>
      </c>
      <c r="Q335">
        <f>Tabla1[[#This Row],[Initial Risk $]]/Tabla1[[#This Row],[Position Size (shares)]]*1.5+Tabla1[[#This Row],[Entry Price]]</f>
        <v>490.38</v>
      </c>
      <c r="R335">
        <f>Tabla1[[#This Row],[Initial Risk $]]/Tabla1[[#This Row],[Position Size (shares)]]*2+Tabla1[[#This Row],[Entry Price]]</f>
        <v>492.38</v>
      </c>
      <c r="S335">
        <f>Tabla1[[#This Row],[Initial Risk $]]/Tabla1[[#This Row],[Position Size (shares)]]*2.5+Tabla1[[#This Row],[Entry Price]]</f>
        <v>494.38</v>
      </c>
      <c r="T335">
        <f>Tabla1[[#This Row],[Initial Risk $]]/Tabla1[[#This Row],[Position Size (shares)]]*3+Tabla1[[#This Row],[Entry Price]]</f>
        <v>496.38</v>
      </c>
    </row>
    <row r="336" spans="1:20" customFormat="1" hidden="1" x14ac:dyDescent="0.25">
      <c r="A336" t="str">
        <f t="shared" si="83"/>
        <v>T-335</v>
      </c>
      <c r="B336" s="1">
        <v>46185</v>
      </c>
      <c r="C336" t="s">
        <v>164</v>
      </c>
      <c r="D336" t="s">
        <v>28</v>
      </c>
      <c r="E336" t="s">
        <v>58</v>
      </c>
      <c r="F336">
        <v>205.04</v>
      </c>
      <c r="G336">
        <v>204.04</v>
      </c>
      <c r="H336">
        <f>Tabla1[[#This Row],[Entry Price]]-(Tabla1[[#This Row],[Entry Price]]-Tabla1[[#This Row],[Initial Stop]])/2</f>
        <v>204.54</v>
      </c>
      <c r="I336">
        <v>4</v>
      </c>
      <c r="J336">
        <f t="shared" si="84"/>
        <v>4</v>
      </c>
      <c r="K336">
        <v>1</v>
      </c>
      <c r="L336">
        <f t="shared" si="85"/>
        <v>4</v>
      </c>
      <c r="M336" t="s">
        <v>72</v>
      </c>
      <c r="N336">
        <f>SUMIF(Executions!B:B,A336,Executions!H:H)</f>
        <v>-4</v>
      </c>
      <c r="O336">
        <f t="shared" si="82"/>
        <v>-1</v>
      </c>
      <c r="P336">
        <f>Tabla1[[#This Row],[Initial Risk $]]/Tabla1[[#This Row],[Position Size (shares)]]+Tabla1[[#This Row],[Entry Price]]</f>
        <v>206.04</v>
      </c>
      <c r="Q336">
        <f>Tabla1[[#This Row],[Initial Risk $]]/Tabla1[[#This Row],[Position Size (shares)]]*1.5+Tabla1[[#This Row],[Entry Price]]</f>
        <v>206.54</v>
      </c>
      <c r="R336">
        <f>Tabla1[[#This Row],[Initial Risk $]]/Tabla1[[#This Row],[Position Size (shares)]]*2+Tabla1[[#This Row],[Entry Price]]</f>
        <v>207.04</v>
      </c>
      <c r="S336">
        <f>Tabla1[[#This Row],[Initial Risk $]]/Tabla1[[#This Row],[Position Size (shares)]]*2.5+Tabla1[[#This Row],[Entry Price]]</f>
        <v>207.54</v>
      </c>
      <c r="T336">
        <f>Tabla1[[#This Row],[Initial Risk $]]/Tabla1[[#This Row],[Position Size (shares)]]*3+Tabla1[[#This Row],[Entry Price]]</f>
        <v>208.04</v>
      </c>
    </row>
    <row r="337" spans="1:20" customFormat="1" hidden="1" x14ac:dyDescent="0.25">
      <c r="A337" t="str">
        <f t="shared" si="83"/>
        <v>T-336</v>
      </c>
      <c r="B337" s="1">
        <v>46185</v>
      </c>
      <c r="C337" t="s">
        <v>255</v>
      </c>
      <c r="D337" t="s">
        <v>28</v>
      </c>
      <c r="E337" t="s">
        <v>58</v>
      </c>
      <c r="F337">
        <v>292.83</v>
      </c>
      <c r="G337">
        <v>291.83</v>
      </c>
      <c r="H337">
        <f>Tabla1[[#This Row],[Entry Price]]-(Tabla1[[#This Row],[Entry Price]]-Tabla1[[#This Row],[Initial Stop]])/2</f>
        <v>292.33</v>
      </c>
      <c r="I337">
        <v>3</v>
      </c>
      <c r="J337">
        <f t="shared" si="84"/>
        <v>3</v>
      </c>
      <c r="K337">
        <v>1</v>
      </c>
      <c r="L337">
        <f t="shared" si="85"/>
        <v>3</v>
      </c>
      <c r="M337" t="s">
        <v>72</v>
      </c>
      <c r="N337">
        <f>SUMIF(Executions!B:B,A337,Executions!H:H)</f>
        <v>-2.9700000000000273</v>
      </c>
      <c r="O337">
        <f t="shared" si="82"/>
        <v>-0.99000000000000909</v>
      </c>
      <c r="P337">
        <f>Tabla1[[#This Row],[Initial Risk $]]/Tabla1[[#This Row],[Position Size (shares)]]+Tabla1[[#This Row],[Entry Price]]</f>
        <v>293.83</v>
      </c>
      <c r="Q337">
        <f>Tabla1[[#This Row],[Initial Risk $]]/Tabla1[[#This Row],[Position Size (shares)]]*1.5+Tabla1[[#This Row],[Entry Price]]</f>
        <v>294.33</v>
      </c>
      <c r="R337">
        <f>Tabla1[[#This Row],[Initial Risk $]]/Tabla1[[#This Row],[Position Size (shares)]]*2+Tabla1[[#This Row],[Entry Price]]</f>
        <v>294.83</v>
      </c>
      <c r="S337">
        <f>Tabla1[[#This Row],[Initial Risk $]]/Tabla1[[#This Row],[Position Size (shares)]]*2.5+Tabla1[[#This Row],[Entry Price]]</f>
        <v>295.33</v>
      </c>
      <c r="T337">
        <f>Tabla1[[#This Row],[Initial Risk $]]/Tabla1[[#This Row],[Position Size (shares)]]*3+Tabla1[[#This Row],[Entry Price]]</f>
        <v>295.83</v>
      </c>
    </row>
    <row r="338" spans="1:20" customFormat="1" hidden="1" x14ac:dyDescent="0.25">
      <c r="A338" t="str">
        <f t="shared" si="83"/>
        <v>T-337</v>
      </c>
      <c r="B338" s="1">
        <v>46185</v>
      </c>
      <c r="C338" t="s">
        <v>533</v>
      </c>
      <c r="D338" t="s">
        <v>28</v>
      </c>
      <c r="E338" t="s">
        <v>51</v>
      </c>
      <c r="F338">
        <v>165.92</v>
      </c>
      <c r="G338">
        <v>161.43</v>
      </c>
      <c r="H338">
        <f>Tabla1[[#This Row],[Entry Price]]-(Tabla1[[#This Row],[Entry Price]]-Tabla1[[#This Row],[Initial Stop]])/2</f>
        <v>163.67500000000001</v>
      </c>
      <c r="I338">
        <v>2</v>
      </c>
      <c r="J338">
        <f t="shared" si="84"/>
        <v>8.9799999999999613</v>
      </c>
      <c r="K338">
        <v>1</v>
      </c>
      <c r="L338">
        <f t="shared" si="85"/>
        <v>8.9799999999999613</v>
      </c>
      <c r="M338" t="s">
        <v>72</v>
      </c>
      <c r="N338">
        <f>SUMIF(Executions!B:B,A338,Executions!H:H)</f>
        <v>-8.9799999999999613</v>
      </c>
      <c r="O338">
        <f t="shared" si="82"/>
        <v>-1</v>
      </c>
      <c r="P338">
        <f>Tabla1[[#This Row],[Initial Risk $]]/Tabla1[[#This Row],[Position Size (shares)]]+Tabla1[[#This Row],[Entry Price]]</f>
        <v>170.40999999999997</v>
      </c>
      <c r="Q338">
        <f>Tabla1[[#This Row],[Initial Risk $]]/Tabla1[[#This Row],[Position Size (shares)]]*1.5+Tabla1[[#This Row],[Entry Price]]</f>
        <v>172.65499999999997</v>
      </c>
      <c r="R338">
        <f>Tabla1[[#This Row],[Initial Risk $]]/Tabla1[[#This Row],[Position Size (shares)]]*2+Tabla1[[#This Row],[Entry Price]]</f>
        <v>174.89999999999995</v>
      </c>
      <c r="S338">
        <f>Tabla1[[#This Row],[Initial Risk $]]/Tabla1[[#This Row],[Position Size (shares)]]*2.5+Tabla1[[#This Row],[Entry Price]]</f>
        <v>177.14499999999992</v>
      </c>
      <c r="T338">
        <f>Tabla1[[#This Row],[Initial Risk $]]/Tabla1[[#This Row],[Position Size (shares)]]*3+Tabla1[[#This Row],[Entry Price]]</f>
        <v>179.38999999999993</v>
      </c>
    </row>
    <row r="339" spans="1:20" customFormat="1" hidden="1" x14ac:dyDescent="0.25">
      <c r="A339" t="str">
        <f t="shared" ref="A339:A346" si="86">"T-"&amp; TEXT(ROW()-1,"000")</f>
        <v>T-338</v>
      </c>
      <c r="B339" s="1">
        <v>46188</v>
      </c>
      <c r="C339" t="s">
        <v>161</v>
      </c>
      <c r="D339" t="s">
        <v>28</v>
      </c>
      <c r="E339" t="s">
        <v>58</v>
      </c>
      <c r="F339">
        <v>130.11000000000001</v>
      </c>
      <c r="G339">
        <v>128.37</v>
      </c>
      <c r="H339">
        <f>Tabla1[[#This Row],[Entry Price]]-(Tabla1[[#This Row],[Entry Price]]-Tabla1[[#This Row],[Initial Stop]])/2</f>
        <v>129.24</v>
      </c>
      <c r="I339">
        <v>6</v>
      </c>
      <c r="J339">
        <f t="shared" ref="J339:J346" si="87">IF(D339="Long",(F339-G339)*I339,(G339-F339)*0)</f>
        <v>10.440000000000055</v>
      </c>
      <c r="K339">
        <v>1</v>
      </c>
      <c r="L339">
        <f t="shared" ref="L339:L346" si="88">J339*K339</f>
        <v>10.440000000000055</v>
      </c>
      <c r="M339" t="s">
        <v>72</v>
      </c>
      <c r="N339">
        <f>SUMIF(Executions!B:B,A339,Executions!H:H)</f>
        <v>-10.560000000000116</v>
      </c>
      <c r="O339">
        <f t="shared" si="82"/>
        <v>-1.0114942528735691</v>
      </c>
      <c r="P339">
        <f>Tabla1[[#This Row],[Initial Risk $]]/Tabla1[[#This Row],[Position Size (shares)]]+Tabla1[[#This Row],[Entry Price]]</f>
        <v>131.85000000000002</v>
      </c>
      <c r="Q339">
        <f>Tabla1[[#This Row],[Initial Risk $]]/Tabla1[[#This Row],[Position Size (shares)]]*1.5+Tabla1[[#This Row],[Entry Price]]</f>
        <v>132.72000000000003</v>
      </c>
      <c r="R339">
        <f>Tabla1[[#This Row],[Initial Risk $]]/Tabla1[[#This Row],[Position Size (shares)]]*2+Tabla1[[#This Row],[Entry Price]]</f>
        <v>133.59000000000003</v>
      </c>
      <c r="S339">
        <f>Tabla1[[#This Row],[Initial Risk $]]/Tabla1[[#This Row],[Position Size (shares)]]*2.5+Tabla1[[#This Row],[Entry Price]]</f>
        <v>134.46000000000004</v>
      </c>
      <c r="T339">
        <f>Tabla1[[#This Row],[Initial Risk $]]/Tabla1[[#This Row],[Position Size (shares)]]*3+Tabla1[[#This Row],[Entry Price]]</f>
        <v>135.33000000000004</v>
      </c>
    </row>
    <row r="340" spans="1:20" customFormat="1" hidden="1" x14ac:dyDescent="0.25">
      <c r="A340" t="str">
        <f t="shared" si="86"/>
        <v>T-339</v>
      </c>
      <c r="B340" s="1">
        <v>46188</v>
      </c>
      <c r="C340" t="s">
        <v>164</v>
      </c>
      <c r="D340" t="s">
        <v>28</v>
      </c>
      <c r="E340" t="s">
        <v>58</v>
      </c>
      <c r="F340">
        <v>210.09</v>
      </c>
      <c r="G340">
        <v>208.09</v>
      </c>
      <c r="H340">
        <f>Tabla1[[#This Row],[Entry Price]]-(Tabla1[[#This Row],[Entry Price]]-Tabla1[[#This Row],[Initial Stop]])/2</f>
        <v>209.09</v>
      </c>
      <c r="I340">
        <v>4</v>
      </c>
      <c r="J340">
        <f t="shared" si="87"/>
        <v>8</v>
      </c>
      <c r="K340">
        <v>1</v>
      </c>
      <c r="L340">
        <f t="shared" si="88"/>
        <v>8</v>
      </c>
      <c r="M340" t="s">
        <v>72</v>
      </c>
      <c r="N340">
        <f>SUMIF(Executions!B:B,A340,Executions!H:H)</f>
        <v>7.5199999999999818</v>
      </c>
      <c r="O340">
        <f t="shared" si="82"/>
        <v>0.93999999999999773</v>
      </c>
      <c r="P340">
        <f>Tabla1[[#This Row],[Initial Risk $]]/Tabla1[[#This Row],[Position Size (shares)]]+Tabla1[[#This Row],[Entry Price]]</f>
        <v>212.09</v>
      </c>
      <c r="Q340">
        <f>Tabla1[[#This Row],[Initial Risk $]]/Tabla1[[#This Row],[Position Size (shares)]]*1.5+Tabla1[[#This Row],[Entry Price]]</f>
        <v>213.09</v>
      </c>
      <c r="R340">
        <f>Tabla1[[#This Row],[Initial Risk $]]/Tabla1[[#This Row],[Position Size (shares)]]*2+Tabla1[[#This Row],[Entry Price]]</f>
        <v>214.09</v>
      </c>
      <c r="S340">
        <f>Tabla1[[#This Row],[Initial Risk $]]/Tabla1[[#This Row],[Position Size (shares)]]*2.5+Tabla1[[#This Row],[Entry Price]]</f>
        <v>215.09</v>
      </c>
      <c r="T340">
        <f>Tabla1[[#This Row],[Initial Risk $]]/Tabla1[[#This Row],[Position Size (shares)]]*3+Tabla1[[#This Row],[Entry Price]]</f>
        <v>216.09</v>
      </c>
    </row>
    <row r="341" spans="1:20" customFormat="1" hidden="1" x14ac:dyDescent="0.25">
      <c r="A341" t="str">
        <f t="shared" si="86"/>
        <v>T-340</v>
      </c>
      <c r="B341" s="1">
        <v>46188</v>
      </c>
      <c r="C341" t="s">
        <v>417</v>
      </c>
      <c r="D341" t="s">
        <v>28</v>
      </c>
      <c r="E341" t="s">
        <v>58</v>
      </c>
      <c r="F341">
        <v>516.64</v>
      </c>
      <c r="G341">
        <v>511.64</v>
      </c>
      <c r="H341">
        <f>Tabla1[[#This Row],[Entry Price]]-(Tabla1[[#This Row],[Entry Price]]-Tabla1[[#This Row],[Initial Stop]])/2</f>
        <v>514.14</v>
      </c>
      <c r="I341">
        <v>2</v>
      </c>
      <c r="J341">
        <f t="shared" si="87"/>
        <v>10</v>
      </c>
      <c r="K341">
        <v>1</v>
      </c>
      <c r="L341">
        <f t="shared" si="88"/>
        <v>10</v>
      </c>
      <c r="M341" t="s">
        <v>72</v>
      </c>
      <c r="N341">
        <f>SUMIF(Executions!B:B,A341,Executions!H:H)</f>
        <v>11.880000000000109</v>
      </c>
      <c r="O341">
        <f t="shared" si="82"/>
        <v>1.1880000000000108</v>
      </c>
      <c r="P341">
        <f>Tabla1[[#This Row],[Initial Risk $]]/Tabla1[[#This Row],[Position Size (shares)]]+Tabla1[[#This Row],[Entry Price]]</f>
        <v>521.64</v>
      </c>
      <c r="Q341">
        <f>Tabla1[[#This Row],[Initial Risk $]]/Tabla1[[#This Row],[Position Size (shares)]]*1.5+Tabla1[[#This Row],[Entry Price]]</f>
        <v>524.14</v>
      </c>
      <c r="R341">
        <f>Tabla1[[#This Row],[Initial Risk $]]/Tabla1[[#This Row],[Position Size (shares)]]*2+Tabla1[[#This Row],[Entry Price]]</f>
        <v>526.64</v>
      </c>
      <c r="S341">
        <f>Tabla1[[#This Row],[Initial Risk $]]/Tabla1[[#This Row],[Position Size (shares)]]*2.5+Tabla1[[#This Row],[Entry Price]]</f>
        <v>529.14</v>
      </c>
      <c r="T341">
        <f>Tabla1[[#This Row],[Initial Risk $]]/Tabla1[[#This Row],[Position Size (shares)]]*3+Tabla1[[#This Row],[Entry Price]]</f>
        <v>531.64</v>
      </c>
    </row>
    <row r="342" spans="1:20" customFormat="1" hidden="1" x14ac:dyDescent="0.25">
      <c r="A342" t="str">
        <f t="shared" si="86"/>
        <v>T-341</v>
      </c>
      <c r="B342" s="1">
        <v>46188</v>
      </c>
      <c r="C342" t="s">
        <v>539</v>
      </c>
      <c r="D342" t="s">
        <v>28</v>
      </c>
      <c r="E342" t="s">
        <v>58</v>
      </c>
      <c r="F342">
        <v>490.74</v>
      </c>
      <c r="G342">
        <v>488.74</v>
      </c>
      <c r="H342">
        <f>Tabla1[[#This Row],[Entry Price]]-(Tabla1[[#This Row],[Entry Price]]-Tabla1[[#This Row],[Initial Stop]])/2</f>
        <v>489.74</v>
      </c>
      <c r="I342">
        <v>2</v>
      </c>
      <c r="J342">
        <f t="shared" si="87"/>
        <v>4</v>
      </c>
      <c r="K342">
        <v>1</v>
      </c>
      <c r="L342">
        <f t="shared" si="88"/>
        <v>4</v>
      </c>
      <c r="M342" t="s">
        <v>72</v>
      </c>
      <c r="N342">
        <f>SUMIF(Executions!B:B,A342,Executions!H:H)</f>
        <v>-4.1399999999999864</v>
      </c>
      <c r="O342">
        <f t="shared" si="82"/>
        <v>-1.0349999999999966</v>
      </c>
      <c r="P342">
        <f>Tabla1[[#This Row],[Initial Risk $]]/Tabla1[[#This Row],[Position Size (shares)]]+Tabla1[[#This Row],[Entry Price]]</f>
        <v>492.74</v>
      </c>
      <c r="Q342">
        <f>Tabla1[[#This Row],[Initial Risk $]]/Tabla1[[#This Row],[Position Size (shares)]]*1.5+Tabla1[[#This Row],[Entry Price]]</f>
        <v>493.74</v>
      </c>
      <c r="R342">
        <f>Tabla1[[#This Row],[Initial Risk $]]/Tabla1[[#This Row],[Position Size (shares)]]*2+Tabla1[[#This Row],[Entry Price]]</f>
        <v>494.74</v>
      </c>
      <c r="S342">
        <f>Tabla1[[#This Row],[Initial Risk $]]/Tabla1[[#This Row],[Position Size (shares)]]*2.5+Tabla1[[#This Row],[Entry Price]]</f>
        <v>495.74</v>
      </c>
      <c r="T342">
        <f>Tabla1[[#This Row],[Initial Risk $]]/Tabla1[[#This Row],[Position Size (shares)]]*3+Tabla1[[#This Row],[Entry Price]]</f>
        <v>496.74</v>
      </c>
    </row>
    <row r="343" spans="1:20" customFormat="1" hidden="1" x14ac:dyDescent="0.25">
      <c r="A343" t="str">
        <f t="shared" si="86"/>
        <v>T-342</v>
      </c>
      <c r="B343" s="1">
        <v>46188</v>
      </c>
      <c r="C343" t="s">
        <v>533</v>
      </c>
      <c r="D343" t="s">
        <v>28</v>
      </c>
      <c r="E343" t="s">
        <v>58</v>
      </c>
      <c r="F343">
        <v>174.03</v>
      </c>
      <c r="G343">
        <v>171.53</v>
      </c>
      <c r="H343">
        <f>Tabla1[[#This Row],[Entry Price]]-(Tabla1[[#This Row],[Entry Price]]-Tabla1[[#This Row],[Initial Stop]])/2</f>
        <v>172.78</v>
      </c>
      <c r="I343">
        <v>4</v>
      </c>
      <c r="J343">
        <f t="shared" si="87"/>
        <v>10</v>
      </c>
      <c r="K343">
        <v>1</v>
      </c>
      <c r="L343">
        <f t="shared" si="88"/>
        <v>10</v>
      </c>
      <c r="M343" t="s">
        <v>72</v>
      </c>
      <c r="N343">
        <f>SUMIF(Executions!B:B,A343,Executions!H:H)</f>
        <v>-10.440000000000055</v>
      </c>
      <c r="O343">
        <f t="shared" si="82"/>
        <v>-1.0440000000000054</v>
      </c>
      <c r="P343">
        <f>Tabla1[[#This Row],[Initial Risk $]]/Tabla1[[#This Row],[Position Size (shares)]]+Tabla1[[#This Row],[Entry Price]]</f>
        <v>176.53</v>
      </c>
      <c r="Q343">
        <f>Tabla1[[#This Row],[Initial Risk $]]/Tabla1[[#This Row],[Position Size (shares)]]*1.5+Tabla1[[#This Row],[Entry Price]]</f>
        <v>177.78</v>
      </c>
      <c r="R343">
        <f>Tabla1[[#This Row],[Initial Risk $]]/Tabla1[[#This Row],[Position Size (shares)]]*2+Tabla1[[#This Row],[Entry Price]]</f>
        <v>179.03</v>
      </c>
      <c r="S343">
        <f>Tabla1[[#This Row],[Initial Risk $]]/Tabla1[[#This Row],[Position Size (shares)]]*2.5+Tabla1[[#This Row],[Entry Price]]</f>
        <v>180.28</v>
      </c>
      <c r="T343">
        <f>Tabla1[[#This Row],[Initial Risk $]]/Tabla1[[#This Row],[Position Size (shares)]]*3+Tabla1[[#This Row],[Entry Price]]</f>
        <v>181.53</v>
      </c>
    </row>
    <row r="344" spans="1:20" customFormat="1" hidden="1" x14ac:dyDescent="0.25">
      <c r="A344" t="str">
        <f t="shared" si="86"/>
        <v>T-343</v>
      </c>
      <c r="B344" s="1">
        <v>46188</v>
      </c>
      <c r="C344" t="s">
        <v>130</v>
      </c>
      <c r="D344" t="s">
        <v>28</v>
      </c>
      <c r="E344" t="s">
        <v>119</v>
      </c>
      <c r="F344">
        <v>553.4</v>
      </c>
      <c r="G344">
        <v>548.4</v>
      </c>
      <c r="H344">
        <f>Tabla1[[#This Row],[Entry Price]]-(Tabla1[[#This Row],[Entry Price]]-Tabla1[[#This Row],[Initial Stop]])/2</f>
        <v>550.9</v>
      </c>
      <c r="I344">
        <v>2</v>
      </c>
      <c r="J344">
        <f t="shared" si="87"/>
        <v>10</v>
      </c>
      <c r="K344">
        <v>1</v>
      </c>
      <c r="L344">
        <f t="shared" si="88"/>
        <v>10</v>
      </c>
      <c r="M344" t="s">
        <v>72</v>
      </c>
      <c r="N344">
        <f>SUMIF(Executions!B:B,A344,Executions!H:H)</f>
        <v>-10.779999999999973</v>
      </c>
      <c r="O344">
        <f t="shared" si="82"/>
        <v>-1.0779999999999972</v>
      </c>
      <c r="P344">
        <f>Tabla1[[#This Row],[Initial Risk $]]/Tabla1[[#This Row],[Position Size (shares)]]+Tabla1[[#This Row],[Entry Price]]</f>
        <v>558.4</v>
      </c>
      <c r="Q344">
        <f>Tabla1[[#This Row],[Initial Risk $]]/Tabla1[[#This Row],[Position Size (shares)]]*1.5+Tabla1[[#This Row],[Entry Price]]</f>
        <v>560.9</v>
      </c>
      <c r="R344">
        <f>Tabla1[[#This Row],[Initial Risk $]]/Tabla1[[#This Row],[Position Size (shares)]]*2+Tabla1[[#This Row],[Entry Price]]</f>
        <v>563.4</v>
      </c>
      <c r="S344">
        <f>Tabla1[[#This Row],[Initial Risk $]]/Tabla1[[#This Row],[Position Size (shares)]]*2.5+Tabla1[[#This Row],[Entry Price]]</f>
        <v>565.9</v>
      </c>
      <c r="T344">
        <f>Tabla1[[#This Row],[Initial Risk $]]/Tabla1[[#This Row],[Position Size (shares)]]*3+Tabla1[[#This Row],[Entry Price]]</f>
        <v>568.4</v>
      </c>
    </row>
    <row r="345" spans="1:20" customFormat="1" hidden="1" x14ac:dyDescent="0.25">
      <c r="A345" t="str">
        <f t="shared" si="86"/>
        <v>T-344</v>
      </c>
      <c r="B345" s="1">
        <v>46188</v>
      </c>
      <c r="C345" t="s">
        <v>161</v>
      </c>
      <c r="D345" t="s">
        <v>28</v>
      </c>
      <c r="E345" t="s">
        <v>119</v>
      </c>
      <c r="F345">
        <v>128.4</v>
      </c>
      <c r="G345">
        <v>127.01</v>
      </c>
      <c r="H345">
        <f>Tabla1[[#This Row],[Entry Price]]-(Tabla1[[#This Row],[Entry Price]]-Tabla1[[#This Row],[Initial Stop]])/2</f>
        <v>127.70500000000001</v>
      </c>
      <c r="I345">
        <v>8</v>
      </c>
      <c r="J345">
        <f t="shared" si="87"/>
        <v>11.120000000000005</v>
      </c>
      <c r="K345">
        <v>1</v>
      </c>
      <c r="L345">
        <f t="shared" si="88"/>
        <v>11.120000000000005</v>
      </c>
      <c r="M345" t="s">
        <v>72</v>
      </c>
      <c r="N345">
        <f>SUMIF(Executions!B:B,A345,Executions!H:H)</f>
        <v>-11.520000000000095</v>
      </c>
      <c r="O345">
        <f t="shared" si="82"/>
        <v>-1.0359712230215909</v>
      </c>
      <c r="P345">
        <f>Tabla1[[#This Row],[Initial Risk $]]/Tabla1[[#This Row],[Position Size (shares)]]+Tabla1[[#This Row],[Entry Price]]</f>
        <v>129.79000000000002</v>
      </c>
      <c r="Q345">
        <f>Tabla1[[#This Row],[Initial Risk $]]/Tabla1[[#This Row],[Position Size (shares)]]*1.5+Tabla1[[#This Row],[Entry Price]]</f>
        <v>130.48500000000001</v>
      </c>
      <c r="R345">
        <f>Tabla1[[#This Row],[Initial Risk $]]/Tabla1[[#This Row],[Position Size (shares)]]*2+Tabla1[[#This Row],[Entry Price]]</f>
        <v>131.18</v>
      </c>
      <c r="S345">
        <f>Tabla1[[#This Row],[Initial Risk $]]/Tabla1[[#This Row],[Position Size (shares)]]*2.5+Tabla1[[#This Row],[Entry Price]]</f>
        <v>131.875</v>
      </c>
      <c r="T345">
        <f>Tabla1[[#This Row],[Initial Risk $]]/Tabla1[[#This Row],[Position Size (shares)]]*3+Tabla1[[#This Row],[Entry Price]]</f>
        <v>132.57</v>
      </c>
    </row>
    <row r="346" spans="1:20" customFormat="1" hidden="1" x14ac:dyDescent="0.25">
      <c r="A346" t="str">
        <f t="shared" si="86"/>
        <v>T-345</v>
      </c>
      <c r="B346" s="1">
        <v>46188</v>
      </c>
      <c r="C346" t="s">
        <v>233</v>
      </c>
      <c r="D346" t="s">
        <v>28</v>
      </c>
      <c r="E346" t="s">
        <v>119</v>
      </c>
      <c r="F346">
        <v>398.05</v>
      </c>
      <c r="G346">
        <v>392.05</v>
      </c>
      <c r="H346">
        <f>Tabla1[[#This Row],[Entry Price]]-(Tabla1[[#This Row],[Entry Price]]-Tabla1[[#This Row],[Initial Stop]])/2</f>
        <v>395.05</v>
      </c>
      <c r="I346">
        <v>2</v>
      </c>
      <c r="J346">
        <f t="shared" si="87"/>
        <v>12</v>
      </c>
      <c r="K346">
        <v>1</v>
      </c>
      <c r="L346">
        <f t="shared" si="88"/>
        <v>12</v>
      </c>
      <c r="M346" t="s">
        <v>72</v>
      </c>
      <c r="N346">
        <f>SUMIF(Executions!B:B,A346,Executions!H:H)</f>
        <v>-11.960000000000036</v>
      </c>
      <c r="O346">
        <f t="shared" si="82"/>
        <v>-0.9966666666666697</v>
      </c>
      <c r="P346">
        <f>Tabla1[[#This Row],[Initial Risk $]]/Tabla1[[#This Row],[Position Size (shares)]]+Tabla1[[#This Row],[Entry Price]]</f>
        <v>404.05</v>
      </c>
      <c r="Q346">
        <f>Tabla1[[#This Row],[Initial Risk $]]/Tabla1[[#This Row],[Position Size (shares)]]*1.5+Tabla1[[#This Row],[Entry Price]]</f>
        <v>407.05</v>
      </c>
      <c r="R346">
        <f>Tabla1[[#This Row],[Initial Risk $]]/Tabla1[[#This Row],[Position Size (shares)]]*2+Tabla1[[#This Row],[Entry Price]]</f>
        <v>410.05</v>
      </c>
      <c r="S346">
        <f>Tabla1[[#This Row],[Initial Risk $]]/Tabla1[[#This Row],[Position Size (shares)]]*2.5+Tabla1[[#This Row],[Entry Price]]</f>
        <v>413.05</v>
      </c>
      <c r="T346">
        <f>Tabla1[[#This Row],[Initial Risk $]]/Tabla1[[#This Row],[Position Size (shares)]]*3+Tabla1[[#This Row],[Entry Price]]</f>
        <v>416.05</v>
      </c>
    </row>
    <row r="347" spans="1:20" customFormat="1" hidden="1" x14ac:dyDescent="0.25">
      <c r="A347" t="str">
        <f t="shared" ref="A347:A353" si="89">"T-"&amp; TEXT(ROW()-1,"000")</f>
        <v>T-346</v>
      </c>
      <c r="B347" s="1">
        <v>46189</v>
      </c>
      <c r="C347" t="s">
        <v>550</v>
      </c>
      <c r="D347" t="s">
        <v>28</v>
      </c>
      <c r="E347" t="s">
        <v>58</v>
      </c>
      <c r="F347">
        <v>73.510000000000005</v>
      </c>
      <c r="G347">
        <v>73.069999999999993</v>
      </c>
      <c r="H347">
        <f>Tabla1[[#This Row],[Entry Price]]-(Tabla1[[#This Row],[Entry Price]]-Tabla1[[#This Row],[Initial Stop]])/2</f>
        <v>73.289999999999992</v>
      </c>
      <c r="I347">
        <v>20</v>
      </c>
      <c r="J347">
        <f t="shared" ref="J347:J353" si="90">IF(D347="Long",(F347-G347)*I347,(G347-F347)*0)</f>
        <v>8.8000000000002387</v>
      </c>
      <c r="K347">
        <v>1</v>
      </c>
      <c r="L347">
        <f t="shared" ref="L347:L353" si="91">J347*K347</f>
        <v>8.8000000000002387</v>
      </c>
      <c r="M347" t="s">
        <v>72</v>
      </c>
      <c r="N347">
        <f>SUMIF(Executions!B:B,A347,Executions!H:H)</f>
        <v>31.999999999999886</v>
      </c>
      <c r="O347">
        <f t="shared" ref="O347:O353" si="92">N347/J347</f>
        <v>3.6363636363635248</v>
      </c>
      <c r="P347">
        <f>Tabla1[[#This Row],[Initial Risk $]]/Tabla1[[#This Row],[Position Size (shares)]]+Tabla1[[#This Row],[Entry Price]]</f>
        <v>73.950000000000017</v>
      </c>
      <c r="Q347">
        <f>Tabla1[[#This Row],[Initial Risk $]]/Tabla1[[#This Row],[Position Size (shares)]]*1.5+Tabla1[[#This Row],[Entry Price]]</f>
        <v>74.170000000000016</v>
      </c>
      <c r="R347">
        <f>Tabla1[[#This Row],[Initial Risk $]]/Tabla1[[#This Row],[Position Size (shares)]]*2+Tabla1[[#This Row],[Entry Price]]</f>
        <v>74.390000000000029</v>
      </c>
      <c r="S347">
        <f>Tabla1[[#This Row],[Initial Risk $]]/Tabla1[[#This Row],[Position Size (shares)]]*2.5+Tabla1[[#This Row],[Entry Price]]</f>
        <v>74.610000000000042</v>
      </c>
      <c r="T347" s="4">
        <f>Tabla1[[#This Row],[Initial Risk $]]/Tabla1[[#This Row],[Position Size (shares)]]*3+Tabla1[[#This Row],[Entry Price]]</f>
        <v>74.830000000000041</v>
      </c>
    </row>
    <row r="348" spans="1:20" customFormat="1" hidden="1" x14ac:dyDescent="0.25">
      <c r="A348" t="str">
        <f t="shared" si="89"/>
        <v>T-347</v>
      </c>
      <c r="B348" s="1">
        <v>46189</v>
      </c>
      <c r="C348" t="s">
        <v>173</v>
      </c>
      <c r="D348" t="s">
        <v>28</v>
      </c>
      <c r="E348" t="s">
        <v>58</v>
      </c>
      <c r="F348">
        <v>132.91999999999999</v>
      </c>
      <c r="G348">
        <v>132.32</v>
      </c>
      <c r="H348">
        <f>Tabla1[[#This Row],[Entry Price]]-(Tabla1[[#This Row],[Entry Price]]-Tabla1[[#This Row],[Initial Stop]])/2</f>
        <v>132.62</v>
      </c>
      <c r="I348">
        <v>7</v>
      </c>
      <c r="J348">
        <f t="shared" si="90"/>
        <v>4.1999999999999602</v>
      </c>
      <c r="K348">
        <v>1</v>
      </c>
      <c r="L348">
        <f t="shared" si="91"/>
        <v>4.1999999999999602</v>
      </c>
      <c r="M348" t="s">
        <v>72</v>
      </c>
      <c r="N348">
        <f>SUMIF(Executions!B:B,A348,Executions!H:H)</f>
        <v>-5.1099999999999284</v>
      </c>
      <c r="O348">
        <f t="shared" si="92"/>
        <v>-1.2166666666666612</v>
      </c>
      <c r="P348">
        <f>Tabla1[[#This Row],[Initial Risk $]]/Tabla1[[#This Row],[Position Size (shares)]]+Tabla1[[#This Row],[Entry Price]]</f>
        <v>133.51999999999998</v>
      </c>
      <c r="Q348">
        <f>Tabla1[[#This Row],[Initial Risk $]]/Tabla1[[#This Row],[Position Size (shares)]]*1.5+Tabla1[[#This Row],[Entry Price]]</f>
        <v>133.82</v>
      </c>
      <c r="R348">
        <f>Tabla1[[#This Row],[Initial Risk $]]/Tabla1[[#This Row],[Position Size (shares)]]*2+Tabla1[[#This Row],[Entry Price]]</f>
        <v>134.11999999999998</v>
      </c>
      <c r="S348">
        <f>Tabla1[[#This Row],[Initial Risk $]]/Tabla1[[#This Row],[Position Size (shares)]]*2.5+Tabla1[[#This Row],[Entry Price]]</f>
        <v>134.41999999999996</v>
      </c>
      <c r="T348" s="4">
        <f>Tabla1[[#This Row],[Initial Risk $]]/Tabla1[[#This Row],[Position Size (shares)]]*3+Tabla1[[#This Row],[Entry Price]]</f>
        <v>134.71999999999997</v>
      </c>
    </row>
    <row r="349" spans="1:20" customFormat="1" hidden="1" x14ac:dyDescent="0.25">
      <c r="A349" t="str">
        <f t="shared" si="89"/>
        <v>T-348</v>
      </c>
      <c r="B349" s="1">
        <v>46189</v>
      </c>
      <c r="C349" t="s">
        <v>164</v>
      </c>
      <c r="D349" t="s">
        <v>28</v>
      </c>
      <c r="E349" t="s">
        <v>119</v>
      </c>
      <c r="F349">
        <v>209.61</v>
      </c>
      <c r="G349">
        <v>208.61</v>
      </c>
      <c r="H349">
        <f>Tabla1[[#This Row],[Entry Price]]-(Tabla1[[#This Row],[Entry Price]]-Tabla1[[#This Row],[Initial Stop]])/2</f>
        <v>209.11</v>
      </c>
      <c r="I349">
        <v>4</v>
      </c>
      <c r="J349">
        <f t="shared" si="90"/>
        <v>4</v>
      </c>
      <c r="K349">
        <v>1</v>
      </c>
      <c r="L349">
        <f t="shared" si="91"/>
        <v>4</v>
      </c>
      <c r="M349" t="s">
        <v>72</v>
      </c>
      <c r="N349">
        <f>SUMIF(Executions!B:B,A349,Executions!H:H)</f>
        <v>-4.0400000000000773</v>
      </c>
      <c r="O349">
        <f t="shared" si="92"/>
        <v>-1.0100000000000193</v>
      </c>
      <c r="P349">
        <f>Tabla1[[#This Row],[Initial Risk $]]/Tabla1[[#This Row],[Position Size (shares)]]+Tabla1[[#This Row],[Entry Price]]</f>
        <v>210.61</v>
      </c>
      <c r="Q349">
        <f>Tabla1[[#This Row],[Initial Risk $]]/Tabla1[[#This Row],[Position Size (shares)]]*1.5+Tabla1[[#This Row],[Entry Price]]</f>
        <v>211.11</v>
      </c>
      <c r="R349">
        <f>Tabla1[[#This Row],[Initial Risk $]]/Tabla1[[#This Row],[Position Size (shares)]]*2+Tabla1[[#This Row],[Entry Price]]</f>
        <v>211.61</v>
      </c>
      <c r="S349">
        <f>Tabla1[[#This Row],[Initial Risk $]]/Tabla1[[#This Row],[Position Size (shares)]]*2.5+Tabla1[[#This Row],[Entry Price]]</f>
        <v>212.11</v>
      </c>
      <c r="T349" s="4">
        <f>Tabla1[[#This Row],[Initial Risk $]]/Tabla1[[#This Row],[Position Size (shares)]]*3+Tabla1[[#This Row],[Entry Price]]</f>
        <v>212.61</v>
      </c>
    </row>
    <row r="350" spans="1:20" customFormat="1" hidden="1" x14ac:dyDescent="0.25">
      <c r="A350" t="str">
        <f t="shared" si="89"/>
        <v>T-349</v>
      </c>
      <c r="B350" s="1">
        <v>46189</v>
      </c>
      <c r="C350" t="s">
        <v>135</v>
      </c>
      <c r="D350" t="s">
        <v>28</v>
      </c>
      <c r="E350" t="s">
        <v>58</v>
      </c>
      <c r="F350">
        <v>422.39</v>
      </c>
      <c r="G350">
        <v>418.39</v>
      </c>
      <c r="H350">
        <f>Tabla1[[#This Row],[Entry Price]]-(Tabla1[[#This Row],[Entry Price]]-Tabla1[[#This Row],[Initial Stop]])/2</f>
        <v>420.39</v>
      </c>
      <c r="I350">
        <v>2</v>
      </c>
      <c r="J350">
        <f t="shared" si="90"/>
        <v>8</v>
      </c>
      <c r="K350">
        <v>1</v>
      </c>
      <c r="L350">
        <f t="shared" si="91"/>
        <v>8</v>
      </c>
      <c r="M350" t="s">
        <v>72</v>
      </c>
      <c r="N350">
        <f>SUMIF(Executions!B:B,A350,Executions!H:H)</f>
        <v>-7.6599999999999682</v>
      </c>
      <c r="O350">
        <f t="shared" si="92"/>
        <v>-0.95749999999999602</v>
      </c>
      <c r="P350">
        <f>Tabla1[[#This Row],[Initial Risk $]]/Tabla1[[#This Row],[Position Size (shares)]]+Tabla1[[#This Row],[Entry Price]]</f>
        <v>426.39</v>
      </c>
      <c r="Q350">
        <f>Tabla1[[#This Row],[Initial Risk $]]/Tabla1[[#This Row],[Position Size (shares)]]*1.5+Tabla1[[#This Row],[Entry Price]]</f>
        <v>428.39</v>
      </c>
      <c r="R350">
        <f>Tabla1[[#This Row],[Initial Risk $]]/Tabla1[[#This Row],[Position Size (shares)]]*2+Tabla1[[#This Row],[Entry Price]]</f>
        <v>430.39</v>
      </c>
      <c r="S350">
        <f>Tabla1[[#This Row],[Initial Risk $]]/Tabla1[[#This Row],[Position Size (shares)]]*2.5+Tabla1[[#This Row],[Entry Price]]</f>
        <v>432.39</v>
      </c>
      <c r="T350" s="4">
        <f>Tabla1[[#This Row],[Initial Risk $]]/Tabla1[[#This Row],[Position Size (shares)]]*3+Tabla1[[#This Row],[Entry Price]]</f>
        <v>434.39</v>
      </c>
    </row>
    <row r="351" spans="1:20" customFormat="1" hidden="1" x14ac:dyDescent="0.25">
      <c r="A351" t="str">
        <f t="shared" si="89"/>
        <v>T-350</v>
      </c>
      <c r="B351" s="1">
        <v>46189</v>
      </c>
      <c r="C351" t="s">
        <v>554</v>
      </c>
      <c r="D351" t="s">
        <v>28</v>
      </c>
      <c r="E351" t="s">
        <v>119</v>
      </c>
      <c r="F351">
        <v>705.67</v>
      </c>
      <c r="G351">
        <v>700.67</v>
      </c>
      <c r="H351">
        <f>Tabla1[[#This Row],[Entry Price]]-(Tabla1[[#This Row],[Entry Price]]-Tabla1[[#This Row],[Initial Stop]])/2</f>
        <v>703.17</v>
      </c>
      <c r="I351">
        <v>2</v>
      </c>
      <c r="J351">
        <f t="shared" si="90"/>
        <v>10</v>
      </c>
      <c r="K351">
        <v>1</v>
      </c>
      <c r="L351">
        <f t="shared" si="91"/>
        <v>10</v>
      </c>
      <c r="M351" t="s">
        <v>72</v>
      </c>
      <c r="N351">
        <f>SUMIF(Executions!B:B,A351,Executions!H:H)</f>
        <v>-13.179999999999836</v>
      </c>
      <c r="O351">
        <f t="shared" si="92"/>
        <v>-1.3179999999999836</v>
      </c>
      <c r="P351">
        <f>Tabla1[[#This Row],[Initial Risk $]]/Tabla1[[#This Row],[Position Size (shares)]]+Tabla1[[#This Row],[Entry Price]]</f>
        <v>710.67</v>
      </c>
      <c r="Q351">
        <f>Tabla1[[#This Row],[Initial Risk $]]/Tabla1[[#This Row],[Position Size (shares)]]*1.5+Tabla1[[#This Row],[Entry Price]]</f>
        <v>713.17</v>
      </c>
      <c r="R351">
        <f>Tabla1[[#This Row],[Initial Risk $]]/Tabla1[[#This Row],[Position Size (shares)]]*2+Tabla1[[#This Row],[Entry Price]]</f>
        <v>715.67</v>
      </c>
      <c r="S351">
        <f>Tabla1[[#This Row],[Initial Risk $]]/Tabla1[[#This Row],[Position Size (shares)]]*2.5+Tabla1[[#This Row],[Entry Price]]</f>
        <v>718.17</v>
      </c>
      <c r="T351" s="4">
        <f>Tabla1[[#This Row],[Initial Risk $]]/Tabla1[[#This Row],[Position Size (shares)]]*3+Tabla1[[#This Row],[Entry Price]]</f>
        <v>720.67</v>
      </c>
    </row>
    <row r="352" spans="1:20" customFormat="1" hidden="1" x14ac:dyDescent="0.25">
      <c r="A352" t="str">
        <f t="shared" si="89"/>
        <v>T-351</v>
      </c>
      <c r="B352" s="1">
        <v>46189</v>
      </c>
      <c r="C352" t="s">
        <v>557</v>
      </c>
      <c r="D352" t="s">
        <v>28</v>
      </c>
      <c r="E352" t="s">
        <v>119</v>
      </c>
      <c r="F352">
        <v>73.64</v>
      </c>
      <c r="G352">
        <v>73.290000000000006</v>
      </c>
      <c r="H352">
        <f>Tabla1[[#This Row],[Entry Price]]-(Tabla1[[#This Row],[Entry Price]]-Tabla1[[#This Row],[Initial Stop]])/2</f>
        <v>73.465000000000003</v>
      </c>
      <c r="I352">
        <v>7</v>
      </c>
      <c r="J352">
        <f t="shared" si="90"/>
        <v>2.4499999999999602</v>
      </c>
      <c r="K352">
        <v>1</v>
      </c>
      <c r="L352">
        <f t="shared" si="91"/>
        <v>2.4499999999999602</v>
      </c>
      <c r="M352" t="s">
        <v>72</v>
      </c>
      <c r="N352">
        <f>SUMIF(Executions!B:B,A352,Executions!H:H)</f>
        <v>-2.5900000000000318</v>
      </c>
      <c r="O352">
        <f t="shared" si="92"/>
        <v>-1.0571428571428874</v>
      </c>
      <c r="P352">
        <f>Tabla1[[#This Row],[Initial Risk $]]/Tabla1[[#This Row],[Position Size (shares)]]+Tabla1[[#This Row],[Entry Price]]</f>
        <v>73.989999999999995</v>
      </c>
      <c r="Q352">
        <f>Tabla1[[#This Row],[Initial Risk $]]/Tabla1[[#This Row],[Position Size (shares)]]*1.5+Tabla1[[#This Row],[Entry Price]]</f>
        <v>74.164999999999992</v>
      </c>
      <c r="R352">
        <f>Tabla1[[#This Row],[Initial Risk $]]/Tabla1[[#This Row],[Position Size (shares)]]*2+Tabla1[[#This Row],[Entry Price]]</f>
        <v>74.339999999999989</v>
      </c>
      <c r="S352">
        <f>Tabla1[[#This Row],[Initial Risk $]]/Tabla1[[#This Row],[Position Size (shares)]]*2.5+Tabla1[[#This Row],[Entry Price]]</f>
        <v>74.514999999999986</v>
      </c>
      <c r="T352" s="4">
        <f>Tabla1[[#This Row],[Initial Risk $]]/Tabla1[[#This Row],[Position Size (shares)]]*3+Tabla1[[#This Row],[Entry Price]]</f>
        <v>74.689999999999984</v>
      </c>
    </row>
    <row r="353" spans="1:20" customFormat="1" hidden="1" x14ac:dyDescent="0.25">
      <c r="A353" t="str">
        <f t="shared" si="89"/>
        <v>T-352</v>
      </c>
      <c r="B353" s="1">
        <v>46189</v>
      </c>
      <c r="C353" t="s">
        <v>207</v>
      </c>
      <c r="D353" t="s">
        <v>28</v>
      </c>
      <c r="E353" t="s">
        <v>119</v>
      </c>
      <c r="F353">
        <v>29.97</v>
      </c>
      <c r="G353">
        <v>28.57</v>
      </c>
      <c r="H353">
        <f>Tabla1[[#This Row],[Entry Price]]-(Tabla1[[#This Row],[Entry Price]]-Tabla1[[#This Row],[Initial Stop]])/2</f>
        <v>29.27</v>
      </c>
      <c r="I353">
        <v>3</v>
      </c>
      <c r="J353">
        <f t="shared" si="90"/>
        <v>4.1999999999999957</v>
      </c>
      <c r="K353">
        <v>1</v>
      </c>
      <c r="L353">
        <f t="shared" si="91"/>
        <v>4.1999999999999957</v>
      </c>
      <c r="M353" t="s">
        <v>72</v>
      </c>
      <c r="N353">
        <f>SUMIF(Executions!B:B,A353,Executions!H:H)</f>
        <v>-4.1999999999999957</v>
      </c>
      <c r="O353">
        <f t="shared" si="92"/>
        <v>-1</v>
      </c>
      <c r="P353">
        <f>Tabla1[[#This Row],[Initial Risk $]]/Tabla1[[#This Row],[Position Size (shares)]]+Tabla1[[#This Row],[Entry Price]]</f>
        <v>31.369999999999997</v>
      </c>
      <c r="Q353">
        <f>Tabla1[[#This Row],[Initial Risk $]]/Tabla1[[#This Row],[Position Size (shares)]]*1.5+Tabla1[[#This Row],[Entry Price]]</f>
        <v>32.069999999999993</v>
      </c>
      <c r="R353">
        <f>Tabla1[[#This Row],[Initial Risk $]]/Tabla1[[#This Row],[Position Size (shares)]]*2+Tabla1[[#This Row],[Entry Price]]</f>
        <v>32.769999999999996</v>
      </c>
      <c r="S353">
        <f>Tabla1[[#This Row],[Initial Risk $]]/Tabla1[[#This Row],[Position Size (shares)]]*2.5+Tabla1[[#This Row],[Entry Price]]</f>
        <v>33.47</v>
      </c>
      <c r="T353" s="4">
        <f>Tabla1[[#This Row],[Initial Risk $]]/Tabla1[[#This Row],[Position Size (shares)]]*3+Tabla1[[#This Row],[Entry Price]]</f>
        <v>34.169999999999995</v>
      </c>
    </row>
    <row r="354" spans="1:20" customFormat="1" hidden="1" x14ac:dyDescent="0.25">
      <c r="A354" t="str">
        <f t="shared" ref="A354:A362" si="93">"T-"&amp; TEXT(ROW()-1,"000")</f>
        <v>T-353</v>
      </c>
      <c r="B354" s="1">
        <v>46190</v>
      </c>
      <c r="C354" t="s">
        <v>560</v>
      </c>
      <c r="D354" t="s">
        <v>28</v>
      </c>
      <c r="E354" t="s">
        <v>58</v>
      </c>
      <c r="F354">
        <v>68.67</v>
      </c>
      <c r="G354">
        <v>68.44</v>
      </c>
      <c r="H354">
        <f>Tabla1[[#This Row],[Entry Price]]-(Tabla1[[#This Row],[Entry Price]]-Tabla1[[#This Row],[Initial Stop]])/2</f>
        <v>68.555000000000007</v>
      </c>
      <c r="I354">
        <v>15</v>
      </c>
      <c r="J354">
        <f t="shared" ref="J354:J362" si="94">IF(D354="Long",(F354-G354)*I354,(G354-F354)*0)</f>
        <v>3.4500000000000597</v>
      </c>
      <c r="K354">
        <v>1</v>
      </c>
      <c r="L354">
        <f t="shared" ref="L354:L362" si="95">J354*K354</f>
        <v>3.4500000000000597</v>
      </c>
      <c r="M354" t="s">
        <v>72</v>
      </c>
      <c r="N354">
        <f>SUMIF(Executions!B:B,A354,Executions!H:H)</f>
        <v>-3.4500000000000597</v>
      </c>
      <c r="O354">
        <f t="shared" ref="O354:O362" si="96">N354/J354</f>
        <v>-1</v>
      </c>
      <c r="P354">
        <f>Tabla1[[#This Row],[Initial Risk $]]/Tabla1[[#This Row],[Position Size (shares)]]+Tabla1[[#This Row],[Entry Price]]</f>
        <v>68.900000000000006</v>
      </c>
      <c r="Q354">
        <f>Tabla1[[#This Row],[Initial Risk $]]/Tabla1[[#This Row],[Position Size (shares)]]*1.5+Tabla1[[#This Row],[Entry Price]]</f>
        <v>69.015000000000015</v>
      </c>
      <c r="R354">
        <f>Tabla1[[#This Row],[Initial Risk $]]/Tabla1[[#This Row],[Position Size (shares)]]*2+Tabla1[[#This Row],[Entry Price]]</f>
        <v>69.13000000000001</v>
      </c>
      <c r="S354">
        <f>Tabla1[[#This Row],[Initial Risk $]]/Tabla1[[#This Row],[Position Size (shares)]]*2.5+Tabla1[[#This Row],[Entry Price]]</f>
        <v>69.245000000000005</v>
      </c>
      <c r="T354" s="4">
        <f>Tabla1[[#This Row],[Initial Risk $]]/Tabla1[[#This Row],[Position Size (shares)]]*3+Tabla1[[#This Row],[Entry Price]]</f>
        <v>69.360000000000014</v>
      </c>
    </row>
    <row r="355" spans="1:20" customFormat="1" hidden="1" x14ac:dyDescent="0.25">
      <c r="A355" t="str">
        <f t="shared" si="93"/>
        <v>T-354</v>
      </c>
      <c r="B355" s="1">
        <v>46190</v>
      </c>
      <c r="C355" t="s">
        <v>550</v>
      </c>
      <c r="D355" t="s">
        <v>28</v>
      </c>
      <c r="E355" t="s">
        <v>58</v>
      </c>
      <c r="F355">
        <v>74.8</v>
      </c>
      <c r="G355">
        <v>74.319999999999993</v>
      </c>
      <c r="H355">
        <f>Tabla1[[#This Row],[Entry Price]]-(Tabla1[[#This Row],[Entry Price]]-Tabla1[[#This Row],[Initial Stop]])/2</f>
        <v>74.56</v>
      </c>
      <c r="I355">
        <v>15</v>
      </c>
      <c r="J355">
        <f t="shared" si="94"/>
        <v>7.2000000000000597</v>
      </c>
      <c r="K355">
        <v>1</v>
      </c>
      <c r="L355">
        <f t="shared" si="95"/>
        <v>7.2000000000000597</v>
      </c>
      <c r="M355" t="s">
        <v>72</v>
      </c>
      <c r="N355">
        <f>SUMIF(Executions!B:B,A355,Executions!H:H)</f>
        <v>25.799999999999983</v>
      </c>
      <c r="O355">
        <f t="shared" si="96"/>
        <v>3.5833333333333011</v>
      </c>
      <c r="P355">
        <f>Tabla1[[#This Row],[Initial Risk $]]/Tabla1[[#This Row],[Position Size (shares)]]+Tabla1[[#This Row],[Entry Price]]</f>
        <v>75.28</v>
      </c>
      <c r="Q355">
        <f>Tabla1[[#This Row],[Initial Risk $]]/Tabla1[[#This Row],[Position Size (shares)]]*1.5+Tabla1[[#This Row],[Entry Price]]</f>
        <v>75.52000000000001</v>
      </c>
      <c r="R355">
        <f>Tabla1[[#This Row],[Initial Risk $]]/Tabla1[[#This Row],[Position Size (shares)]]*2+Tabla1[[#This Row],[Entry Price]]</f>
        <v>75.760000000000005</v>
      </c>
      <c r="S355">
        <f>Tabla1[[#This Row],[Initial Risk $]]/Tabla1[[#This Row],[Position Size (shares)]]*2.5+Tabla1[[#This Row],[Entry Price]]</f>
        <v>76</v>
      </c>
      <c r="T355" s="4">
        <f>Tabla1[[#This Row],[Initial Risk $]]/Tabla1[[#This Row],[Position Size (shares)]]*3+Tabla1[[#This Row],[Entry Price]]</f>
        <v>76.240000000000009</v>
      </c>
    </row>
    <row r="356" spans="1:20" customFormat="1" hidden="1" x14ac:dyDescent="0.25">
      <c r="A356" t="str">
        <f t="shared" si="93"/>
        <v>T-355</v>
      </c>
      <c r="B356" s="1">
        <v>46190</v>
      </c>
      <c r="C356" t="s">
        <v>561</v>
      </c>
      <c r="D356" t="s">
        <v>28</v>
      </c>
      <c r="E356" t="s">
        <v>58</v>
      </c>
      <c r="F356">
        <v>141.46</v>
      </c>
      <c r="G356">
        <v>140.46</v>
      </c>
      <c r="H356">
        <f>Tabla1[[#This Row],[Entry Price]]-(Tabla1[[#This Row],[Entry Price]]-Tabla1[[#This Row],[Initial Stop]])/2</f>
        <v>140.96</v>
      </c>
      <c r="I356">
        <v>5</v>
      </c>
      <c r="J356">
        <f t="shared" si="94"/>
        <v>5</v>
      </c>
      <c r="K356">
        <v>1</v>
      </c>
      <c r="L356">
        <f t="shared" si="95"/>
        <v>5</v>
      </c>
      <c r="M356" t="s">
        <v>72</v>
      </c>
      <c r="N356">
        <f>SUMIF(Executions!B:B,A356,Executions!H:H)</f>
        <v>5.8499999999999375</v>
      </c>
      <c r="O356">
        <f t="shared" si="96"/>
        <v>1.1699999999999875</v>
      </c>
      <c r="P356">
        <f>Tabla1[[#This Row],[Initial Risk $]]/Tabla1[[#This Row],[Position Size (shares)]]+Tabla1[[#This Row],[Entry Price]]</f>
        <v>142.46</v>
      </c>
      <c r="Q356">
        <f>Tabla1[[#This Row],[Initial Risk $]]/Tabla1[[#This Row],[Position Size (shares)]]*1.5+Tabla1[[#This Row],[Entry Price]]</f>
        <v>142.96</v>
      </c>
      <c r="R356">
        <f>Tabla1[[#This Row],[Initial Risk $]]/Tabla1[[#This Row],[Position Size (shares)]]*2+Tabla1[[#This Row],[Entry Price]]</f>
        <v>143.46</v>
      </c>
      <c r="S356">
        <f>Tabla1[[#This Row],[Initial Risk $]]/Tabla1[[#This Row],[Position Size (shares)]]*2.5+Tabla1[[#This Row],[Entry Price]]</f>
        <v>143.96</v>
      </c>
      <c r="T356" s="4">
        <f>Tabla1[[#This Row],[Initial Risk $]]/Tabla1[[#This Row],[Position Size (shares)]]*3+Tabla1[[#This Row],[Entry Price]]</f>
        <v>144.46</v>
      </c>
    </row>
    <row r="357" spans="1:20" customFormat="1" hidden="1" x14ac:dyDescent="0.25">
      <c r="A357" t="str">
        <f t="shared" si="93"/>
        <v>T-356</v>
      </c>
      <c r="B357" s="1">
        <v>46190</v>
      </c>
      <c r="C357" t="s">
        <v>564</v>
      </c>
      <c r="D357" t="s">
        <v>28</v>
      </c>
      <c r="E357" t="s">
        <v>58</v>
      </c>
      <c r="F357">
        <v>19.46</v>
      </c>
      <c r="G357">
        <v>19.260000000000002</v>
      </c>
      <c r="H357">
        <f>Tabla1[[#This Row],[Entry Price]]-(Tabla1[[#This Row],[Entry Price]]-Tabla1[[#This Row],[Initial Stop]])/2</f>
        <v>19.36</v>
      </c>
      <c r="I357">
        <v>30</v>
      </c>
      <c r="J357">
        <f t="shared" si="94"/>
        <v>5.9999999999999787</v>
      </c>
      <c r="K357">
        <v>1</v>
      </c>
      <c r="L357">
        <f t="shared" si="95"/>
        <v>5.9999999999999787</v>
      </c>
      <c r="M357" t="s">
        <v>72</v>
      </c>
      <c r="N357">
        <f>SUMIF(Executions!B:B,A357,Executions!H:H)</f>
        <v>-6.3000000000000256</v>
      </c>
      <c r="O357">
        <f t="shared" si="96"/>
        <v>-1.050000000000008</v>
      </c>
      <c r="P357">
        <f>Tabla1[[#This Row],[Initial Risk $]]/Tabla1[[#This Row],[Position Size (shares)]]+Tabla1[[#This Row],[Entry Price]]</f>
        <v>19.66</v>
      </c>
      <c r="Q357">
        <f>Tabla1[[#This Row],[Initial Risk $]]/Tabla1[[#This Row],[Position Size (shares)]]*1.5+Tabla1[[#This Row],[Entry Price]]</f>
        <v>19.759999999999998</v>
      </c>
      <c r="R357">
        <f>Tabla1[[#This Row],[Initial Risk $]]/Tabla1[[#This Row],[Position Size (shares)]]*2+Tabla1[[#This Row],[Entry Price]]</f>
        <v>19.86</v>
      </c>
      <c r="S357">
        <f>Tabla1[[#This Row],[Initial Risk $]]/Tabla1[[#This Row],[Position Size (shares)]]*2.5+Tabla1[[#This Row],[Entry Price]]</f>
        <v>19.96</v>
      </c>
      <c r="T357" s="4">
        <f>Tabla1[[#This Row],[Initial Risk $]]/Tabla1[[#This Row],[Position Size (shares)]]*3+Tabla1[[#This Row],[Entry Price]]</f>
        <v>20.059999999999999</v>
      </c>
    </row>
    <row r="358" spans="1:20" customFormat="1" hidden="1" x14ac:dyDescent="0.25">
      <c r="A358" t="str">
        <f t="shared" si="93"/>
        <v>T-357</v>
      </c>
      <c r="B358" s="1">
        <v>46190</v>
      </c>
      <c r="C358" t="s">
        <v>161</v>
      </c>
      <c r="D358" t="s">
        <v>28</v>
      </c>
      <c r="E358" t="s">
        <v>58</v>
      </c>
      <c r="F358">
        <v>119.62</v>
      </c>
      <c r="G358">
        <v>119.05</v>
      </c>
      <c r="H358">
        <f>Tabla1[[#This Row],[Entry Price]]-(Tabla1[[#This Row],[Entry Price]]-Tabla1[[#This Row],[Initial Stop]])/2</f>
        <v>119.33500000000001</v>
      </c>
      <c r="I358">
        <v>8</v>
      </c>
      <c r="J358">
        <f t="shared" si="94"/>
        <v>4.5600000000000591</v>
      </c>
      <c r="K358">
        <v>1</v>
      </c>
      <c r="L358">
        <f t="shared" si="95"/>
        <v>4.5600000000000591</v>
      </c>
      <c r="M358" t="s">
        <v>72</v>
      </c>
      <c r="N358">
        <f>SUMIF(Executions!B:B,A358,Executions!H:H)</f>
        <v>13.839999999999918</v>
      </c>
      <c r="O358">
        <f t="shared" si="96"/>
        <v>3.0350877192981884</v>
      </c>
      <c r="P358">
        <f>Tabla1[[#This Row],[Initial Risk $]]/Tabla1[[#This Row],[Position Size (shares)]]+Tabla1[[#This Row],[Entry Price]]</f>
        <v>120.19000000000001</v>
      </c>
      <c r="Q358">
        <f>Tabla1[[#This Row],[Initial Risk $]]/Tabla1[[#This Row],[Position Size (shares)]]*1.5+Tabla1[[#This Row],[Entry Price]]</f>
        <v>120.47500000000002</v>
      </c>
      <c r="R358">
        <f>Tabla1[[#This Row],[Initial Risk $]]/Tabla1[[#This Row],[Position Size (shares)]]*2+Tabla1[[#This Row],[Entry Price]]</f>
        <v>120.76000000000002</v>
      </c>
      <c r="S358">
        <f>Tabla1[[#This Row],[Initial Risk $]]/Tabla1[[#This Row],[Position Size (shares)]]*2.5+Tabla1[[#This Row],[Entry Price]]</f>
        <v>121.04500000000002</v>
      </c>
      <c r="T358" s="4">
        <f>Tabla1[[#This Row],[Initial Risk $]]/Tabla1[[#This Row],[Position Size (shares)]]*3+Tabla1[[#This Row],[Entry Price]]</f>
        <v>121.33000000000003</v>
      </c>
    </row>
    <row r="359" spans="1:20" customFormat="1" hidden="1" x14ac:dyDescent="0.25">
      <c r="A359" t="str">
        <f t="shared" si="93"/>
        <v>T-358</v>
      </c>
      <c r="B359" s="1">
        <v>46190</v>
      </c>
      <c r="C359" t="s">
        <v>567</v>
      </c>
      <c r="D359" t="s">
        <v>28</v>
      </c>
      <c r="E359" t="s">
        <v>119</v>
      </c>
      <c r="F359">
        <v>86.32</v>
      </c>
      <c r="G359">
        <v>85.82</v>
      </c>
      <c r="H359">
        <f>Tabla1[[#This Row],[Entry Price]]-(Tabla1[[#This Row],[Entry Price]]-Tabla1[[#This Row],[Initial Stop]])/2</f>
        <v>86.07</v>
      </c>
      <c r="I359">
        <v>10</v>
      </c>
      <c r="J359">
        <f t="shared" si="94"/>
        <v>5</v>
      </c>
      <c r="K359">
        <v>1</v>
      </c>
      <c r="L359">
        <f t="shared" si="95"/>
        <v>5</v>
      </c>
      <c r="M359" t="s">
        <v>72</v>
      </c>
      <c r="N359">
        <f>SUMIF(Executions!B:B,A359,Executions!H:H)</f>
        <v>-5</v>
      </c>
      <c r="O359">
        <f t="shared" si="96"/>
        <v>-1</v>
      </c>
      <c r="P359">
        <f>Tabla1[[#This Row],[Initial Risk $]]/Tabla1[[#This Row],[Position Size (shares)]]+Tabla1[[#This Row],[Entry Price]]</f>
        <v>86.82</v>
      </c>
      <c r="Q359">
        <f>Tabla1[[#This Row],[Initial Risk $]]/Tabla1[[#This Row],[Position Size (shares)]]*1.5+Tabla1[[#This Row],[Entry Price]]</f>
        <v>87.07</v>
      </c>
      <c r="R359">
        <f>Tabla1[[#This Row],[Initial Risk $]]/Tabla1[[#This Row],[Position Size (shares)]]*2+Tabla1[[#This Row],[Entry Price]]</f>
        <v>87.32</v>
      </c>
      <c r="S359">
        <f>Tabla1[[#This Row],[Initial Risk $]]/Tabla1[[#This Row],[Position Size (shares)]]*2.5+Tabla1[[#This Row],[Entry Price]]</f>
        <v>87.57</v>
      </c>
      <c r="T359" s="4">
        <f>Tabla1[[#This Row],[Initial Risk $]]/Tabla1[[#This Row],[Position Size (shares)]]*3+Tabla1[[#This Row],[Entry Price]]</f>
        <v>87.82</v>
      </c>
    </row>
    <row r="360" spans="1:20" customFormat="1" hidden="1" x14ac:dyDescent="0.25">
      <c r="A360" t="str">
        <f t="shared" si="93"/>
        <v>T-359</v>
      </c>
      <c r="B360" s="1">
        <v>46190</v>
      </c>
      <c r="C360" t="s">
        <v>550</v>
      </c>
      <c r="D360" t="s">
        <v>28</v>
      </c>
      <c r="E360" t="s">
        <v>119</v>
      </c>
      <c r="F360">
        <v>75.53</v>
      </c>
      <c r="G360">
        <v>75.33</v>
      </c>
      <c r="H360">
        <f>Tabla1[[#This Row],[Entry Price]]-(Tabla1[[#This Row],[Entry Price]]-Tabla1[[#This Row],[Initial Stop]])/2</f>
        <v>75.430000000000007</v>
      </c>
      <c r="I360">
        <v>15</v>
      </c>
      <c r="J360">
        <f t="shared" si="94"/>
        <v>3.0000000000000426</v>
      </c>
      <c r="K360">
        <v>1</v>
      </c>
      <c r="L360">
        <f t="shared" si="95"/>
        <v>3.0000000000000426</v>
      </c>
      <c r="M360" t="s">
        <v>72</v>
      </c>
      <c r="N360">
        <f>SUMIF(Executions!B:B,A360,Executions!H:H)</f>
        <v>-3.1500000000001194</v>
      </c>
      <c r="O360">
        <f t="shared" si="96"/>
        <v>-1.0500000000000249</v>
      </c>
      <c r="P360">
        <f>Tabla1[[#This Row],[Initial Risk $]]/Tabla1[[#This Row],[Position Size (shares)]]+Tabla1[[#This Row],[Entry Price]]</f>
        <v>75.73</v>
      </c>
      <c r="Q360">
        <f>Tabla1[[#This Row],[Initial Risk $]]/Tabla1[[#This Row],[Position Size (shares)]]*1.5+Tabla1[[#This Row],[Entry Price]]</f>
        <v>75.830000000000013</v>
      </c>
      <c r="R360">
        <f>Tabla1[[#This Row],[Initial Risk $]]/Tabla1[[#This Row],[Position Size (shares)]]*2+Tabla1[[#This Row],[Entry Price]]</f>
        <v>75.930000000000007</v>
      </c>
      <c r="S360">
        <f>Tabla1[[#This Row],[Initial Risk $]]/Tabla1[[#This Row],[Position Size (shares)]]*2.5+Tabla1[[#This Row],[Entry Price]]</f>
        <v>76.03</v>
      </c>
      <c r="T360" s="4">
        <f>Tabla1[[#This Row],[Initial Risk $]]/Tabla1[[#This Row],[Position Size (shares)]]*3+Tabla1[[#This Row],[Entry Price]]</f>
        <v>76.13000000000001</v>
      </c>
    </row>
    <row r="361" spans="1:20" customFormat="1" hidden="1" x14ac:dyDescent="0.25">
      <c r="A361" t="str">
        <f t="shared" si="93"/>
        <v>T-360</v>
      </c>
      <c r="B361" s="1">
        <v>46190</v>
      </c>
      <c r="C361" t="s">
        <v>570</v>
      </c>
      <c r="D361" t="s">
        <v>28</v>
      </c>
      <c r="E361" t="s">
        <v>119</v>
      </c>
      <c r="F361">
        <v>33.44</v>
      </c>
      <c r="G361">
        <v>33.24</v>
      </c>
      <c r="H361">
        <f>Tabla1[[#This Row],[Entry Price]]-(Tabla1[[#This Row],[Entry Price]]-Tabla1[[#This Row],[Initial Stop]])/2</f>
        <v>33.340000000000003</v>
      </c>
      <c r="I361">
        <v>20</v>
      </c>
      <c r="J361">
        <f t="shared" si="94"/>
        <v>3.9999999999999147</v>
      </c>
      <c r="K361">
        <v>1</v>
      </c>
      <c r="L361">
        <f t="shared" si="95"/>
        <v>3.9999999999999147</v>
      </c>
      <c r="M361" t="s">
        <v>72</v>
      </c>
      <c r="N361">
        <f>SUMIF(Executions!B:B,A361,Executions!H:H)</f>
        <v>-4.0999999999999659</v>
      </c>
      <c r="O361">
        <f t="shared" si="96"/>
        <v>-1.0250000000000132</v>
      </c>
      <c r="P361">
        <f>Tabla1[[#This Row],[Initial Risk $]]/Tabla1[[#This Row],[Position Size (shares)]]+Tabla1[[#This Row],[Entry Price]]</f>
        <v>33.639999999999993</v>
      </c>
      <c r="Q361">
        <f>Tabla1[[#This Row],[Initial Risk $]]/Tabla1[[#This Row],[Position Size (shares)]]*1.5+Tabla1[[#This Row],[Entry Price]]</f>
        <v>33.739999999999995</v>
      </c>
      <c r="R361">
        <f>Tabla1[[#This Row],[Initial Risk $]]/Tabla1[[#This Row],[Position Size (shares)]]*2+Tabla1[[#This Row],[Entry Price]]</f>
        <v>33.839999999999989</v>
      </c>
      <c r="S361">
        <f>Tabla1[[#This Row],[Initial Risk $]]/Tabla1[[#This Row],[Position Size (shares)]]*2.5+Tabla1[[#This Row],[Entry Price]]</f>
        <v>33.939999999999984</v>
      </c>
      <c r="T361" s="4">
        <f>Tabla1[[#This Row],[Initial Risk $]]/Tabla1[[#This Row],[Position Size (shares)]]*3+Tabla1[[#This Row],[Entry Price]]</f>
        <v>34.039999999999985</v>
      </c>
    </row>
    <row r="362" spans="1:20" customFormat="1" hidden="1" x14ac:dyDescent="0.25">
      <c r="A362" t="str">
        <f t="shared" si="93"/>
        <v>T-361</v>
      </c>
      <c r="B362" s="1">
        <v>46190</v>
      </c>
      <c r="C362" t="s">
        <v>445</v>
      </c>
      <c r="D362" t="s">
        <v>28</v>
      </c>
      <c r="E362" t="s">
        <v>119</v>
      </c>
      <c r="F362">
        <v>49.73</v>
      </c>
      <c r="G362">
        <v>49.48</v>
      </c>
      <c r="H362">
        <f>Tabla1[[#This Row],[Entry Price]]-(Tabla1[[#This Row],[Entry Price]]-Tabla1[[#This Row],[Initial Stop]])/2</f>
        <v>49.604999999999997</v>
      </c>
      <c r="I362">
        <v>12</v>
      </c>
      <c r="J362">
        <f t="shared" si="94"/>
        <v>3</v>
      </c>
      <c r="K362">
        <v>1</v>
      </c>
      <c r="L362">
        <f t="shared" si="95"/>
        <v>3</v>
      </c>
      <c r="M362" t="s">
        <v>72</v>
      </c>
      <c r="N362">
        <f>SUMIF(Executions!B:B,A362,Executions!H:H)</f>
        <v>-2.6399999999999864</v>
      </c>
      <c r="O362">
        <f t="shared" si="96"/>
        <v>-0.87999999999999545</v>
      </c>
      <c r="P362">
        <f>Tabla1[[#This Row],[Initial Risk $]]/Tabla1[[#This Row],[Position Size (shares)]]+Tabla1[[#This Row],[Entry Price]]</f>
        <v>49.98</v>
      </c>
      <c r="Q362">
        <f>Tabla1[[#This Row],[Initial Risk $]]/Tabla1[[#This Row],[Position Size (shares)]]*1.5+Tabla1[[#This Row],[Entry Price]]</f>
        <v>50.104999999999997</v>
      </c>
      <c r="R362">
        <f>Tabla1[[#This Row],[Initial Risk $]]/Tabla1[[#This Row],[Position Size (shares)]]*2+Tabla1[[#This Row],[Entry Price]]</f>
        <v>50.23</v>
      </c>
      <c r="S362">
        <f>Tabla1[[#This Row],[Initial Risk $]]/Tabla1[[#This Row],[Position Size (shares)]]*2.5+Tabla1[[#This Row],[Entry Price]]</f>
        <v>50.354999999999997</v>
      </c>
      <c r="T362" s="4">
        <f>Tabla1[[#This Row],[Initial Risk $]]/Tabla1[[#This Row],[Position Size (shares)]]*3+Tabla1[[#This Row],[Entry Price]]</f>
        <v>50.48</v>
      </c>
    </row>
    <row r="363" spans="1:20" customFormat="1" hidden="1" x14ac:dyDescent="0.25">
      <c r="A363" t="str">
        <f t="shared" ref="A363:A371" si="97">"T-"&amp; TEXT(ROW()-1,"000")</f>
        <v>T-362</v>
      </c>
      <c r="B363" s="1">
        <v>46191</v>
      </c>
      <c r="C363" t="s">
        <v>161</v>
      </c>
      <c r="D363" t="s">
        <v>28</v>
      </c>
      <c r="E363" t="s">
        <v>58</v>
      </c>
      <c r="F363">
        <v>133.24</v>
      </c>
      <c r="G363">
        <v>132.24</v>
      </c>
      <c r="H363">
        <f>Tabla1[[#This Row],[Entry Price]]-(Tabla1[[#This Row],[Entry Price]]-Tabla1[[#This Row],[Initial Stop]])/2</f>
        <v>132.74</v>
      </c>
      <c r="I363">
        <v>8</v>
      </c>
      <c r="J363">
        <f t="shared" ref="J363:J371" si="98">IF(D363="Long",(F363-G363)*I363,(G363-F363)*0)</f>
        <v>8</v>
      </c>
      <c r="K363">
        <v>1</v>
      </c>
      <c r="L363">
        <f t="shared" ref="L363:L371" si="99">J363*K363</f>
        <v>8</v>
      </c>
      <c r="M363" t="s">
        <v>72</v>
      </c>
      <c r="N363">
        <f>SUMIF(Executions!B:B,A363,Executions!H:H)</f>
        <v>-8.8000000000001819</v>
      </c>
      <c r="O363">
        <f t="shared" ref="O363:O371" si="100">N363/J363</f>
        <v>-1.1000000000000227</v>
      </c>
      <c r="P363">
        <f>Tabla1[[#This Row],[Initial Risk $]]/Tabla1[[#This Row],[Position Size (shares)]]+Tabla1[[#This Row],[Entry Price]]</f>
        <v>134.24</v>
      </c>
      <c r="Q363">
        <f>Tabla1[[#This Row],[Initial Risk $]]/Tabla1[[#This Row],[Position Size (shares)]]*1.5+Tabla1[[#This Row],[Entry Price]]</f>
        <v>134.74</v>
      </c>
      <c r="R363">
        <f>Tabla1[[#This Row],[Initial Risk $]]/Tabla1[[#This Row],[Position Size (shares)]]*2+Tabla1[[#This Row],[Entry Price]]</f>
        <v>135.24</v>
      </c>
      <c r="S363">
        <f>Tabla1[[#This Row],[Initial Risk $]]/Tabla1[[#This Row],[Position Size (shares)]]*2.5+Tabla1[[#This Row],[Entry Price]]</f>
        <v>135.74</v>
      </c>
      <c r="T363" s="4">
        <f>Tabla1[[#This Row],[Initial Risk $]]/Tabla1[[#This Row],[Position Size (shares)]]*3+Tabla1[[#This Row],[Entry Price]]</f>
        <v>136.24</v>
      </c>
    </row>
    <row r="364" spans="1:20" customFormat="1" hidden="1" x14ac:dyDescent="0.25">
      <c r="A364" t="str">
        <f t="shared" si="97"/>
        <v>T-363</v>
      </c>
      <c r="B364" s="1">
        <v>46191</v>
      </c>
      <c r="C364" t="s">
        <v>173</v>
      </c>
      <c r="D364" t="s">
        <v>28</v>
      </c>
      <c r="E364" t="s">
        <v>119</v>
      </c>
      <c r="F364">
        <v>128.15</v>
      </c>
      <c r="G364">
        <v>127.15</v>
      </c>
      <c r="H364">
        <f>Tabla1[[#This Row],[Entry Price]]-(Tabla1[[#This Row],[Entry Price]]-Tabla1[[#This Row],[Initial Stop]])/2</f>
        <v>127.65</v>
      </c>
      <c r="I364">
        <v>5</v>
      </c>
      <c r="J364">
        <f t="shared" si="98"/>
        <v>5</v>
      </c>
      <c r="K364">
        <v>1</v>
      </c>
      <c r="L364">
        <f t="shared" si="99"/>
        <v>5</v>
      </c>
      <c r="M364" t="s">
        <v>72</v>
      </c>
      <c r="N364">
        <f>SUMIF(Executions!B:B,A364,Executions!H:H)</f>
        <v>-5.5499999999999972</v>
      </c>
      <c r="O364">
        <f t="shared" si="100"/>
        <v>-1.1099999999999994</v>
      </c>
      <c r="P364">
        <f>Tabla1[[#This Row],[Initial Risk $]]/Tabla1[[#This Row],[Position Size (shares)]]+Tabla1[[#This Row],[Entry Price]]</f>
        <v>129.15</v>
      </c>
      <c r="Q364">
        <f>Tabla1[[#This Row],[Initial Risk $]]/Tabla1[[#This Row],[Position Size (shares)]]*1.5+Tabla1[[#This Row],[Entry Price]]</f>
        <v>129.65</v>
      </c>
      <c r="R364">
        <f>Tabla1[[#This Row],[Initial Risk $]]/Tabla1[[#This Row],[Position Size (shares)]]*2+Tabla1[[#This Row],[Entry Price]]</f>
        <v>130.15</v>
      </c>
      <c r="S364">
        <f>Tabla1[[#This Row],[Initial Risk $]]/Tabla1[[#This Row],[Position Size (shares)]]*2.5+Tabla1[[#This Row],[Entry Price]]</f>
        <v>130.65</v>
      </c>
      <c r="T364" s="4">
        <f>Tabla1[[#This Row],[Initial Risk $]]/Tabla1[[#This Row],[Position Size (shares)]]*3+Tabla1[[#This Row],[Entry Price]]</f>
        <v>131.15</v>
      </c>
    </row>
    <row r="365" spans="1:20" customFormat="1" hidden="1" x14ac:dyDescent="0.25">
      <c r="A365" t="str">
        <f t="shared" si="97"/>
        <v>T-364</v>
      </c>
      <c r="B365" s="1">
        <v>46191</v>
      </c>
      <c r="C365" t="s">
        <v>576</v>
      </c>
      <c r="D365" t="s">
        <v>28</v>
      </c>
      <c r="E365" t="s">
        <v>58</v>
      </c>
      <c r="F365">
        <v>17.649999999999999</v>
      </c>
      <c r="G365">
        <v>17.489999999999998</v>
      </c>
      <c r="H365">
        <f>Tabla1[[#This Row],[Entry Price]]-(Tabla1[[#This Row],[Entry Price]]-Tabla1[[#This Row],[Initial Stop]])/2</f>
        <v>17.57</v>
      </c>
      <c r="I365">
        <v>50</v>
      </c>
      <c r="J365">
        <f t="shared" si="98"/>
        <v>8.0000000000000071</v>
      </c>
      <c r="K365">
        <v>1</v>
      </c>
      <c r="L365">
        <f t="shared" si="99"/>
        <v>8.0000000000000071</v>
      </c>
      <c r="M365" t="s">
        <v>72</v>
      </c>
      <c r="N365">
        <f>SUMIF(Executions!B:B,A365,Executions!H:H)</f>
        <v>-6.9999999999998508</v>
      </c>
      <c r="O365">
        <f t="shared" si="100"/>
        <v>-0.87499999999998057</v>
      </c>
      <c r="P365">
        <f>Tabla1[[#This Row],[Initial Risk $]]/Tabla1[[#This Row],[Position Size (shares)]]+Tabla1[[#This Row],[Entry Price]]</f>
        <v>17.809999999999999</v>
      </c>
      <c r="Q365">
        <f>Tabla1[[#This Row],[Initial Risk $]]/Tabla1[[#This Row],[Position Size (shares)]]*1.5+Tabla1[[#This Row],[Entry Price]]</f>
        <v>17.89</v>
      </c>
      <c r="R365">
        <f>Tabla1[[#This Row],[Initial Risk $]]/Tabla1[[#This Row],[Position Size (shares)]]*2+Tabla1[[#This Row],[Entry Price]]</f>
        <v>17.97</v>
      </c>
      <c r="S365">
        <f>Tabla1[[#This Row],[Initial Risk $]]/Tabla1[[#This Row],[Position Size (shares)]]*2.5+Tabla1[[#This Row],[Entry Price]]</f>
        <v>18.049999999999997</v>
      </c>
      <c r="T365" s="4">
        <f>Tabla1[[#This Row],[Initial Risk $]]/Tabla1[[#This Row],[Position Size (shares)]]*3+Tabla1[[#This Row],[Entry Price]]</f>
        <v>18.13</v>
      </c>
    </row>
    <row r="366" spans="1:20" customFormat="1" hidden="1" x14ac:dyDescent="0.25">
      <c r="A366" t="str">
        <f t="shared" si="97"/>
        <v>T-365</v>
      </c>
      <c r="B366" s="1">
        <v>46191</v>
      </c>
      <c r="C366" t="s">
        <v>161</v>
      </c>
      <c r="D366" t="s">
        <v>28</v>
      </c>
      <c r="E366" t="s">
        <v>119</v>
      </c>
      <c r="F366">
        <v>130.99</v>
      </c>
      <c r="G366">
        <v>129.44999999999999</v>
      </c>
      <c r="H366">
        <f>Tabla1[[#This Row],[Entry Price]]-(Tabla1[[#This Row],[Entry Price]]-Tabla1[[#This Row],[Initial Stop]])/2</f>
        <v>130.22</v>
      </c>
      <c r="I366">
        <v>8</v>
      </c>
      <c r="J366">
        <f t="shared" si="98"/>
        <v>12.320000000000164</v>
      </c>
      <c r="K366">
        <v>1</v>
      </c>
      <c r="L366">
        <f t="shared" si="99"/>
        <v>12.320000000000164</v>
      </c>
      <c r="M366" t="s">
        <v>72</v>
      </c>
      <c r="N366">
        <f>SUMIF(Executions!B:B,A366,Executions!H:H)</f>
        <v>-12.560000000000173</v>
      </c>
      <c r="O366">
        <f t="shared" si="100"/>
        <v>-1.0194805194805199</v>
      </c>
      <c r="P366">
        <f>Tabla1[[#This Row],[Initial Risk $]]/Tabla1[[#This Row],[Position Size (shares)]]+Tabla1[[#This Row],[Entry Price]]</f>
        <v>132.53000000000003</v>
      </c>
      <c r="Q366">
        <f>Tabla1[[#This Row],[Initial Risk $]]/Tabla1[[#This Row],[Position Size (shares)]]*1.5+Tabla1[[#This Row],[Entry Price]]</f>
        <v>133.30000000000004</v>
      </c>
      <c r="R366">
        <f>Tabla1[[#This Row],[Initial Risk $]]/Tabla1[[#This Row],[Position Size (shares)]]*2+Tabla1[[#This Row],[Entry Price]]</f>
        <v>134.07000000000005</v>
      </c>
      <c r="S366">
        <f>Tabla1[[#This Row],[Initial Risk $]]/Tabla1[[#This Row],[Position Size (shares)]]*2.5+Tabla1[[#This Row],[Entry Price]]</f>
        <v>134.84000000000006</v>
      </c>
      <c r="T366" s="4">
        <f>Tabla1[[#This Row],[Initial Risk $]]/Tabla1[[#This Row],[Position Size (shares)]]*3+Tabla1[[#This Row],[Entry Price]]</f>
        <v>135.61000000000007</v>
      </c>
    </row>
    <row r="367" spans="1:20" customFormat="1" hidden="1" x14ac:dyDescent="0.25">
      <c r="A367" t="str">
        <f t="shared" si="97"/>
        <v>T-366</v>
      </c>
      <c r="B367" s="1">
        <v>46191</v>
      </c>
      <c r="C367" t="s">
        <v>317</v>
      </c>
      <c r="D367" t="s">
        <v>28</v>
      </c>
      <c r="E367" t="s">
        <v>119</v>
      </c>
      <c r="F367">
        <v>61.98</v>
      </c>
      <c r="G367">
        <v>61.35</v>
      </c>
      <c r="H367">
        <f>Tabla1[[#This Row],[Entry Price]]-(Tabla1[[#This Row],[Entry Price]]-Tabla1[[#This Row],[Initial Stop]])/2</f>
        <v>61.664999999999999</v>
      </c>
      <c r="I367">
        <v>15</v>
      </c>
      <c r="J367">
        <f t="shared" si="98"/>
        <v>9.4499999999999318</v>
      </c>
      <c r="K367">
        <v>1</v>
      </c>
      <c r="L367">
        <f t="shared" si="99"/>
        <v>9.4499999999999318</v>
      </c>
      <c r="M367" t="s">
        <v>72</v>
      </c>
      <c r="N367">
        <f>SUMIF(Executions!B:B,A367,Executions!H:H)</f>
        <v>-8.6999999999999744</v>
      </c>
      <c r="O367">
        <f t="shared" si="100"/>
        <v>-0.92063492063492458</v>
      </c>
      <c r="P367">
        <f>Tabla1[[#This Row],[Initial Risk $]]/Tabla1[[#This Row],[Position Size (shares)]]+Tabla1[[#This Row],[Entry Price]]</f>
        <v>62.609999999999992</v>
      </c>
      <c r="Q367">
        <f>Tabla1[[#This Row],[Initial Risk $]]/Tabla1[[#This Row],[Position Size (shares)]]*1.5+Tabla1[[#This Row],[Entry Price]]</f>
        <v>62.92499999999999</v>
      </c>
      <c r="R367">
        <f>Tabla1[[#This Row],[Initial Risk $]]/Tabla1[[#This Row],[Position Size (shares)]]*2+Tabla1[[#This Row],[Entry Price]]</f>
        <v>63.239999999999988</v>
      </c>
      <c r="S367">
        <f>Tabla1[[#This Row],[Initial Risk $]]/Tabla1[[#This Row],[Position Size (shares)]]*2.5+Tabla1[[#This Row],[Entry Price]]</f>
        <v>63.554999999999986</v>
      </c>
      <c r="T367" s="4">
        <f>Tabla1[[#This Row],[Initial Risk $]]/Tabla1[[#This Row],[Position Size (shares)]]*3+Tabla1[[#This Row],[Entry Price]]</f>
        <v>63.869999999999983</v>
      </c>
    </row>
    <row r="368" spans="1:20" customFormat="1" hidden="1" x14ac:dyDescent="0.25">
      <c r="A368" t="str">
        <f t="shared" si="97"/>
        <v>T-367</v>
      </c>
      <c r="B368" s="1">
        <v>46191</v>
      </c>
      <c r="C368" t="s">
        <v>161</v>
      </c>
      <c r="D368" t="s">
        <v>28</v>
      </c>
      <c r="E368" t="s">
        <v>119</v>
      </c>
      <c r="F368">
        <v>129.85</v>
      </c>
      <c r="G368">
        <v>128.85</v>
      </c>
      <c r="H368">
        <f>Tabla1[[#This Row],[Entry Price]]-(Tabla1[[#This Row],[Entry Price]]-Tabla1[[#This Row],[Initial Stop]])/2</f>
        <v>129.35</v>
      </c>
      <c r="I368">
        <v>8</v>
      </c>
      <c r="J368">
        <f t="shared" si="98"/>
        <v>8</v>
      </c>
      <c r="K368">
        <v>1</v>
      </c>
      <c r="L368">
        <f t="shared" si="99"/>
        <v>8</v>
      </c>
      <c r="M368" t="s">
        <v>72</v>
      </c>
      <c r="N368">
        <f>SUMIF(Executions!B:B,A368,Executions!H:H)</f>
        <v>-8</v>
      </c>
      <c r="O368">
        <f t="shared" si="100"/>
        <v>-1</v>
      </c>
      <c r="P368">
        <f>Tabla1[[#This Row],[Initial Risk $]]/Tabla1[[#This Row],[Position Size (shares)]]+Tabla1[[#This Row],[Entry Price]]</f>
        <v>130.85</v>
      </c>
      <c r="Q368">
        <f>Tabla1[[#This Row],[Initial Risk $]]/Tabla1[[#This Row],[Position Size (shares)]]*1.5+Tabla1[[#This Row],[Entry Price]]</f>
        <v>131.35</v>
      </c>
      <c r="R368">
        <f>Tabla1[[#This Row],[Initial Risk $]]/Tabla1[[#This Row],[Position Size (shares)]]*2+Tabla1[[#This Row],[Entry Price]]</f>
        <v>131.85</v>
      </c>
      <c r="S368">
        <f>Tabla1[[#This Row],[Initial Risk $]]/Tabla1[[#This Row],[Position Size (shares)]]*2.5+Tabla1[[#This Row],[Entry Price]]</f>
        <v>132.35</v>
      </c>
      <c r="T368" s="4">
        <f>Tabla1[[#This Row],[Initial Risk $]]/Tabla1[[#This Row],[Position Size (shares)]]*3+Tabla1[[#This Row],[Entry Price]]</f>
        <v>132.85</v>
      </c>
    </row>
    <row r="369" spans="1:20" customFormat="1" hidden="1" x14ac:dyDescent="0.25">
      <c r="A369" t="str">
        <f t="shared" si="97"/>
        <v>T-368</v>
      </c>
      <c r="B369" s="1">
        <v>46191</v>
      </c>
      <c r="C369" t="s">
        <v>173</v>
      </c>
      <c r="D369" t="s">
        <v>28</v>
      </c>
      <c r="E369" t="s">
        <v>119</v>
      </c>
      <c r="F369">
        <v>127.47</v>
      </c>
      <c r="G369">
        <v>126.47</v>
      </c>
      <c r="H369">
        <f>Tabla1[[#This Row],[Entry Price]]-(Tabla1[[#This Row],[Entry Price]]-Tabla1[[#This Row],[Initial Stop]])/2</f>
        <v>126.97</v>
      </c>
      <c r="I369">
        <v>5</v>
      </c>
      <c r="J369">
        <f t="shared" si="98"/>
        <v>5</v>
      </c>
      <c r="K369">
        <v>1</v>
      </c>
      <c r="L369">
        <f t="shared" si="99"/>
        <v>5</v>
      </c>
      <c r="M369" t="s">
        <v>72</v>
      </c>
      <c r="N369">
        <f>SUMIF(Executions!B:B,A369,Executions!H:H)</f>
        <v>-6.1999999999999744</v>
      </c>
      <c r="O369">
        <f t="shared" si="100"/>
        <v>-1.2399999999999949</v>
      </c>
      <c r="P369">
        <f>Tabla1[[#This Row],[Initial Risk $]]/Tabla1[[#This Row],[Position Size (shares)]]+Tabla1[[#This Row],[Entry Price]]</f>
        <v>128.47</v>
      </c>
      <c r="Q369">
        <f>Tabla1[[#This Row],[Initial Risk $]]/Tabla1[[#This Row],[Position Size (shares)]]*1.5+Tabla1[[#This Row],[Entry Price]]</f>
        <v>128.97</v>
      </c>
      <c r="R369">
        <f>Tabla1[[#This Row],[Initial Risk $]]/Tabla1[[#This Row],[Position Size (shares)]]*2+Tabla1[[#This Row],[Entry Price]]</f>
        <v>129.47</v>
      </c>
      <c r="S369">
        <f>Tabla1[[#This Row],[Initial Risk $]]/Tabla1[[#This Row],[Position Size (shares)]]*2.5+Tabla1[[#This Row],[Entry Price]]</f>
        <v>129.97</v>
      </c>
      <c r="T369" s="4">
        <f>Tabla1[[#This Row],[Initial Risk $]]/Tabla1[[#This Row],[Position Size (shares)]]*3+Tabla1[[#This Row],[Entry Price]]</f>
        <v>130.47</v>
      </c>
    </row>
    <row r="370" spans="1:20" customFormat="1" hidden="1" x14ac:dyDescent="0.25">
      <c r="A370" t="str">
        <f t="shared" si="97"/>
        <v>T-369</v>
      </c>
      <c r="B370" s="1">
        <v>46191</v>
      </c>
      <c r="C370" t="s">
        <v>582</v>
      </c>
      <c r="D370" t="s">
        <v>28</v>
      </c>
      <c r="E370" t="s">
        <v>49</v>
      </c>
      <c r="F370">
        <v>101.73</v>
      </c>
      <c r="G370">
        <v>100.73</v>
      </c>
      <c r="H370">
        <f>Tabla1[[#This Row],[Entry Price]]-(Tabla1[[#This Row],[Entry Price]]-Tabla1[[#This Row],[Initial Stop]])/2</f>
        <v>101.23</v>
      </c>
      <c r="I370">
        <v>5</v>
      </c>
      <c r="J370">
        <f t="shared" si="98"/>
        <v>5</v>
      </c>
      <c r="K370">
        <v>1</v>
      </c>
      <c r="L370">
        <f t="shared" si="99"/>
        <v>5</v>
      </c>
      <c r="M370" t="s">
        <v>72</v>
      </c>
      <c r="N370">
        <f>SUMIF(Executions!B:B,A370,Executions!H:H)</f>
        <v>9.0999999999999659</v>
      </c>
      <c r="O370">
        <f t="shared" si="100"/>
        <v>1.8199999999999932</v>
      </c>
      <c r="P370">
        <f>Tabla1[[#This Row],[Initial Risk $]]/Tabla1[[#This Row],[Position Size (shares)]]+Tabla1[[#This Row],[Entry Price]]</f>
        <v>102.73</v>
      </c>
      <c r="Q370">
        <f>Tabla1[[#This Row],[Initial Risk $]]/Tabla1[[#This Row],[Position Size (shares)]]*1.5+Tabla1[[#This Row],[Entry Price]]</f>
        <v>103.23</v>
      </c>
      <c r="R370">
        <f>Tabla1[[#This Row],[Initial Risk $]]/Tabla1[[#This Row],[Position Size (shares)]]*2+Tabla1[[#This Row],[Entry Price]]</f>
        <v>103.73</v>
      </c>
      <c r="S370">
        <f>Tabla1[[#This Row],[Initial Risk $]]/Tabla1[[#This Row],[Position Size (shares)]]*2.5+Tabla1[[#This Row],[Entry Price]]</f>
        <v>104.23</v>
      </c>
      <c r="T370" s="4">
        <f>Tabla1[[#This Row],[Initial Risk $]]/Tabla1[[#This Row],[Position Size (shares)]]*3+Tabla1[[#This Row],[Entry Price]]</f>
        <v>104.73</v>
      </c>
    </row>
    <row r="371" spans="1:20" customFormat="1" hidden="1" x14ac:dyDescent="0.25">
      <c r="A371" t="str">
        <f t="shared" si="97"/>
        <v>T-370</v>
      </c>
      <c r="B371" s="1">
        <v>46191</v>
      </c>
      <c r="C371" t="s">
        <v>317</v>
      </c>
      <c r="D371" t="s">
        <v>28</v>
      </c>
      <c r="E371" t="s">
        <v>58</v>
      </c>
      <c r="F371">
        <v>62.37</v>
      </c>
      <c r="G371">
        <v>61.51</v>
      </c>
      <c r="H371">
        <f>Tabla1[[#This Row],[Entry Price]]-(Tabla1[[#This Row],[Entry Price]]-Tabla1[[#This Row],[Initial Stop]])/2</f>
        <v>61.94</v>
      </c>
      <c r="I371">
        <v>15</v>
      </c>
      <c r="J371">
        <f t="shared" si="98"/>
        <v>12.899999999999991</v>
      </c>
      <c r="K371">
        <v>1</v>
      </c>
      <c r="L371">
        <f t="shared" si="99"/>
        <v>12.899999999999991</v>
      </c>
      <c r="M371" t="s">
        <v>72</v>
      </c>
      <c r="N371">
        <f>SUMIF(Executions!B:B,A371,Executions!H:H)</f>
        <v>27.000000000000064</v>
      </c>
      <c r="O371">
        <f t="shared" si="100"/>
        <v>2.0930232558139599</v>
      </c>
      <c r="P371">
        <f>Tabla1[[#This Row],[Initial Risk $]]/Tabla1[[#This Row],[Position Size (shares)]]+Tabla1[[#This Row],[Entry Price]]</f>
        <v>63.23</v>
      </c>
      <c r="Q371">
        <f>Tabla1[[#This Row],[Initial Risk $]]/Tabla1[[#This Row],[Position Size (shares)]]*1.5+Tabla1[[#This Row],[Entry Price]]</f>
        <v>63.66</v>
      </c>
      <c r="R371">
        <f>Tabla1[[#This Row],[Initial Risk $]]/Tabla1[[#This Row],[Position Size (shares)]]*2+Tabla1[[#This Row],[Entry Price]]</f>
        <v>64.09</v>
      </c>
      <c r="S371">
        <f>Tabla1[[#This Row],[Initial Risk $]]/Tabla1[[#This Row],[Position Size (shares)]]*2.5+Tabla1[[#This Row],[Entry Price]]</f>
        <v>64.52</v>
      </c>
      <c r="T371" s="4">
        <f>Tabla1[[#This Row],[Initial Risk $]]/Tabla1[[#This Row],[Position Size (shares)]]*3+Tabla1[[#This Row],[Entry Price]]</f>
        <v>64.949999999999989</v>
      </c>
    </row>
    <row r="372" spans="1:20" customFormat="1" hidden="1" x14ac:dyDescent="0.25">
      <c r="A372" t="str">
        <f t="shared" ref="A372:A379" si="101">"T-"&amp; TEXT(ROW()-1,"000")</f>
        <v>T-371</v>
      </c>
      <c r="B372" s="1">
        <v>46195</v>
      </c>
      <c r="C372" t="s">
        <v>589</v>
      </c>
      <c r="D372" t="s">
        <v>28</v>
      </c>
      <c r="E372" t="s">
        <v>58</v>
      </c>
      <c r="F372">
        <v>34.67</v>
      </c>
      <c r="G372">
        <v>34.299999999999997</v>
      </c>
      <c r="H372">
        <f>Tabla1[[#This Row],[Entry Price]]-(Tabla1[[#This Row],[Entry Price]]-Tabla1[[#This Row],[Initial Stop]])/2</f>
        <v>34.484999999999999</v>
      </c>
      <c r="I372">
        <v>30</v>
      </c>
      <c r="J372">
        <f t="shared" ref="J372:J379" si="102">IF(D372="Long",(F372-G372)*I372,(G372-F372)*0)</f>
        <v>11.100000000000136</v>
      </c>
      <c r="K372">
        <v>1</v>
      </c>
      <c r="L372">
        <f t="shared" ref="L372:L379" si="103">J372*K372</f>
        <v>11.100000000000136</v>
      </c>
      <c r="M372" t="s">
        <v>72</v>
      </c>
      <c r="N372">
        <f>SUMIF(Executions!B:B,A372,Executions!H:H)</f>
        <v>10.949999999999953</v>
      </c>
      <c r="O372">
        <f t="shared" ref="O372:O379" si="104">N372/J372</f>
        <v>0.98648648648647008</v>
      </c>
      <c r="P372">
        <f>Tabla1[[#This Row],[Initial Risk $]]/Tabla1[[#This Row],[Position Size (shares)]]+Tabla1[[#This Row],[Entry Price]]</f>
        <v>35.040000000000006</v>
      </c>
      <c r="Q372">
        <f>Tabla1[[#This Row],[Initial Risk $]]/Tabla1[[#This Row],[Position Size (shares)]]*1.5+Tabla1[[#This Row],[Entry Price]]</f>
        <v>35.225000000000009</v>
      </c>
      <c r="R372">
        <f>Tabla1[[#This Row],[Initial Risk $]]/Tabla1[[#This Row],[Position Size (shares)]]*2+Tabla1[[#This Row],[Entry Price]]</f>
        <v>35.410000000000011</v>
      </c>
      <c r="S372">
        <f>Tabla1[[#This Row],[Initial Risk $]]/Tabla1[[#This Row],[Position Size (shares)]]*2.5+Tabla1[[#This Row],[Entry Price]]</f>
        <v>35.595000000000013</v>
      </c>
      <c r="T372" s="4">
        <f>Tabla1[[#This Row],[Initial Risk $]]/Tabla1[[#This Row],[Position Size (shares)]]*3+Tabla1[[#This Row],[Entry Price]]</f>
        <v>35.780000000000015</v>
      </c>
    </row>
    <row r="373" spans="1:20" customFormat="1" hidden="1" x14ac:dyDescent="0.25">
      <c r="A373" t="str">
        <f t="shared" si="101"/>
        <v>T-372</v>
      </c>
      <c r="B373" s="1">
        <v>46195</v>
      </c>
      <c r="C373" t="s">
        <v>588</v>
      </c>
      <c r="D373" t="s">
        <v>28</v>
      </c>
      <c r="E373" t="s">
        <v>58</v>
      </c>
      <c r="F373">
        <v>109.7</v>
      </c>
      <c r="G373">
        <v>108.7</v>
      </c>
      <c r="H373">
        <f>Tabla1[[#This Row],[Entry Price]]-(Tabla1[[#This Row],[Entry Price]]-Tabla1[[#This Row],[Initial Stop]])/2</f>
        <v>109.2</v>
      </c>
      <c r="I373">
        <v>8</v>
      </c>
      <c r="J373">
        <f t="shared" si="102"/>
        <v>8</v>
      </c>
      <c r="K373">
        <v>1</v>
      </c>
      <c r="L373">
        <f t="shared" si="103"/>
        <v>8</v>
      </c>
      <c r="M373" t="s">
        <v>72</v>
      </c>
      <c r="N373">
        <f>SUMIF(Executions!B:B,A373,Executions!H:H)</f>
        <v>-8.1599999999999682</v>
      </c>
      <c r="O373">
        <f t="shared" si="104"/>
        <v>-1.019999999999996</v>
      </c>
      <c r="P373">
        <f>Tabla1[[#This Row],[Initial Risk $]]/Tabla1[[#This Row],[Position Size (shares)]]+Tabla1[[#This Row],[Entry Price]]</f>
        <v>110.7</v>
      </c>
      <c r="Q373">
        <f>Tabla1[[#This Row],[Initial Risk $]]/Tabla1[[#This Row],[Position Size (shares)]]*1.5+Tabla1[[#This Row],[Entry Price]]</f>
        <v>111.2</v>
      </c>
      <c r="R373">
        <f>Tabla1[[#This Row],[Initial Risk $]]/Tabla1[[#This Row],[Position Size (shares)]]*2+Tabla1[[#This Row],[Entry Price]]</f>
        <v>111.7</v>
      </c>
      <c r="S373">
        <f>Tabla1[[#This Row],[Initial Risk $]]/Tabla1[[#This Row],[Position Size (shares)]]*2.5+Tabla1[[#This Row],[Entry Price]]</f>
        <v>112.2</v>
      </c>
      <c r="T373" s="4">
        <f>Tabla1[[#This Row],[Initial Risk $]]/Tabla1[[#This Row],[Position Size (shares)]]*3+Tabla1[[#This Row],[Entry Price]]</f>
        <v>112.7</v>
      </c>
    </row>
    <row r="374" spans="1:20" customFormat="1" hidden="1" x14ac:dyDescent="0.25">
      <c r="A374" t="str">
        <f t="shared" si="101"/>
        <v>T-373</v>
      </c>
      <c r="B374" s="1">
        <v>46195</v>
      </c>
      <c r="C374" t="s">
        <v>561</v>
      </c>
      <c r="D374" t="s">
        <v>28</v>
      </c>
      <c r="E374" t="s">
        <v>58</v>
      </c>
      <c r="F374">
        <v>140.94999999999999</v>
      </c>
      <c r="G374">
        <v>139.94999999999999</v>
      </c>
      <c r="H374">
        <f>Tabla1[[#This Row],[Entry Price]]-(Tabla1[[#This Row],[Entry Price]]-Tabla1[[#This Row],[Initial Stop]])/2</f>
        <v>140.44999999999999</v>
      </c>
      <c r="I374">
        <v>8</v>
      </c>
      <c r="J374">
        <f t="shared" si="102"/>
        <v>8</v>
      </c>
      <c r="K374">
        <v>1</v>
      </c>
      <c r="L374">
        <f t="shared" si="103"/>
        <v>8</v>
      </c>
      <c r="M374" t="s">
        <v>72</v>
      </c>
      <c r="N374">
        <f>SUMIF(Executions!B:B,A374,Executions!H:H)</f>
        <v>-8.0799999999999272</v>
      </c>
      <c r="O374">
        <f t="shared" si="104"/>
        <v>-1.0099999999999909</v>
      </c>
      <c r="P374">
        <f>Tabla1[[#This Row],[Initial Risk $]]/Tabla1[[#This Row],[Position Size (shares)]]+Tabla1[[#This Row],[Entry Price]]</f>
        <v>141.94999999999999</v>
      </c>
      <c r="Q374">
        <f>Tabla1[[#This Row],[Initial Risk $]]/Tabla1[[#This Row],[Position Size (shares)]]*1.5+Tabla1[[#This Row],[Entry Price]]</f>
        <v>142.44999999999999</v>
      </c>
      <c r="R374">
        <f>Tabla1[[#This Row],[Initial Risk $]]/Tabla1[[#This Row],[Position Size (shares)]]*2+Tabla1[[#This Row],[Entry Price]]</f>
        <v>142.94999999999999</v>
      </c>
      <c r="S374">
        <f>Tabla1[[#This Row],[Initial Risk $]]/Tabla1[[#This Row],[Position Size (shares)]]*2.5+Tabla1[[#This Row],[Entry Price]]</f>
        <v>143.44999999999999</v>
      </c>
      <c r="T374" s="4">
        <f>Tabla1[[#This Row],[Initial Risk $]]/Tabla1[[#This Row],[Position Size (shares)]]*3+Tabla1[[#This Row],[Entry Price]]</f>
        <v>143.94999999999999</v>
      </c>
    </row>
    <row r="375" spans="1:20" customFormat="1" hidden="1" x14ac:dyDescent="0.25">
      <c r="A375" t="str">
        <f t="shared" si="101"/>
        <v>T-374</v>
      </c>
      <c r="B375" s="1">
        <v>46195</v>
      </c>
      <c r="C375" t="s">
        <v>135</v>
      </c>
      <c r="D375" t="s">
        <v>28</v>
      </c>
      <c r="E375" t="s">
        <v>58</v>
      </c>
      <c r="F375">
        <v>425.68</v>
      </c>
      <c r="G375">
        <v>418.68</v>
      </c>
      <c r="H375">
        <f>Tabla1[[#This Row],[Entry Price]]-(Tabla1[[#This Row],[Entry Price]]-Tabla1[[#This Row],[Initial Stop]])/2</f>
        <v>422.18</v>
      </c>
      <c r="I375">
        <v>2</v>
      </c>
      <c r="J375">
        <f t="shared" si="102"/>
        <v>14</v>
      </c>
      <c r="K375">
        <v>1</v>
      </c>
      <c r="L375">
        <f t="shared" si="103"/>
        <v>14</v>
      </c>
      <c r="M375" t="s">
        <v>72</v>
      </c>
      <c r="N375">
        <f>SUMIF(Executions!B:B,A375,Executions!H:H)</f>
        <v>-12.440000000000055</v>
      </c>
      <c r="O375">
        <f t="shared" si="104"/>
        <v>-0.88857142857143245</v>
      </c>
      <c r="P375">
        <f>Tabla1[[#This Row],[Initial Risk $]]/Tabla1[[#This Row],[Position Size (shares)]]+Tabla1[[#This Row],[Entry Price]]</f>
        <v>432.68</v>
      </c>
      <c r="Q375">
        <f>Tabla1[[#This Row],[Initial Risk $]]/Tabla1[[#This Row],[Position Size (shares)]]*1.5+Tabla1[[#This Row],[Entry Price]]</f>
        <v>436.18</v>
      </c>
      <c r="R375">
        <f>Tabla1[[#This Row],[Initial Risk $]]/Tabla1[[#This Row],[Position Size (shares)]]*2+Tabla1[[#This Row],[Entry Price]]</f>
        <v>439.68</v>
      </c>
      <c r="S375">
        <f>Tabla1[[#This Row],[Initial Risk $]]/Tabla1[[#This Row],[Position Size (shares)]]*2.5+Tabla1[[#This Row],[Entry Price]]</f>
        <v>443.18</v>
      </c>
      <c r="T375" s="4">
        <f>Tabla1[[#This Row],[Initial Risk $]]/Tabla1[[#This Row],[Position Size (shares)]]*3+Tabla1[[#This Row],[Entry Price]]</f>
        <v>446.68</v>
      </c>
    </row>
    <row r="376" spans="1:20" customFormat="1" hidden="1" x14ac:dyDescent="0.25">
      <c r="A376" t="str">
        <f t="shared" si="101"/>
        <v>T-375</v>
      </c>
      <c r="B376" s="1">
        <v>46195</v>
      </c>
      <c r="C376" t="s">
        <v>576</v>
      </c>
      <c r="D376" t="s">
        <v>28</v>
      </c>
      <c r="E376" t="s">
        <v>119</v>
      </c>
      <c r="F376">
        <v>17.690000000000001</v>
      </c>
      <c r="G376">
        <v>17.57</v>
      </c>
      <c r="H376">
        <f>Tabla1[[#This Row],[Entry Price]]-(Tabla1[[#This Row],[Entry Price]]-Tabla1[[#This Row],[Initial Stop]])/2</f>
        <v>17.630000000000003</v>
      </c>
      <c r="I376">
        <v>50</v>
      </c>
      <c r="J376">
        <f t="shared" si="102"/>
        <v>6.0000000000000497</v>
      </c>
      <c r="K376">
        <v>1</v>
      </c>
      <c r="L376">
        <f t="shared" si="103"/>
        <v>6.0000000000000497</v>
      </c>
      <c r="M376" t="s">
        <v>72</v>
      </c>
      <c r="N376">
        <f>SUMIF(Executions!B:B,A376,Executions!H:H)</f>
        <v>-6.0000000000000497</v>
      </c>
      <c r="O376">
        <f t="shared" si="104"/>
        <v>-1</v>
      </c>
      <c r="P376">
        <f>Tabla1[[#This Row],[Initial Risk $]]/Tabla1[[#This Row],[Position Size (shares)]]+Tabla1[[#This Row],[Entry Price]]</f>
        <v>17.810000000000002</v>
      </c>
      <c r="Q376">
        <f>Tabla1[[#This Row],[Initial Risk $]]/Tabla1[[#This Row],[Position Size (shares)]]*1.5+Tabla1[[#This Row],[Entry Price]]</f>
        <v>17.870000000000005</v>
      </c>
      <c r="R376">
        <f>Tabla1[[#This Row],[Initial Risk $]]/Tabla1[[#This Row],[Position Size (shares)]]*2+Tabla1[[#This Row],[Entry Price]]</f>
        <v>17.930000000000003</v>
      </c>
      <c r="S376">
        <f>Tabla1[[#This Row],[Initial Risk $]]/Tabla1[[#This Row],[Position Size (shares)]]*2.5+Tabla1[[#This Row],[Entry Price]]</f>
        <v>17.990000000000002</v>
      </c>
      <c r="T376" s="4">
        <f>Tabla1[[#This Row],[Initial Risk $]]/Tabla1[[#This Row],[Position Size (shares)]]*3+Tabla1[[#This Row],[Entry Price]]</f>
        <v>18.050000000000004</v>
      </c>
    </row>
    <row r="377" spans="1:20" customFormat="1" hidden="1" x14ac:dyDescent="0.25">
      <c r="A377" t="str">
        <f t="shared" si="101"/>
        <v>T-376</v>
      </c>
      <c r="B377" s="1">
        <v>46195</v>
      </c>
      <c r="C377" t="s">
        <v>161</v>
      </c>
      <c r="D377" t="s">
        <v>28</v>
      </c>
      <c r="E377" t="s">
        <v>58</v>
      </c>
      <c r="F377">
        <v>139.79</v>
      </c>
      <c r="G377">
        <v>137.79</v>
      </c>
      <c r="H377">
        <f>Tabla1[[#This Row],[Entry Price]]-(Tabla1[[#This Row],[Entry Price]]-Tabla1[[#This Row],[Initial Stop]])/2</f>
        <v>138.79</v>
      </c>
      <c r="I377">
        <v>10</v>
      </c>
      <c r="J377">
        <f t="shared" si="102"/>
        <v>20</v>
      </c>
      <c r="K377">
        <v>1</v>
      </c>
      <c r="L377">
        <f t="shared" si="103"/>
        <v>20</v>
      </c>
      <c r="M377" t="s">
        <v>72</v>
      </c>
      <c r="N377">
        <f>SUMIF(Executions!B:B,A377,Executions!H:H)</f>
        <v>-20.099999999999909</v>
      </c>
      <c r="O377">
        <f t="shared" si="104"/>
        <v>-1.0049999999999955</v>
      </c>
      <c r="P377">
        <f>Tabla1[[#This Row],[Initial Risk $]]/Tabla1[[#This Row],[Position Size (shares)]]+Tabla1[[#This Row],[Entry Price]]</f>
        <v>141.79</v>
      </c>
      <c r="Q377">
        <f>Tabla1[[#This Row],[Initial Risk $]]/Tabla1[[#This Row],[Position Size (shares)]]*1.5+Tabla1[[#This Row],[Entry Price]]</f>
        <v>142.79</v>
      </c>
      <c r="R377">
        <f>Tabla1[[#This Row],[Initial Risk $]]/Tabla1[[#This Row],[Position Size (shares)]]*2+Tabla1[[#This Row],[Entry Price]]</f>
        <v>143.79</v>
      </c>
      <c r="S377">
        <f>Tabla1[[#This Row],[Initial Risk $]]/Tabla1[[#This Row],[Position Size (shares)]]*2.5+Tabla1[[#This Row],[Entry Price]]</f>
        <v>144.79</v>
      </c>
      <c r="T377" s="4">
        <f>Tabla1[[#This Row],[Initial Risk $]]/Tabla1[[#This Row],[Position Size (shares)]]*3+Tabla1[[#This Row],[Entry Price]]</f>
        <v>145.79</v>
      </c>
    </row>
    <row r="378" spans="1:20" customFormat="1" hidden="1" x14ac:dyDescent="0.25">
      <c r="A378" t="str">
        <f t="shared" si="101"/>
        <v>T-377</v>
      </c>
      <c r="B378" s="1">
        <v>46195</v>
      </c>
      <c r="C378" t="s">
        <v>135</v>
      </c>
      <c r="D378" t="s">
        <v>28</v>
      </c>
      <c r="E378" t="s">
        <v>119</v>
      </c>
      <c r="F378">
        <v>418.3</v>
      </c>
      <c r="G378">
        <v>414.82</v>
      </c>
      <c r="H378">
        <f>Tabla1[[#This Row],[Entry Price]]-(Tabla1[[#This Row],[Entry Price]]-Tabla1[[#This Row],[Initial Stop]])/2</f>
        <v>416.56</v>
      </c>
      <c r="I378">
        <v>4</v>
      </c>
      <c r="J378">
        <f t="shared" si="102"/>
        <v>13.920000000000073</v>
      </c>
      <c r="K378">
        <v>1</v>
      </c>
      <c r="L378">
        <f t="shared" si="103"/>
        <v>13.920000000000073</v>
      </c>
      <c r="M378" t="s">
        <v>72</v>
      </c>
      <c r="N378">
        <f>SUMIF(Executions!B:B,A378,Executions!H:H)</f>
        <v>-14.600000000000136</v>
      </c>
      <c r="O378">
        <f t="shared" si="104"/>
        <v>-1.048850574712648</v>
      </c>
      <c r="P378">
        <f>Tabla1[[#This Row],[Initial Risk $]]/Tabla1[[#This Row],[Position Size (shares)]]+Tabla1[[#This Row],[Entry Price]]</f>
        <v>421.78000000000003</v>
      </c>
      <c r="Q378">
        <f>Tabla1[[#This Row],[Initial Risk $]]/Tabla1[[#This Row],[Position Size (shares)]]*1.5+Tabla1[[#This Row],[Entry Price]]</f>
        <v>423.52000000000004</v>
      </c>
      <c r="R378">
        <f>Tabla1[[#This Row],[Initial Risk $]]/Tabla1[[#This Row],[Position Size (shares)]]*2+Tabla1[[#This Row],[Entry Price]]</f>
        <v>425.26000000000005</v>
      </c>
      <c r="S378">
        <f>Tabla1[[#This Row],[Initial Risk $]]/Tabla1[[#This Row],[Position Size (shares)]]*2.5+Tabla1[[#This Row],[Entry Price]]</f>
        <v>427.00000000000006</v>
      </c>
      <c r="T378" s="4">
        <f>Tabla1[[#This Row],[Initial Risk $]]/Tabla1[[#This Row],[Position Size (shares)]]*3+Tabla1[[#This Row],[Entry Price]]</f>
        <v>428.74000000000007</v>
      </c>
    </row>
    <row r="379" spans="1:20" customFormat="1" hidden="1" x14ac:dyDescent="0.25">
      <c r="A379" t="str">
        <f t="shared" si="101"/>
        <v>T-378</v>
      </c>
      <c r="B379" s="1">
        <v>46195</v>
      </c>
      <c r="C379" t="s">
        <v>76</v>
      </c>
      <c r="D379" t="s">
        <v>28</v>
      </c>
      <c r="E379" t="s">
        <v>58</v>
      </c>
      <c r="F379">
        <v>9</v>
      </c>
      <c r="G379">
        <v>8.1999999999999993</v>
      </c>
      <c r="H379">
        <f>Tabla1[[#This Row],[Entry Price]]-(Tabla1[[#This Row],[Entry Price]]-Tabla1[[#This Row],[Initial Stop]])/2</f>
        <v>8.6</v>
      </c>
      <c r="I379">
        <v>20</v>
      </c>
      <c r="J379">
        <f t="shared" si="102"/>
        <v>16.000000000000014</v>
      </c>
      <c r="K379">
        <v>1</v>
      </c>
      <c r="L379">
        <f t="shared" si="103"/>
        <v>16.000000000000014</v>
      </c>
      <c r="M379" t="s">
        <v>72</v>
      </c>
      <c r="N379">
        <f>SUMIF(Executions!B:B,A379,Executions!H:H)</f>
        <v>-2.1999999999999886</v>
      </c>
      <c r="O379">
        <f t="shared" si="104"/>
        <v>-0.13749999999999918</v>
      </c>
      <c r="P379">
        <f>Tabla1[[#This Row],[Initial Risk $]]/Tabla1[[#This Row],[Position Size (shares)]]+Tabla1[[#This Row],[Entry Price]]</f>
        <v>9.8000000000000007</v>
      </c>
      <c r="Q379">
        <f>Tabla1[[#This Row],[Initial Risk $]]/Tabla1[[#This Row],[Position Size (shares)]]*1.5+Tabla1[[#This Row],[Entry Price]]</f>
        <v>10.200000000000001</v>
      </c>
      <c r="R379">
        <f>Tabla1[[#This Row],[Initial Risk $]]/Tabla1[[#This Row],[Position Size (shares)]]*2+Tabla1[[#This Row],[Entry Price]]</f>
        <v>10.600000000000001</v>
      </c>
      <c r="S379">
        <f>Tabla1[[#This Row],[Initial Risk $]]/Tabla1[[#This Row],[Position Size (shares)]]*2.5+Tabla1[[#This Row],[Entry Price]]</f>
        <v>11.000000000000002</v>
      </c>
      <c r="T379" s="4">
        <f>Tabla1[[#This Row],[Initial Risk $]]/Tabla1[[#This Row],[Position Size (shares)]]*3+Tabla1[[#This Row],[Entry Price]]</f>
        <v>11.400000000000002</v>
      </c>
    </row>
    <row r="380" spans="1:20" customFormat="1" hidden="1" x14ac:dyDescent="0.25">
      <c r="A380" t="str">
        <f t="shared" ref="A380:A386" si="105">"T-"&amp; TEXT(ROW()-1,"000")</f>
        <v>T-379</v>
      </c>
      <c r="B380" s="1">
        <v>46196</v>
      </c>
      <c r="C380" t="s">
        <v>120</v>
      </c>
      <c r="D380" t="s">
        <v>28</v>
      </c>
      <c r="E380" t="s">
        <v>58</v>
      </c>
      <c r="F380">
        <v>25.95</v>
      </c>
      <c r="G380">
        <v>25.76</v>
      </c>
      <c r="H380">
        <f>Tabla1[[#This Row],[Entry Price]]-(Tabla1[[#This Row],[Entry Price]]-Tabla1[[#This Row],[Initial Stop]])/2</f>
        <v>25.855</v>
      </c>
      <c r="I380">
        <v>50</v>
      </c>
      <c r="J380">
        <f t="shared" ref="J380:J386" si="106">IF(D380="Long",(F380-G380)*I380,(G380-F380)*0)</f>
        <v>9.4999999999998863</v>
      </c>
      <c r="K380">
        <v>1</v>
      </c>
      <c r="L380">
        <f t="shared" ref="L380:L386" si="107">J380*K380</f>
        <v>9.4999999999998863</v>
      </c>
      <c r="M380" t="s">
        <v>72</v>
      </c>
      <c r="N380">
        <f>SUMIF(Executions!B:B,A380,Executions!H:H)</f>
        <v>-9.4999999999998863</v>
      </c>
      <c r="O380">
        <f t="shared" ref="O380:O386" si="108">N380/J380</f>
        <v>-1</v>
      </c>
      <c r="P380">
        <f>Tabla1[[#This Row],[Initial Risk $]]/Tabla1[[#This Row],[Position Size (shares)]]+Tabla1[[#This Row],[Entry Price]]</f>
        <v>26.139999999999997</v>
      </c>
      <c r="Q380">
        <f>Tabla1[[#This Row],[Initial Risk $]]/Tabla1[[#This Row],[Position Size (shares)]]*1.5+Tabla1[[#This Row],[Entry Price]]</f>
        <v>26.234999999999996</v>
      </c>
      <c r="R380">
        <f>Tabla1[[#This Row],[Initial Risk $]]/Tabla1[[#This Row],[Position Size (shares)]]*2+Tabla1[[#This Row],[Entry Price]]</f>
        <v>26.329999999999995</v>
      </c>
      <c r="S380">
        <f>Tabla1[[#This Row],[Initial Risk $]]/Tabla1[[#This Row],[Position Size (shares)]]*2.5+Tabla1[[#This Row],[Entry Price]]</f>
        <v>26.424999999999994</v>
      </c>
      <c r="T380" s="4">
        <f>Tabla1[[#This Row],[Initial Risk $]]/Tabla1[[#This Row],[Position Size (shares)]]*3+Tabla1[[#This Row],[Entry Price]]</f>
        <v>26.519999999999992</v>
      </c>
    </row>
    <row r="381" spans="1:20" customFormat="1" hidden="1" x14ac:dyDescent="0.25">
      <c r="A381" t="str">
        <f t="shared" si="105"/>
        <v>T-380</v>
      </c>
      <c r="B381" s="1">
        <v>46196</v>
      </c>
      <c r="C381" t="s">
        <v>328</v>
      </c>
      <c r="D381" t="s">
        <v>28</v>
      </c>
      <c r="E381" t="s">
        <v>58</v>
      </c>
      <c r="F381">
        <v>11.18</v>
      </c>
      <c r="G381">
        <v>10.92</v>
      </c>
      <c r="H381">
        <f>Tabla1[[#This Row],[Entry Price]]-(Tabla1[[#This Row],[Entry Price]]-Tabla1[[#This Row],[Initial Stop]])/2</f>
        <v>11.05</v>
      </c>
      <c r="I381">
        <v>50</v>
      </c>
      <c r="J381">
        <f t="shared" si="106"/>
        <v>12.999999999999989</v>
      </c>
      <c r="K381">
        <v>1</v>
      </c>
      <c r="L381">
        <f t="shared" si="107"/>
        <v>12.999999999999989</v>
      </c>
      <c r="M381" t="s">
        <v>72</v>
      </c>
      <c r="N381">
        <f>SUMIF(Executions!B:B,A381,Executions!H:H)</f>
        <v>-12.999999999999989</v>
      </c>
      <c r="O381">
        <f t="shared" si="108"/>
        <v>-1</v>
      </c>
      <c r="P381">
        <f>Tabla1[[#This Row],[Initial Risk $]]/Tabla1[[#This Row],[Position Size (shares)]]+Tabla1[[#This Row],[Entry Price]]</f>
        <v>11.44</v>
      </c>
      <c r="Q381">
        <f>Tabla1[[#This Row],[Initial Risk $]]/Tabla1[[#This Row],[Position Size (shares)]]*1.5+Tabla1[[#This Row],[Entry Price]]</f>
        <v>11.57</v>
      </c>
      <c r="R381">
        <f>Tabla1[[#This Row],[Initial Risk $]]/Tabla1[[#This Row],[Position Size (shares)]]*2+Tabla1[[#This Row],[Entry Price]]</f>
        <v>11.7</v>
      </c>
      <c r="S381">
        <f>Tabla1[[#This Row],[Initial Risk $]]/Tabla1[[#This Row],[Position Size (shares)]]*2.5+Tabla1[[#This Row],[Entry Price]]</f>
        <v>11.829999999999998</v>
      </c>
      <c r="T381" s="4">
        <f>Tabla1[[#This Row],[Initial Risk $]]/Tabla1[[#This Row],[Position Size (shares)]]*3+Tabla1[[#This Row],[Entry Price]]</f>
        <v>11.959999999999999</v>
      </c>
    </row>
    <row r="382" spans="1:20" customFormat="1" hidden="1" x14ac:dyDescent="0.25">
      <c r="A382" t="str">
        <f t="shared" si="105"/>
        <v>T-381</v>
      </c>
      <c r="B382" s="1">
        <v>46196</v>
      </c>
      <c r="C382" t="s">
        <v>601</v>
      </c>
      <c r="D382" t="s">
        <v>28</v>
      </c>
      <c r="E382" t="s">
        <v>58</v>
      </c>
      <c r="F382">
        <v>15.6</v>
      </c>
      <c r="G382">
        <v>15.3</v>
      </c>
      <c r="H382">
        <f>Tabla1[[#This Row],[Entry Price]]-(Tabla1[[#This Row],[Entry Price]]-Tabla1[[#This Row],[Initial Stop]])/2</f>
        <v>15.45</v>
      </c>
      <c r="I382">
        <v>50</v>
      </c>
      <c r="J382">
        <f t="shared" si="106"/>
        <v>14.999999999999947</v>
      </c>
      <c r="K382">
        <v>1</v>
      </c>
      <c r="L382">
        <f t="shared" si="107"/>
        <v>14.999999999999947</v>
      </c>
      <c r="M382" t="s">
        <v>72</v>
      </c>
      <c r="N382">
        <f>SUMIF(Executions!B:B,A382,Executions!H:H)</f>
        <v>-14.999999999999947</v>
      </c>
      <c r="O382">
        <f t="shared" si="108"/>
        <v>-1</v>
      </c>
      <c r="P382">
        <f>Tabla1[[#This Row],[Initial Risk $]]/Tabla1[[#This Row],[Position Size (shares)]]+Tabla1[[#This Row],[Entry Price]]</f>
        <v>15.899999999999999</v>
      </c>
      <c r="Q382">
        <f>Tabla1[[#This Row],[Initial Risk $]]/Tabla1[[#This Row],[Position Size (shares)]]*1.5+Tabla1[[#This Row],[Entry Price]]</f>
        <v>16.049999999999997</v>
      </c>
      <c r="R382">
        <f>Tabla1[[#This Row],[Initial Risk $]]/Tabla1[[#This Row],[Position Size (shares)]]*2+Tabla1[[#This Row],[Entry Price]]</f>
        <v>16.199999999999996</v>
      </c>
      <c r="S382">
        <f>Tabla1[[#This Row],[Initial Risk $]]/Tabla1[[#This Row],[Position Size (shares)]]*2.5+Tabla1[[#This Row],[Entry Price]]</f>
        <v>16.349999999999998</v>
      </c>
      <c r="T382" s="4">
        <f>Tabla1[[#This Row],[Initial Risk $]]/Tabla1[[#This Row],[Position Size (shares)]]*3+Tabla1[[#This Row],[Entry Price]]</f>
        <v>16.499999999999996</v>
      </c>
    </row>
    <row r="383" spans="1:20" customFormat="1" hidden="1" x14ac:dyDescent="0.25">
      <c r="A383" t="str">
        <f t="shared" si="105"/>
        <v>T-382</v>
      </c>
      <c r="B383" s="1">
        <v>46196</v>
      </c>
      <c r="C383" t="s">
        <v>603</v>
      </c>
      <c r="D383" t="s">
        <v>28</v>
      </c>
      <c r="E383" t="s">
        <v>119</v>
      </c>
      <c r="F383">
        <v>25.92</v>
      </c>
      <c r="G383">
        <v>25.61</v>
      </c>
      <c r="H383">
        <f>Tabla1[[#This Row],[Entry Price]]-(Tabla1[[#This Row],[Entry Price]]-Tabla1[[#This Row],[Initial Stop]])/2</f>
        <v>25.765000000000001</v>
      </c>
      <c r="I383">
        <v>100</v>
      </c>
      <c r="J383">
        <f t="shared" si="106"/>
        <v>31.000000000000227</v>
      </c>
      <c r="K383">
        <v>1</v>
      </c>
      <c r="L383">
        <f t="shared" si="107"/>
        <v>31.000000000000227</v>
      </c>
      <c r="M383" t="s">
        <v>72</v>
      </c>
      <c r="N383">
        <f>SUMIF(Executions!B:B,A383,Executions!H:H)</f>
        <v>0.99999999999980105</v>
      </c>
      <c r="O383">
        <f t="shared" si="108"/>
        <v>3.2258064516122377E-2</v>
      </c>
      <c r="P383">
        <f>Tabla1[[#This Row],[Initial Risk $]]/Tabla1[[#This Row],[Position Size (shares)]]+Tabla1[[#This Row],[Entry Price]]</f>
        <v>26.230000000000004</v>
      </c>
      <c r="Q383">
        <f>Tabla1[[#This Row],[Initial Risk $]]/Tabla1[[#This Row],[Position Size (shares)]]*1.5+Tabla1[[#This Row],[Entry Price]]</f>
        <v>26.385000000000005</v>
      </c>
      <c r="R383">
        <f>Tabla1[[#This Row],[Initial Risk $]]/Tabla1[[#This Row],[Position Size (shares)]]*2+Tabla1[[#This Row],[Entry Price]]</f>
        <v>26.540000000000006</v>
      </c>
      <c r="S383">
        <f>Tabla1[[#This Row],[Initial Risk $]]/Tabla1[[#This Row],[Position Size (shares)]]*2.5+Tabla1[[#This Row],[Entry Price]]</f>
        <v>26.695000000000007</v>
      </c>
      <c r="T383" s="4">
        <f>Tabla1[[#This Row],[Initial Risk $]]/Tabla1[[#This Row],[Position Size (shares)]]*3+Tabla1[[#This Row],[Entry Price]]</f>
        <v>26.850000000000009</v>
      </c>
    </row>
    <row r="384" spans="1:20" customFormat="1" hidden="1" x14ac:dyDescent="0.25">
      <c r="A384" t="str">
        <f t="shared" si="105"/>
        <v>T-383</v>
      </c>
      <c r="B384" s="1">
        <v>46196</v>
      </c>
      <c r="C384" t="s">
        <v>328</v>
      </c>
      <c r="D384" t="s">
        <v>28</v>
      </c>
      <c r="E384" t="s">
        <v>119</v>
      </c>
      <c r="F384">
        <v>11.01</v>
      </c>
      <c r="G384">
        <v>10.95</v>
      </c>
      <c r="H384">
        <f>Tabla1[[#This Row],[Entry Price]]-(Tabla1[[#This Row],[Entry Price]]-Tabla1[[#This Row],[Initial Stop]])/2</f>
        <v>10.98</v>
      </c>
      <c r="I384">
        <v>50</v>
      </c>
      <c r="J384">
        <f t="shared" si="106"/>
        <v>3.0000000000000249</v>
      </c>
      <c r="K384">
        <v>1</v>
      </c>
      <c r="L384">
        <f t="shared" si="107"/>
        <v>3.0000000000000249</v>
      </c>
      <c r="M384" t="s">
        <v>72</v>
      </c>
      <c r="N384">
        <f>SUMIF(Executions!B:B,A384,Executions!H:H)</f>
        <v>-3.0000000000000249</v>
      </c>
      <c r="O384">
        <f t="shared" si="108"/>
        <v>-1</v>
      </c>
      <c r="P384">
        <f>Tabla1[[#This Row],[Initial Risk $]]/Tabla1[[#This Row],[Position Size (shares)]]+Tabla1[[#This Row],[Entry Price]]</f>
        <v>11.07</v>
      </c>
      <c r="Q384">
        <f>Tabla1[[#This Row],[Initial Risk $]]/Tabla1[[#This Row],[Position Size (shares)]]*1.5+Tabla1[[#This Row],[Entry Price]]</f>
        <v>11.100000000000001</v>
      </c>
      <c r="R384">
        <f>Tabla1[[#This Row],[Initial Risk $]]/Tabla1[[#This Row],[Position Size (shares)]]*2+Tabla1[[#This Row],[Entry Price]]</f>
        <v>11.13</v>
      </c>
      <c r="S384">
        <f>Tabla1[[#This Row],[Initial Risk $]]/Tabla1[[#This Row],[Position Size (shares)]]*2.5+Tabla1[[#This Row],[Entry Price]]</f>
        <v>11.16</v>
      </c>
      <c r="T384" s="4">
        <f>Tabla1[[#This Row],[Initial Risk $]]/Tabla1[[#This Row],[Position Size (shares)]]*3+Tabla1[[#This Row],[Entry Price]]</f>
        <v>11.190000000000001</v>
      </c>
    </row>
    <row r="385" spans="1:20" customFormat="1" hidden="1" x14ac:dyDescent="0.25">
      <c r="A385" t="str">
        <f t="shared" si="105"/>
        <v>T-384</v>
      </c>
      <c r="B385" s="1">
        <v>46196</v>
      </c>
      <c r="C385" t="s">
        <v>417</v>
      </c>
      <c r="D385" t="s">
        <v>28</v>
      </c>
      <c r="E385" t="s">
        <v>58</v>
      </c>
      <c r="F385">
        <v>467.84</v>
      </c>
      <c r="G385">
        <v>463</v>
      </c>
      <c r="H385">
        <f>Tabla1[[#This Row],[Entry Price]]-(Tabla1[[#This Row],[Entry Price]]-Tabla1[[#This Row],[Initial Stop]])/2</f>
        <v>465.41999999999996</v>
      </c>
      <c r="I385">
        <v>2</v>
      </c>
      <c r="J385">
        <f t="shared" si="106"/>
        <v>9.67999999999995</v>
      </c>
      <c r="K385">
        <v>1</v>
      </c>
      <c r="L385">
        <f t="shared" si="107"/>
        <v>9.67999999999995</v>
      </c>
      <c r="M385" t="s">
        <v>72</v>
      </c>
      <c r="N385">
        <f>SUMIF(Executions!B:B,A385,Executions!H:H)</f>
        <v>2.7000000000000455</v>
      </c>
      <c r="O385">
        <f t="shared" si="108"/>
        <v>0.27892561983471686</v>
      </c>
      <c r="P385">
        <f>Tabla1[[#This Row],[Initial Risk $]]/Tabla1[[#This Row],[Position Size (shares)]]+Tabla1[[#This Row],[Entry Price]]</f>
        <v>472.67999999999995</v>
      </c>
      <c r="Q385">
        <f>Tabla1[[#This Row],[Initial Risk $]]/Tabla1[[#This Row],[Position Size (shares)]]*1.5+Tabla1[[#This Row],[Entry Price]]</f>
        <v>475.09999999999991</v>
      </c>
      <c r="R385">
        <f>Tabla1[[#This Row],[Initial Risk $]]/Tabla1[[#This Row],[Position Size (shares)]]*2+Tabla1[[#This Row],[Entry Price]]</f>
        <v>477.51999999999992</v>
      </c>
      <c r="S385">
        <f>Tabla1[[#This Row],[Initial Risk $]]/Tabla1[[#This Row],[Position Size (shares)]]*2.5+Tabla1[[#This Row],[Entry Price]]</f>
        <v>479.93999999999994</v>
      </c>
      <c r="T385" s="4">
        <f>Tabla1[[#This Row],[Initial Risk $]]/Tabla1[[#This Row],[Position Size (shares)]]*3+Tabla1[[#This Row],[Entry Price]]</f>
        <v>482.3599999999999</v>
      </c>
    </row>
    <row r="386" spans="1:20" customFormat="1" hidden="1" x14ac:dyDescent="0.25">
      <c r="A386" t="str">
        <f t="shared" si="105"/>
        <v>T-385</v>
      </c>
      <c r="B386" s="1">
        <v>46196</v>
      </c>
      <c r="C386" t="s">
        <v>287</v>
      </c>
      <c r="D386" t="s">
        <v>28</v>
      </c>
      <c r="E386" t="s">
        <v>58</v>
      </c>
      <c r="F386">
        <v>13.56</v>
      </c>
      <c r="G386">
        <v>13.51</v>
      </c>
      <c r="H386">
        <f>Tabla1[[#This Row],[Entry Price]]-(Tabla1[[#This Row],[Entry Price]]-Tabla1[[#This Row],[Initial Stop]])/2</f>
        <v>13.535</v>
      </c>
      <c r="I386">
        <v>50</v>
      </c>
      <c r="J386">
        <f t="shared" si="106"/>
        <v>2.5000000000000355</v>
      </c>
      <c r="K386">
        <v>1</v>
      </c>
      <c r="L386">
        <f t="shared" si="107"/>
        <v>2.5000000000000355</v>
      </c>
      <c r="M386" t="s">
        <v>72</v>
      </c>
      <c r="N386">
        <f>SUMIF(Executions!B:B,A386,Executions!H:H)</f>
        <v>-3.2500000000000639</v>
      </c>
      <c r="O386">
        <f t="shared" si="108"/>
        <v>-1.3000000000000071</v>
      </c>
      <c r="P386">
        <f>Tabla1[[#This Row],[Initial Risk $]]/Tabla1[[#This Row],[Position Size (shares)]]+Tabla1[[#This Row],[Entry Price]]</f>
        <v>13.610000000000001</v>
      </c>
      <c r="Q386">
        <f>Tabla1[[#This Row],[Initial Risk $]]/Tabla1[[#This Row],[Position Size (shares)]]*1.5+Tabla1[[#This Row],[Entry Price]]</f>
        <v>13.635000000000002</v>
      </c>
      <c r="R386">
        <f>Tabla1[[#This Row],[Initial Risk $]]/Tabla1[[#This Row],[Position Size (shares)]]*2+Tabla1[[#This Row],[Entry Price]]</f>
        <v>13.660000000000002</v>
      </c>
      <c r="S386">
        <f>Tabla1[[#This Row],[Initial Risk $]]/Tabla1[[#This Row],[Position Size (shares)]]*2.5+Tabla1[[#This Row],[Entry Price]]</f>
        <v>13.685000000000002</v>
      </c>
      <c r="T386" s="4">
        <f>Tabla1[[#This Row],[Initial Risk $]]/Tabla1[[#This Row],[Position Size (shares)]]*3+Tabla1[[#This Row],[Entry Price]]</f>
        <v>13.710000000000003</v>
      </c>
    </row>
    <row r="387" spans="1:20" customFormat="1" hidden="1" x14ac:dyDescent="0.25">
      <c r="A387" t="str">
        <f t="shared" ref="A387:A395" si="109">"T-"&amp; TEXT(ROW()-1,"000")</f>
        <v>T-386</v>
      </c>
      <c r="B387" s="1">
        <v>46197</v>
      </c>
      <c r="C387" t="s">
        <v>609</v>
      </c>
      <c r="D387" t="s">
        <v>28</v>
      </c>
      <c r="E387" t="s">
        <v>119</v>
      </c>
      <c r="F387">
        <v>321.49</v>
      </c>
      <c r="G387">
        <v>318.19</v>
      </c>
      <c r="H387">
        <f>Tabla1[[#This Row],[Entry Price]]-(Tabla1[[#This Row],[Entry Price]]-Tabla1[[#This Row],[Initial Stop]])/2</f>
        <v>319.84000000000003</v>
      </c>
      <c r="I387">
        <v>3</v>
      </c>
      <c r="J387">
        <f t="shared" ref="J387:J395" si="110">IF(D387="Long",(F387-G387)*I387,(G387-F387)*0)</f>
        <v>9.9000000000000341</v>
      </c>
      <c r="K387">
        <v>1</v>
      </c>
      <c r="L387">
        <f t="shared" ref="L387:L395" si="111">J387*K387</f>
        <v>9.9000000000000341</v>
      </c>
      <c r="M387" t="s">
        <v>72</v>
      </c>
      <c r="N387">
        <f>SUMIF(Executions!B:B,A387,Executions!H:H)</f>
        <v>19.319999999999993</v>
      </c>
      <c r="O387">
        <f t="shared" ref="O387:O395" si="112">N387/J387</f>
        <v>1.9515151515151441</v>
      </c>
      <c r="P387">
        <f>Tabla1[[#This Row],[Initial Risk $]]/Tabla1[[#This Row],[Position Size (shares)]]+Tabla1[[#This Row],[Entry Price]]</f>
        <v>324.79000000000002</v>
      </c>
      <c r="Q387">
        <f>Tabla1[[#This Row],[Initial Risk $]]/Tabla1[[#This Row],[Position Size (shares)]]*1.5+Tabla1[[#This Row],[Entry Price]]</f>
        <v>326.44000000000005</v>
      </c>
      <c r="R387">
        <f>Tabla1[[#This Row],[Initial Risk $]]/Tabla1[[#This Row],[Position Size (shares)]]*2+Tabla1[[#This Row],[Entry Price]]</f>
        <v>328.09000000000003</v>
      </c>
      <c r="S387">
        <f>Tabla1[[#This Row],[Initial Risk $]]/Tabla1[[#This Row],[Position Size (shares)]]*2.5+Tabla1[[#This Row],[Entry Price]]</f>
        <v>329.74</v>
      </c>
      <c r="T387" s="4">
        <f>Tabla1[[#This Row],[Initial Risk $]]/Tabla1[[#This Row],[Position Size (shares)]]*3+Tabla1[[#This Row],[Entry Price]]</f>
        <v>331.39000000000004</v>
      </c>
    </row>
    <row r="388" spans="1:20" customFormat="1" hidden="1" x14ac:dyDescent="0.25">
      <c r="A388" t="str">
        <f t="shared" si="109"/>
        <v>T-387</v>
      </c>
      <c r="B388" s="1">
        <v>46197</v>
      </c>
      <c r="C388" t="s">
        <v>550</v>
      </c>
      <c r="D388" t="s">
        <v>28</v>
      </c>
      <c r="E388" t="s">
        <v>119</v>
      </c>
      <c r="F388">
        <v>74.63</v>
      </c>
      <c r="G388">
        <v>74.209999999999994</v>
      </c>
      <c r="H388">
        <f>Tabla1[[#This Row],[Entry Price]]-(Tabla1[[#This Row],[Entry Price]]-Tabla1[[#This Row],[Initial Stop]])/2</f>
        <v>74.419999999999987</v>
      </c>
      <c r="I388">
        <v>20</v>
      </c>
      <c r="J388">
        <f t="shared" si="110"/>
        <v>8.4000000000000341</v>
      </c>
      <c r="K388">
        <v>1</v>
      </c>
      <c r="L388">
        <f t="shared" si="111"/>
        <v>8.4000000000000341</v>
      </c>
      <c r="M388" t="s">
        <v>72</v>
      </c>
      <c r="N388">
        <f>SUMIF(Executions!B:B,A388,Executions!H:H)</f>
        <v>4.3999999999999773</v>
      </c>
      <c r="O388">
        <f t="shared" si="112"/>
        <v>0.52380952380951895</v>
      </c>
      <c r="P388">
        <f>Tabla1[[#This Row],[Initial Risk $]]/Tabla1[[#This Row],[Position Size (shares)]]+Tabla1[[#This Row],[Entry Price]]</f>
        <v>75.05</v>
      </c>
      <c r="Q388">
        <f>Tabla1[[#This Row],[Initial Risk $]]/Tabla1[[#This Row],[Position Size (shares)]]*1.5+Tabla1[[#This Row],[Entry Price]]</f>
        <v>75.259999999999991</v>
      </c>
      <c r="R388">
        <f>Tabla1[[#This Row],[Initial Risk $]]/Tabla1[[#This Row],[Position Size (shares)]]*2+Tabla1[[#This Row],[Entry Price]]</f>
        <v>75.47</v>
      </c>
      <c r="S388">
        <f>Tabla1[[#This Row],[Initial Risk $]]/Tabla1[[#This Row],[Position Size (shares)]]*2.5+Tabla1[[#This Row],[Entry Price]]</f>
        <v>75.680000000000007</v>
      </c>
      <c r="T388" s="4">
        <f>Tabla1[[#This Row],[Initial Risk $]]/Tabla1[[#This Row],[Position Size (shares)]]*3+Tabla1[[#This Row],[Entry Price]]</f>
        <v>75.89</v>
      </c>
    </row>
    <row r="389" spans="1:20" customFormat="1" hidden="1" x14ac:dyDescent="0.25">
      <c r="A389" t="str">
        <f t="shared" si="109"/>
        <v>T-388</v>
      </c>
      <c r="B389" s="1">
        <v>46197</v>
      </c>
      <c r="C389" t="s">
        <v>328</v>
      </c>
      <c r="D389" t="s">
        <v>28</v>
      </c>
      <c r="E389" t="s">
        <v>58</v>
      </c>
      <c r="F389">
        <v>10.17</v>
      </c>
      <c r="G389">
        <v>10.039999999999999</v>
      </c>
      <c r="H389">
        <f>Tabla1[[#This Row],[Entry Price]]-(Tabla1[[#This Row],[Entry Price]]-Tabla1[[#This Row],[Initial Stop]])/2</f>
        <v>10.105</v>
      </c>
      <c r="I389">
        <v>60</v>
      </c>
      <c r="J389">
        <f t="shared" si="110"/>
        <v>7.8000000000000469</v>
      </c>
      <c r="K389">
        <v>1</v>
      </c>
      <c r="L389">
        <f t="shared" si="111"/>
        <v>7.8000000000000469</v>
      </c>
      <c r="M389" t="s">
        <v>72</v>
      </c>
      <c r="N389">
        <f>SUMIF(Executions!B:B,A389,Executions!H:H)</f>
        <v>-7.8000000000000469</v>
      </c>
      <c r="O389">
        <f t="shared" si="112"/>
        <v>-1</v>
      </c>
      <c r="P389">
        <f>Tabla1[[#This Row],[Initial Risk $]]/Tabla1[[#This Row],[Position Size (shares)]]+Tabla1[[#This Row],[Entry Price]]</f>
        <v>10.3</v>
      </c>
      <c r="Q389">
        <f>Tabla1[[#This Row],[Initial Risk $]]/Tabla1[[#This Row],[Position Size (shares)]]*1.5+Tabla1[[#This Row],[Entry Price]]</f>
        <v>10.365000000000002</v>
      </c>
      <c r="R389">
        <f>Tabla1[[#This Row],[Initial Risk $]]/Tabla1[[#This Row],[Position Size (shares)]]*2+Tabla1[[#This Row],[Entry Price]]</f>
        <v>10.430000000000001</v>
      </c>
      <c r="S389">
        <f>Tabla1[[#This Row],[Initial Risk $]]/Tabla1[[#This Row],[Position Size (shares)]]*2.5+Tabla1[[#This Row],[Entry Price]]</f>
        <v>10.495000000000001</v>
      </c>
      <c r="T389" s="4">
        <f>Tabla1[[#This Row],[Initial Risk $]]/Tabla1[[#This Row],[Position Size (shares)]]*3+Tabla1[[#This Row],[Entry Price]]</f>
        <v>10.560000000000002</v>
      </c>
    </row>
    <row r="390" spans="1:20" customFormat="1" hidden="1" x14ac:dyDescent="0.25">
      <c r="A390" t="str">
        <f t="shared" si="109"/>
        <v>T-389</v>
      </c>
      <c r="B390" s="1">
        <v>46197</v>
      </c>
      <c r="C390" t="s">
        <v>612</v>
      </c>
      <c r="D390" t="s">
        <v>28</v>
      </c>
      <c r="E390" t="s">
        <v>58</v>
      </c>
      <c r="F390">
        <v>94.41</v>
      </c>
      <c r="G390">
        <v>93.81</v>
      </c>
      <c r="H390">
        <f>Tabla1[[#This Row],[Entry Price]]-(Tabla1[[#This Row],[Entry Price]]-Tabla1[[#This Row],[Initial Stop]])/2</f>
        <v>94.11</v>
      </c>
      <c r="I390">
        <v>10</v>
      </c>
      <c r="J390">
        <f t="shared" si="110"/>
        <v>5.9999999999999432</v>
      </c>
      <c r="K390">
        <v>1</v>
      </c>
      <c r="L390">
        <f t="shared" si="111"/>
        <v>5.9999999999999432</v>
      </c>
      <c r="M390" t="s">
        <v>72</v>
      </c>
      <c r="N390">
        <f>SUMIF(Executions!B:B,A390,Executions!H:H)</f>
        <v>7.8000000000000114</v>
      </c>
      <c r="O390">
        <f t="shared" si="112"/>
        <v>1.3000000000000143</v>
      </c>
      <c r="P390">
        <f>Tabla1[[#This Row],[Initial Risk $]]/Tabla1[[#This Row],[Position Size (shares)]]+Tabla1[[#This Row],[Entry Price]]</f>
        <v>95.009999999999991</v>
      </c>
      <c r="Q390">
        <f>Tabla1[[#This Row],[Initial Risk $]]/Tabla1[[#This Row],[Position Size (shares)]]*1.5+Tabla1[[#This Row],[Entry Price]]</f>
        <v>95.309999999999988</v>
      </c>
      <c r="R390">
        <f>Tabla1[[#This Row],[Initial Risk $]]/Tabla1[[#This Row],[Position Size (shares)]]*2+Tabla1[[#This Row],[Entry Price]]</f>
        <v>95.609999999999985</v>
      </c>
      <c r="S390">
        <f>Tabla1[[#This Row],[Initial Risk $]]/Tabla1[[#This Row],[Position Size (shares)]]*2.5+Tabla1[[#This Row],[Entry Price]]</f>
        <v>95.909999999999982</v>
      </c>
      <c r="T390" s="4">
        <f>Tabla1[[#This Row],[Initial Risk $]]/Tabla1[[#This Row],[Position Size (shares)]]*3+Tabla1[[#This Row],[Entry Price]]</f>
        <v>96.20999999999998</v>
      </c>
    </row>
    <row r="391" spans="1:20" customFormat="1" hidden="1" x14ac:dyDescent="0.25">
      <c r="A391" t="str">
        <f t="shared" si="109"/>
        <v>T-390</v>
      </c>
      <c r="B391" s="1">
        <v>46197</v>
      </c>
      <c r="C391" t="s">
        <v>370</v>
      </c>
      <c r="D391" t="s">
        <v>28</v>
      </c>
      <c r="E391" t="s">
        <v>58</v>
      </c>
      <c r="F391">
        <v>27.39</v>
      </c>
      <c r="G391">
        <v>27.22</v>
      </c>
      <c r="H391">
        <f>Tabla1[[#This Row],[Entry Price]]-(Tabla1[[#This Row],[Entry Price]]-Tabla1[[#This Row],[Initial Stop]])/2</f>
        <v>27.305</v>
      </c>
      <c r="I391">
        <v>40</v>
      </c>
      <c r="J391">
        <f t="shared" si="110"/>
        <v>6.8000000000000682</v>
      </c>
      <c r="K391">
        <v>1</v>
      </c>
      <c r="L391">
        <f t="shared" si="111"/>
        <v>6.8000000000000682</v>
      </c>
      <c r="M391" t="s">
        <v>72</v>
      </c>
      <c r="N391">
        <f>SUMIF(Executions!B:B,A391,Executions!H:H)</f>
        <v>10</v>
      </c>
      <c r="O391">
        <f t="shared" si="112"/>
        <v>1.4705882352941029</v>
      </c>
      <c r="P391" s="4">
        <f>Tabla1[[#This Row],[Initial Risk $]]/Tabla1[[#This Row],[Position Size (shares)]]+Tabla1[[#This Row],[Entry Price]]</f>
        <v>27.560000000000002</v>
      </c>
      <c r="Q391" s="4">
        <f>Tabla1[[#This Row],[Initial Risk $]]/Tabla1[[#This Row],[Position Size (shares)]]*1.5+Tabla1[[#This Row],[Entry Price]]</f>
        <v>27.645000000000003</v>
      </c>
      <c r="R391" s="4">
        <f>Tabla1[[#This Row],[Initial Risk $]]/Tabla1[[#This Row],[Position Size (shares)]]*2+Tabla1[[#This Row],[Entry Price]]</f>
        <v>27.730000000000004</v>
      </c>
      <c r="S391" s="4">
        <f>Tabla1[[#This Row],[Initial Risk $]]/Tabla1[[#This Row],[Position Size (shares)]]*2.5+Tabla1[[#This Row],[Entry Price]]</f>
        <v>27.815000000000005</v>
      </c>
      <c r="T391" s="4">
        <f>Tabla1[[#This Row],[Initial Risk $]]/Tabla1[[#This Row],[Position Size (shares)]]*3+Tabla1[[#This Row],[Entry Price]]</f>
        <v>27.900000000000006</v>
      </c>
    </row>
    <row r="392" spans="1:20" customFormat="1" hidden="1" x14ac:dyDescent="0.25">
      <c r="A392" t="str">
        <f t="shared" si="109"/>
        <v>T-391</v>
      </c>
      <c r="B392" s="1">
        <v>46197</v>
      </c>
      <c r="C392" t="s">
        <v>328</v>
      </c>
      <c r="D392" t="s">
        <v>28</v>
      </c>
      <c r="E392" t="s">
        <v>27</v>
      </c>
      <c r="F392">
        <v>9.92</v>
      </c>
      <c r="G392">
        <v>9.7899999999999991</v>
      </c>
      <c r="H392">
        <f>Tabla1[[#This Row],[Entry Price]]-(Tabla1[[#This Row],[Entry Price]]-Tabla1[[#This Row],[Initial Stop]])/2</f>
        <v>9.8550000000000004</v>
      </c>
      <c r="I392">
        <v>35</v>
      </c>
      <c r="J392">
        <f t="shared" si="110"/>
        <v>4.5500000000000274</v>
      </c>
      <c r="K392">
        <v>1</v>
      </c>
      <c r="L392">
        <f t="shared" si="111"/>
        <v>4.5500000000000274</v>
      </c>
      <c r="M392" t="s">
        <v>72</v>
      </c>
      <c r="N392">
        <f>SUMIF(Executions!B:B,A392,Executions!H:H)</f>
        <v>4.1999999999999726</v>
      </c>
      <c r="O392">
        <f t="shared" si="112"/>
        <v>0.92307692307691147</v>
      </c>
      <c r="P392" s="4">
        <f>Tabla1[[#This Row],[Initial Risk $]]/Tabla1[[#This Row],[Position Size (shares)]]+Tabla1[[#This Row],[Entry Price]]</f>
        <v>10.050000000000001</v>
      </c>
      <c r="Q392" s="4">
        <f>Tabla1[[#This Row],[Initial Risk $]]/Tabla1[[#This Row],[Position Size (shares)]]*1.5+Tabla1[[#This Row],[Entry Price]]</f>
        <v>10.115000000000002</v>
      </c>
      <c r="R392" s="4">
        <f>Tabla1[[#This Row],[Initial Risk $]]/Tabla1[[#This Row],[Position Size (shares)]]*2+Tabla1[[#This Row],[Entry Price]]</f>
        <v>10.180000000000001</v>
      </c>
      <c r="S392" s="4">
        <f>Tabla1[[#This Row],[Initial Risk $]]/Tabla1[[#This Row],[Position Size (shares)]]*2.5+Tabla1[[#This Row],[Entry Price]]</f>
        <v>10.245000000000001</v>
      </c>
      <c r="T392" s="4">
        <f>Tabla1[[#This Row],[Initial Risk $]]/Tabla1[[#This Row],[Position Size (shares)]]*3+Tabla1[[#This Row],[Entry Price]]</f>
        <v>10.310000000000002</v>
      </c>
    </row>
    <row r="393" spans="1:20" customFormat="1" hidden="1" x14ac:dyDescent="0.25">
      <c r="A393" t="str">
        <f t="shared" si="109"/>
        <v>T-392</v>
      </c>
      <c r="B393" s="1">
        <v>46197</v>
      </c>
      <c r="C393" t="s">
        <v>561</v>
      </c>
      <c r="D393" t="s">
        <v>28</v>
      </c>
      <c r="E393" t="s">
        <v>119</v>
      </c>
      <c r="F393">
        <v>145.59</v>
      </c>
      <c r="G393">
        <v>144.79</v>
      </c>
      <c r="H393">
        <f>Tabla1[[#This Row],[Entry Price]]-(Tabla1[[#This Row],[Entry Price]]-Tabla1[[#This Row],[Initial Stop]])/2</f>
        <v>145.19</v>
      </c>
      <c r="I393">
        <v>5</v>
      </c>
      <c r="J393">
        <f t="shared" si="110"/>
        <v>4.0000000000000568</v>
      </c>
      <c r="K393">
        <v>1</v>
      </c>
      <c r="L393">
        <f t="shared" si="111"/>
        <v>4.0000000000000568</v>
      </c>
      <c r="M393" t="s">
        <v>72</v>
      </c>
      <c r="N393">
        <f>SUMIF(Executions!B:B,A393,Executions!H:H)</f>
        <v>-2.6000000000000512</v>
      </c>
      <c r="O393">
        <f t="shared" si="112"/>
        <v>-0.65000000000000357</v>
      </c>
      <c r="P393" s="4">
        <f>Tabla1[[#This Row],[Initial Risk $]]/Tabla1[[#This Row],[Position Size (shares)]]+Tabla1[[#This Row],[Entry Price]]</f>
        <v>146.39000000000001</v>
      </c>
      <c r="Q393" s="4">
        <f>Tabla1[[#This Row],[Initial Risk $]]/Tabla1[[#This Row],[Position Size (shares)]]*1.5+Tabla1[[#This Row],[Entry Price]]</f>
        <v>146.79000000000002</v>
      </c>
      <c r="R393" s="4">
        <f>Tabla1[[#This Row],[Initial Risk $]]/Tabla1[[#This Row],[Position Size (shares)]]*2+Tabla1[[#This Row],[Entry Price]]</f>
        <v>147.19000000000003</v>
      </c>
      <c r="S393" s="4">
        <f>Tabla1[[#This Row],[Initial Risk $]]/Tabla1[[#This Row],[Position Size (shares)]]*2.5+Tabla1[[#This Row],[Entry Price]]</f>
        <v>147.59000000000003</v>
      </c>
      <c r="T393" s="4">
        <f>Tabla1[[#This Row],[Initial Risk $]]/Tabla1[[#This Row],[Position Size (shares)]]*3+Tabla1[[#This Row],[Entry Price]]</f>
        <v>147.99000000000004</v>
      </c>
    </row>
    <row r="394" spans="1:20" customFormat="1" hidden="1" x14ac:dyDescent="0.25">
      <c r="A394" t="str">
        <f t="shared" si="109"/>
        <v>T-393</v>
      </c>
      <c r="B394" s="1">
        <v>46197</v>
      </c>
      <c r="C394" t="s">
        <v>557</v>
      </c>
      <c r="D394" t="s">
        <v>28</v>
      </c>
      <c r="E394" t="s">
        <v>119</v>
      </c>
      <c r="F394">
        <v>73.72</v>
      </c>
      <c r="G394">
        <v>73.22</v>
      </c>
      <c r="H394">
        <f>Tabla1[[#This Row],[Entry Price]]-(Tabla1[[#This Row],[Entry Price]]-Tabla1[[#This Row],[Initial Stop]])/2</f>
        <v>73.47</v>
      </c>
      <c r="I394">
        <v>12</v>
      </c>
      <c r="J394">
        <f t="shared" si="110"/>
        <v>6</v>
      </c>
      <c r="K394">
        <v>1</v>
      </c>
      <c r="L394">
        <f t="shared" si="111"/>
        <v>6</v>
      </c>
      <c r="M394" t="s">
        <v>72</v>
      </c>
      <c r="N394">
        <f>SUMIF(Executions!B:B,A394,Executions!H:H)</f>
        <v>3.5999999999999659</v>
      </c>
      <c r="O394">
        <f t="shared" si="112"/>
        <v>0.59999999999999432</v>
      </c>
      <c r="P394" s="4">
        <f>Tabla1[[#This Row],[Initial Risk $]]/Tabla1[[#This Row],[Position Size (shares)]]+Tabla1[[#This Row],[Entry Price]]</f>
        <v>74.22</v>
      </c>
      <c r="Q394" s="4">
        <f>Tabla1[[#This Row],[Initial Risk $]]/Tabla1[[#This Row],[Position Size (shares)]]*1.5+Tabla1[[#This Row],[Entry Price]]</f>
        <v>74.47</v>
      </c>
      <c r="R394" s="4">
        <f>Tabla1[[#This Row],[Initial Risk $]]/Tabla1[[#This Row],[Position Size (shares)]]*2+Tabla1[[#This Row],[Entry Price]]</f>
        <v>74.72</v>
      </c>
      <c r="S394" s="4">
        <f>Tabla1[[#This Row],[Initial Risk $]]/Tabla1[[#This Row],[Position Size (shares)]]*2.5+Tabla1[[#This Row],[Entry Price]]</f>
        <v>74.97</v>
      </c>
      <c r="T394" s="4">
        <f>Tabla1[[#This Row],[Initial Risk $]]/Tabla1[[#This Row],[Position Size (shares)]]*3+Tabla1[[#This Row],[Entry Price]]</f>
        <v>75.22</v>
      </c>
    </row>
    <row r="395" spans="1:20" customFormat="1" hidden="1" x14ac:dyDescent="0.25">
      <c r="A395" t="str">
        <f t="shared" si="109"/>
        <v>T-394</v>
      </c>
      <c r="B395" s="1">
        <v>46197</v>
      </c>
      <c r="C395" t="s">
        <v>620</v>
      </c>
      <c r="D395" t="s">
        <v>28</v>
      </c>
      <c r="E395" t="s">
        <v>58</v>
      </c>
      <c r="F395">
        <v>120.88</v>
      </c>
      <c r="G395">
        <v>120.38</v>
      </c>
      <c r="H395">
        <f>Tabla1[[#This Row],[Entry Price]]-(Tabla1[[#This Row],[Entry Price]]-Tabla1[[#This Row],[Initial Stop]])/2</f>
        <v>120.63</v>
      </c>
      <c r="I395">
        <v>5</v>
      </c>
      <c r="J395">
        <f t="shared" si="110"/>
        <v>2.5</v>
      </c>
      <c r="K395">
        <v>1</v>
      </c>
      <c r="L395">
        <f t="shared" si="111"/>
        <v>2.5</v>
      </c>
      <c r="M395" t="s">
        <v>72</v>
      </c>
      <c r="N395">
        <f>SUMIF(Executions!B:B,A395,Executions!H:H)</f>
        <v>2.2500000000000142</v>
      </c>
      <c r="O395">
        <f t="shared" si="112"/>
        <v>0.90000000000000568</v>
      </c>
      <c r="P395" s="4">
        <f>Tabla1[[#This Row],[Initial Risk $]]/Tabla1[[#This Row],[Position Size (shares)]]+Tabla1[[#This Row],[Entry Price]]</f>
        <v>121.38</v>
      </c>
      <c r="Q395" s="4">
        <f>Tabla1[[#This Row],[Initial Risk $]]/Tabla1[[#This Row],[Position Size (shares)]]*1.5+Tabla1[[#This Row],[Entry Price]]</f>
        <v>121.63</v>
      </c>
      <c r="R395" s="4">
        <f>Tabla1[[#This Row],[Initial Risk $]]/Tabla1[[#This Row],[Position Size (shares)]]*2+Tabla1[[#This Row],[Entry Price]]</f>
        <v>121.88</v>
      </c>
      <c r="S395" s="4">
        <f>Tabla1[[#This Row],[Initial Risk $]]/Tabla1[[#This Row],[Position Size (shares)]]*2.5+Tabla1[[#This Row],[Entry Price]]</f>
        <v>122.13</v>
      </c>
      <c r="T395" s="4">
        <f>Tabla1[[#This Row],[Initial Risk $]]/Tabla1[[#This Row],[Position Size (shares)]]*3+Tabla1[[#This Row],[Entry Price]]</f>
        <v>122.38</v>
      </c>
    </row>
    <row r="396" spans="1:20" customFormat="1" hidden="1" x14ac:dyDescent="0.25">
      <c r="A396" t="str">
        <f t="shared" ref="A396:A404" si="113">"T-"&amp; TEXT(ROW()-1,"000")</f>
        <v>T-395</v>
      </c>
      <c r="B396" s="1">
        <v>46198</v>
      </c>
      <c r="C396" t="s">
        <v>101</v>
      </c>
      <c r="D396" t="s">
        <v>28</v>
      </c>
      <c r="E396" t="s">
        <v>58</v>
      </c>
      <c r="F396">
        <v>10.17</v>
      </c>
      <c r="G396">
        <v>9.9700000000000006</v>
      </c>
      <c r="H396">
        <f>Tabla1[[#This Row],[Entry Price]]-(Tabla1[[#This Row],[Entry Price]]-Tabla1[[#This Row],[Initial Stop]])/2</f>
        <v>10.07</v>
      </c>
      <c r="I396">
        <v>50</v>
      </c>
      <c r="J396">
        <f t="shared" ref="J396:J404" si="114">IF(D396="Long",(F396-G396)*I396,(G396-F396)*0)</f>
        <v>9.9999999999999645</v>
      </c>
      <c r="K396">
        <v>1</v>
      </c>
      <c r="L396">
        <f t="shared" ref="L396:L404" si="115">J396*K396</f>
        <v>9.9999999999999645</v>
      </c>
      <c r="M396" t="s">
        <v>72</v>
      </c>
      <c r="N396">
        <f>SUMIF(Executions!B:B,A396,Executions!H:H)</f>
        <v>-9.4999999999999751</v>
      </c>
      <c r="O396">
        <f t="shared" ref="O396:O404" si="116">N396/J396</f>
        <v>-0.95000000000000084</v>
      </c>
      <c r="P396" s="4">
        <f>Tabla1[[#This Row],[Initial Risk $]]/Tabla1[[#This Row],[Position Size (shares)]]+Tabla1[[#This Row],[Entry Price]]</f>
        <v>10.37</v>
      </c>
      <c r="Q396" s="4">
        <f>Tabla1[[#This Row],[Initial Risk $]]/Tabla1[[#This Row],[Position Size (shares)]]*1.5+Tabla1[[#This Row],[Entry Price]]</f>
        <v>10.469999999999999</v>
      </c>
      <c r="R396" s="4">
        <f>Tabla1[[#This Row],[Initial Risk $]]/Tabla1[[#This Row],[Position Size (shares)]]*2+Tabla1[[#This Row],[Entry Price]]</f>
        <v>10.569999999999999</v>
      </c>
      <c r="S396" s="4">
        <f>Tabla1[[#This Row],[Initial Risk $]]/Tabla1[[#This Row],[Position Size (shares)]]*2.5+Tabla1[[#This Row],[Entry Price]]</f>
        <v>10.669999999999998</v>
      </c>
      <c r="T396" s="4">
        <f>Tabla1[[#This Row],[Initial Risk $]]/Tabla1[[#This Row],[Position Size (shares)]]*3+Tabla1[[#This Row],[Entry Price]]</f>
        <v>10.769999999999998</v>
      </c>
    </row>
    <row r="397" spans="1:20" customFormat="1" hidden="1" x14ac:dyDescent="0.25">
      <c r="A397" t="str">
        <f t="shared" si="113"/>
        <v>T-396</v>
      </c>
      <c r="B397" s="1">
        <v>46198</v>
      </c>
      <c r="C397" t="s">
        <v>550</v>
      </c>
      <c r="D397" t="s">
        <v>28</v>
      </c>
      <c r="E397" t="s">
        <v>58</v>
      </c>
      <c r="F397">
        <v>78.17</v>
      </c>
      <c r="G397">
        <v>77.44</v>
      </c>
      <c r="H397">
        <f>Tabla1[[#This Row],[Entry Price]]-(Tabla1[[#This Row],[Entry Price]]-Tabla1[[#This Row],[Initial Stop]])/2</f>
        <v>77.805000000000007</v>
      </c>
      <c r="I397">
        <v>10</v>
      </c>
      <c r="J397">
        <f t="shared" si="114"/>
        <v>7.3000000000000398</v>
      </c>
      <c r="K397">
        <v>1</v>
      </c>
      <c r="L397">
        <f t="shared" si="115"/>
        <v>7.3000000000000398</v>
      </c>
      <c r="M397" t="s">
        <v>72</v>
      </c>
      <c r="N397">
        <f>SUMIF(Executions!B:B,A397,Executions!H:H)</f>
        <v>-9.6000000000000796</v>
      </c>
      <c r="O397">
        <f t="shared" si="116"/>
        <v>-1.3150684931506886</v>
      </c>
      <c r="P397" s="4">
        <f>Tabla1[[#This Row],[Initial Risk $]]/Tabla1[[#This Row],[Position Size (shares)]]+Tabla1[[#This Row],[Entry Price]]</f>
        <v>78.900000000000006</v>
      </c>
      <c r="Q397" s="4">
        <f>Tabla1[[#This Row],[Initial Risk $]]/Tabla1[[#This Row],[Position Size (shares)]]*1.5+Tabla1[[#This Row],[Entry Price]]</f>
        <v>79.265000000000015</v>
      </c>
      <c r="R397" s="4">
        <f>Tabla1[[#This Row],[Initial Risk $]]/Tabla1[[#This Row],[Position Size (shares)]]*2+Tabla1[[#This Row],[Entry Price]]</f>
        <v>79.63000000000001</v>
      </c>
      <c r="S397" s="4">
        <f>Tabla1[[#This Row],[Initial Risk $]]/Tabla1[[#This Row],[Position Size (shares)]]*2.5+Tabla1[[#This Row],[Entry Price]]</f>
        <v>79.995000000000005</v>
      </c>
      <c r="T397" s="4">
        <f>Tabla1[[#This Row],[Initial Risk $]]/Tabla1[[#This Row],[Position Size (shares)]]*3+Tabla1[[#This Row],[Entry Price]]</f>
        <v>80.360000000000014</v>
      </c>
    </row>
    <row r="398" spans="1:20" customFormat="1" hidden="1" x14ac:dyDescent="0.25">
      <c r="A398" t="str">
        <f t="shared" si="113"/>
        <v>T-397</v>
      </c>
      <c r="B398" s="1">
        <v>46198</v>
      </c>
      <c r="C398" t="s">
        <v>348</v>
      </c>
      <c r="D398" t="s">
        <v>28</v>
      </c>
      <c r="E398" t="s">
        <v>119</v>
      </c>
      <c r="F398">
        <v>113.9</v>
      </c>
      <c r="G398">
        <v>112.9</v>
      </c>
      <c r="H398">
        <f>Tabla1[[#This Row],[Entry Price]]-(Tabla1[[#This Row],[Entry Price]]-Tabla1[[#This Row],[Initial Stop]])/2</f>
        <v>113.4</v>
      </c>
      <c r="I398">
        <v>10</v>
      </c>
      <c r="J398">
        <f t="shared" si="114"/>
        <v>10</v>
      </c>
      <c r="K398">
        <v>1</v>
      </c>
      <c r="L398">
        <f t="shared" si="115"/>
        <v>10</v>
      </c>
      <c r="M398" t="s">
        <v>72</v>
      </c>
      <c r="N398">
        <f>SUMIF(Executions!B:B,A398,Executions!H:H)</f>
        <v>19.799999999999898</v>
      </c>
      <c r="O398">
        <f t="shared" si="116"/>
        <v>1.9799999999999898</v>
      </c>
      <c r="P398" s="4">
        <f>Tabla1[[#This Row],[Initial Risk $]]/Tabla1[[#This Row],[Position Size (shares)]]+Tabla1[[#This Row],[Entry Price]]</f>
        <v>114.9</v>
      </c>
      <c r="Q398" s="4">
        <f>Tabla1[[#This Row],[Initial Risk $]]/Tabla1[[#This Row],[Position Size (shares)]]*1.5+Tabla1[[#This Row],[Entry Price]]</f>
        <v>115.4</v>
      </c>
      <c r="R398" s="4">
        <f>Tabla1[[#This Row],[Initial Risk $]]/Tabla1[[#This Row],[Position Size (shares)]]*2+Tabla1[[#This Row],[Entry Price]]</f>
        <v>115.9</v>
      </c>
      <c r="S398" s="4">
        <f>Tabla1[[#This Row],[Initial Risk $]]/Tabla1[[#This Row],[Position Size (shares)]]*2.5+Tabla1[[#This Row],[Entry Price]]</f>
        <v>116.4</v>
      </c>
      <c r="T398" s="4">
        <f>Tabla1[[#This Row],[Initial Risk $]]/Tabla1[[#This Row],[Position Size (shares)]]*3+Tabla1[[#This Row],[Entry Price]]</f>
        <v>116.9</v>
      </c>
    </row>
    <row r="399" spans="1:20" customFormat="1" hidden="1" x14ac:dyDescent="0.25">
      <c r="A399" t="str">
        <f t="shared" si="113"/>
        <v>T-398</v>
      </c>
      <c r="B399" s="1">
        <v>46198</v>
      </c>
      <c r="C399" t="s">
        <v>550</v>
      </c>
      <c r="D399" t="s">
        <v>28</v>
      </c>
      <c r="E399" t="s">
        <v>119</v>
      </c>
      <c r="F399">
        <v>77.39</v>
      </c>
      <c r="G399">
        <v>76.989999999999995</v>
      </c>
      <c r="H399">
        <f>Tabla1[[#This Row],[Entry Price]]-(Tabla1[[#This Row],[Entry Price]]-Tabla1[[#This Row],[Initial Stop]])/2</f>
        <v>77.19</v>
      </c>
      <c r="I399">
        <v>10</v>
      </c>
      <c r="J399">
        <f t="shared" si="114"/>
        <v>4.0000000000000568</v>
      </c>
      <c r="K399">
        <v>1</v>
      </c>
      <c r="L399">
        <f t="shared" si="115"/>
        <v>4.0000000000000568</v>
      </c>
      <c r="M399" t="s">
        <v>72</v>
      </c>
      <c r="N399">
        <f>SUMIF(Executions!B:B,A399,Executions!H:H)</f>
        <v>7.3999999999999488</v>
      </c>
      <c r="O399">
        <f t="shared" si="116"/>
        <v>1.849999999999961</v>
      </c>
      <c r="P399" s="4">
        <f>Tabla1[[#This Row],[Initial Risk $]]/Tabla1[[#This Row],[Position Size (shares)]]+Tabla1[[#This Row],[Entry Price]]</f>
        <v>77.790000000000006</v>
      </c>
      <c r="Q399" s="4">
        <f>Tabla1[[#This Row],[Initial Risk $]]/Tabla1[[#This Row],[Position Size (shares)]]*1.5+Tabla1[[#This Row],[Entry Price]]</f>
        <v>77.990000000000009</v>
      </c>
      <c r="R399" s="4">
        <f>Tabla1[[#This Row],[Initial Risk $]]/Tabla1[[#This Row],[Position Size (shares)]]*2+Tabla1[[#This Row],[Entry Price]]</f>
        <v>78.190000000000012</v>
      </c>
      <c r="S399" s="4">
        <f>Tabla1[[#This Row],[Initial Risk $]]/Tabla1[[#This Row],[Position Size (shares)]]*2.5+Tabla1[[#This Row],[Entry Price]]</f>
        <v>78.390000000000015</v>
      </c>
      <c r="T399" s="4">
        <f>Tabla1[[#This Row],[Initial Risk $]]/Tabla1[[#This Row],[Position Size (shares)]]*3+Tabla1[[#This Row],[Entry Price]]</f>
        <v>78.590000000000018</v>
      </c>
    </row>
    <row r="400" spans="1:20" customFormat="1" hidden="1" x14ac:dyDescent="0.25">
      <c r="A400" t="str">
        <f t="shared" si="113"/>
        <v>T-399</v>
      </c>
      <c r="B400" s="1">
        <v>46198</v>
      </c>
      <c r="C400" t="s">
        <v>628</v>
      </c>
      <c r="D400" t="s">
        <v>28</v>
      </c>
      <c r="E400" t="s">
        <v>27</v>
      </c>
      <c r="F400">
        <v>7.63</v>
      </c>
      <c r="G400">
        <v>7.42</v>
      </c>
      <c r="H400">
        <f>Tabla1[[#This Row],[Entry Price]]-(Tabla1[[#This Row],[Entry Price]]-Tabla1[[#This Row],[Initial Stop]])/2</f>
        <v>7.5250000000000004</v>
      </c>
      <c r="I400">
        <v>20</v>
      </c>
      <c r="J400">
        <f t="shared" si="114"/>
        <v>4.1999999999999993</v>
      </c>
      <c r="K400">
        <v>1</v>
      </c>
      <c r="L400">
        <f t="shared" si="115"/>
        <v>4.1999999999999993</v>
      </c>
      <c r="M400" t="s">
        <v>72</v>
      </c>
      <c r="N400">
        <f>SUMIF(Executions!B:B,A400,Executions!H:H)</f>
        <v>-4.1999999999999993</v>
      </c>
      <c r="O400">
        <f t="shared" si="116"/>
        <v>-1</v>
      </c>
      <c r="P400" s="4">
        <f>Tabla1[[#This Row],[Initial Risk $]]/Tabla1[[#This Row],[Position Size (shares)]]+Tabla1[[#This Row],[Entry Price]]</f>
        <v>7.84</v>
      </c>
      <c r="Q400" s="4">
        <f>Tabla1[[#This Row],[Initial Risk $]]/Tabla1[[#This Row],[Position Size (shares)]]*1.5+Tabla1[[#This Row],[Entry Price]]</f>
        <v>7.9450000000000003</v>
      </c>
      <c r="R400" s="4">
        <f>Tabla1[[#This Row],[Initial Risk $]]/Tabla1[[#This Row],[Position Size (shares)]]*2+Tabla1[[#This Row],[Entry Price]]</f>
        <v>8.0500000000000007</v>
      </c>
      <c r="S400" s="4">
        <f>Tabla1[[#This Row],[Initial Risk $]]/Tabla1[[#This Row],[Position Size (shares)]]*2.5+Tabla1[[#This Row],[Entry Price]]</f>
        <v>8.1549999999999994</v>
      </c>
      <c r="T400" s="4">
        <f>Tabla1[[#This Row],[Initial Risk $]]/Tabla1[[#This Row],[Position Size (shares)]]*3+Tabla1[[#This Row],[Entry Price]]</f>
        <v>8.26</v>
      </c>
    </row>
    <row r="401" spans="1:20" customFormat="1" hidden="1" x14ac:dyDescent="0.25">
      <c r="A401" t="str">
        <f t="shared" si="113"/>
        <v>T-400</v>
      </c>
      <c r="B401" s="1">
        <v>46198</v>
      </c>
      <c r="C401" t="s">
        <v>255</v>
      </c>
      <c r="D401" t="s">
        <v>28</v>
      </c>
      <c r="E401" t="s">
        <v>119</v>
      </c>
      <c r="F401">
        <v>277.95</v>
      </c>
      <c r="G401">
        <v>276.29000000000002</v>
      </c>
      <c r="H401">
        <f>Tabla1[[#This Row],[Entry Price]]-(Tabla1[[#This Row],[Entry Price]]-Tabla1[[#This Row],[Initial Stop]])/2</f>
        <v>277.12</v>
      </c>
      <c r="I401">
        <v>5</v>
      </c>
      <c r="J401">
        <f t="shared" si="114"/>
        <v>8.2999999999998408</v>
      </c>
      <c r="K401">
        <v>1</v>
      </c>
      <c r="L401">
        <f t="shared" si="115"/>
        <v>8.2999999999998408</v>
      </c>
      <c r="M401" t="s">
        <v>72</v>
      </c>
      <c r="N401">
        <f>SUMIF(Executions!B:B,A401,Executions!H:H)</f>
        <v>-8.4000000000000341</v>
      </c>
      <c r="O401">
        <f t="shared" si="116"/>
        <v>-1.0120481927711078</v>
      </c>
      <c r="P401" s="4">
        <f>Tabla1[[#This Row],[Initial Risk $]]/Tabla1[[#This Row],[Position Size (shares)]]+Tabla1[[#This Row],[Entry Price]]</f>
        <v>279.60999999999996</v>
      </c>
      <c r="Q401" s="4">
        <f>Tabla1[[#This Row],[Initial Risk $]]/Tabla1[[#This Row],[Position Size (shares)]]*1.5+Tabla1[[#This Row],[Entry Price]]</f>
        <v>280.43999999999994</v>
      </c>
      <c r="R401" s="4">
        <f>Tabla1[[#This Row],[Initial Risk $]]/Tabla1[[#This Row],[Position Size (shares)]]*2+Tabla1[[#This Row],[Entry Price]]</f>
        <v>281.26999999999992</v>
      </c>
      <c r="S401" s="4">
        <f>Tabla1[[#This Row],[Initial Risk $]]/Tabla1[[#This Row],[Position Size (shares)]]*2.5+Tabla1[[#This Row],[Entry Price]]</f>
        <v>282.09999999999991</v>
      </c>
      <c r="T401" s="4">
        <f>Tabla1[[#This Row],[Initial Risk $]]/Tabla1[[#This Row],[Position Size (shares)]]*3+Tabla1[[#This Row],[Entry Price]]</f>
        <v>282.92999999999989</v>
      </c>
    </row>
    <row r="402" spans="1:20" customFormat="1" hidden="1" x14ac:dyDescent="0.25">
      <c r="A402" t="str">
        <f t="shared" si="113"/>
        <v>T-401</v>
      </c>
      <c r="B402" s="1">
        <v>46198</v>
      </c>
      <c r="C402" t="s">
        <v>164</v>
      </c>
      <c r="D402" t="s">
        <v>28</v>
      </c>
      <c r="E402" t="s">
        <v>58</v>
      </c>
      <c r="F402">
        <v>195.59</v>
      </c>
      <c r="G402">
        <v>194.54</v>
      </c>
      <c r="H402">
        <f>Tabla1[[#This Row],[Entry Price]]-(Tabla1[[#This Row],[Entry Price]]-Tabla1[[#This Row],[Initial Stop]])/2</f>
        <v>195.065</v>
      </c>
      <c r="I402">
        <v>5</v>
      </c>
      <c r="J402">
        <f t="shared" si="114"/>
        <v>5.2500000000000568</v>
      </c>
      <c r="K402">
        <v>1</v>
      </c>
      <c r="L402">
        <f t="shared" si="115"/>
        <v>5.2500000000000568</v>
      </c>
      <c r="M402" t="s">
        <v>72</v>
      </c>
      <c r="N402">
        <f>SUMIF(Executions!B:B,A402,Executions!H:H)</f>
        <v>-5.3000000000000114</v>
      </c>
      <c r="O402">
        <f t="shared" si="116"/>
        <v>-1.0095238095238008</v>
      </c>
      <c r="P402" s="4">
        <f>Tabla1[[#This Row],[Initial Risk $]]/Tabla1[[#This Row],[Position Size (shares)]]+Tabla1[[#This Row],[Entry Price]]</f>
        <v>196.64000000000001</v>
      </c>
      <c r="Q402" s="4">
        <f>Tabla1[[#This Row],[Initial Risk $]]/Tabla1[[#This Row],[Position Size (shares)]]*1.5+Tabla1[[#This Row],[Entry Price]]</f>
        <v>197.16500000000002</v>
      </c>
      <c r="R402" s="4">
        <f>Tabla1[[#This Row],[Initial Risk $]]/Tabla1[[#This Row],[Position Size (shares)]]*2+Tabla1[[#This Row],[Entry Price]]</f>
        <v>197.69000000000003</v>
      </c>
      <c r="S402" s="4">
        <f>Tabla1[[#This Row],[Initial Risk $]]/Tabla1[[#This Row],[Position Size (shares)]]*2.5+Tabla1[[#This Row],[Entry Price]]</f>
        <v>198.21500000000003</v>
      </c>
      <c r="T402" s="4">
        <f>Tabla1[[#This Row],[Initial Risk $]]/Tabla1[[#This Row],[Position Size (shares)]]*3+Tabla1[[#This Row],[Entry Price]]</f>
        <v>198.74000000000004</v>
      </c>
    </row>
    <row r="403" spans="1:20" customFormat="1" hidden="1" x14ac:dyDescent="0.25">
      <c r="A403" t="str">
        <f t="shared" si="113"/>
        <v>T-402</v>
      </c>
      <c r="B403" s="1">
        <v>46198</v>
      </c>
      <c r="C403" t="s">
        <v>631</v>
      </c>
      <c r="D403" t="s">
        <v>28</v>
      </c>
      <c r="E403" t="s">
        <v>58</v>
      </c>
      <c r="F403">
        <v>23.6</v>
      </c>
      <c r="G403">
        <v>23.39</v>
      </c>
      <c r="H403">
        <f>Tabla1[[#This Row],[Entry Price]]-(Tabla1[[#This Row],[Entry Price]]-Tabla1[[#This Row],[Initial Stop]])/2</f>
        <v>23.495000000000001</v>
      </c>
      <c r="I403">
        <v>30</v>
      </c>
      <c r="J403">
        <f t="shared" si="114"/>
        <v>6.3000000000000256</v>
      </c>
      <c r="K403">
        <v>1</v>
      </c>
      <c r="L403">
        <f t="shared" si="115"/>
        <v>6.3000000000000256</v>
      </c>
      <c r="M403" t="s">
        <v>72</v>
      </c>
      <c r="N403">
        <f>SUMIF(Executions!B:B,A403,Executions!H:H)</f>
        <v>-1.8000000000000682</v>
      </c>
      <c r="O403">
        <f t="shared" si="116"/>
        <v>-0.28571428571429536</v>
      </c>
      <c r="P403" s="4">
        <f>Tabla1[[#This Row],[Initial Risk $]]/Tabla1[[#This Row],[Position Size (shares)]]+Tabla1[[#This Row],[Entry Price]]</f>
        <v>23.810000000000002</v>
      </c>
      <c r="Q403" s="4">
        <f>Tabla1[[#This Row],[Initial Risk $]]/Tabla1[[#This Row],[Position Size (shares)]]*1.5+Tabla1[[#This Row],[Entry Price]]</f>
        <v>23.915000000000003</v>
      </c>
      <c r="R403" s="4">
        <f>Tabla1[[#This Row],[Initial Risk $]]/Tabla1[[#This Row],[Position Size (shares)]]*2+Tabla1[[#This Row],[Entry Price]]</f>
        <v>24.020000000000003</v>
      </c>
      <c r="S403" s="4">
        <f>Tabla1[[#This Row],[Initial Risk $]]/Tabla1[[#This Row],[Position Size (shares)]]*2.5+Tabla1[[#This Row],[Entry Price]]</f>
        <v>24.125000000000004</v>
      </c>
      <c r="T403" s="4">
        <f>Tabla1[[#This Row],[Initial Risk $]]/Tabla1[[#This Row],[Position Size (shares)]]*3+Tabla1[[#This Row],[Entry Price]]</f>
        <v>24.230000000000004</v>
      </c>
    </row>
    <row r="404" spans="1:20" customFormat="1" hidden="1" x14ac:dyDescent="0.25">
      <c r="A404" t="str">
        <f t="shared" si="113"/>
        <v>T-403</v>
      </c>
      <c r="B404" s="1">
        <v>46198</v>
      </c>
      <c r="C404" t="s">
        <v>632</v>
      </c>
      <c r="D404" t="s">
        <v>28</v>
      </c>
      <c r="E404" t="s">
        <v>58</v>
      </c>
      <c r="F404">
        <v>87.68</v>
      </c>
      <c r="G404">
        <v>87.19</v>
      </c>
      <c r="H404">
        <f>Tabla1[[#This Row],[Entry Price]]-(Tabla1[[#This Row],[Entry Price]]-Tabla1[[#This Row],[Initial Stop]])/2</f>
        <v>87.435000000000002</v>
      </c>
      <c r="I404">
        <v>15</v>
      </c>
      <c r="J404">
        <f t="shared" si="114"/>
        <v>7.3500000000001364</v>
      </c>
      <c r="K404">
        <v>1</v>
      </c>
      <c r="L404">
        <f t="shared" si="115"/>
        <v>7.3500000000001364</v>
      </c>
      <c r="M404" t="s">
        <v>72</v>
      </c>
      <c r="N404">
        <f>SUMIF(Executions!B:B,A404,Executions!H:H)</f>
        <v>2.2499999999998721</v>
      </c>
      <c r="O404">
        <f t="shared" si="116"/>
        <v>0.30612244897956875</v>
      </c>
      <c r="P404" s="4">
        <f>Tabla1[[#This Row],[Initial Risk $]]/Tabla1[[#This Row],[Position Size (shares)]]+Tabla1[[#This Row],[Entry Price]]</f>
        <v>88.170000000000016</v>
      </c>
      <c r="Q404" s="4">
        <f>Tabla1[[#This Row],[Initial Risk $]]/Tabla1[[#This Row],[Position Size (shares)]]*1.5+Tabla1[[#This Row],[Entry Price]]</f>
        <v>88.41500000000002</v>
      </c>
      <c r="R404" s="4">
        <f>Tabla1[[#This Row],[Initial Risk $]]/Tabla1[[#This Row],[Position Size (shares)]]*2+Tabla1[[#This Row],[Entry Price]]</f>
        <v>88.660000000000025</v>
      </c>
      <c r="S404" s="4">
        <f>Tabla1[[#This Row],[Initial Risk $]]/Tabla1[[#This Row],[Position Size (shares)]]*2.5+Tabla1[[#This Row],[Entry Price]]</f>
        <v>88.90500000000003</v>
      </c>
      <c r="T404" s="4">
        <f>Tabla1[[#This Row],[Initial Risk $]]/Tabla1[[#This Row],[Position Size (shares)]]*3+Tabla1[[#This Row],[Entry Price]]</f>
        <v>89.150000000000034</v>
      </c>
    </row>
    <row r="405" spans="1:20" customFormat="1" hidden="1" x14ac:dyDescent="0.25">
      <c r="A405" t="str">
        <f t="shared" ref="A405:A410" si="117">"T-"&amp; TEXT(ROW()-1,"000")</f>
        <v>T-404</v>
      </c>
      <c r="B405" s="1">
        <v>46199</v>
      </c>
      <c r="C405" t="s">
        <v>101</v>
      </c>
      <c r="D405" t="s">
        <v>28</v>
      </c>
      <c r="E405" t="s">
        <v>58</v>
      </c>
      <c r="F405">
        <v>10.39</v>
      </c>
      <c r="G405">
        <v>10.3</v>
      </c>
      <c r="H405">
        <f>Tabla1[[#This Row],[Entry Price]]-(Tabla1[[#This Row],[Entry Price]]-Tabla1[[#This Row],[Initial Stop]])/2</f>
        <v>10.345000000000001</v>
      </c>
      <c r="I405">
        <v>60</v>
      </c>
      <c r="J405">
        <f t="shared" ref="J405:J410" si="118">IF(D405="Long",(F405-G405)*I405,(G405-F405)*0)</f>
        <v>5.3999999999999915</v>
      </c>
      <c r="K405">
        <v>1</v>
      </c>
      <c r="L405">
        <f t="shared" ref="L405:L410" si="119">J405*K405</f>
        <v>5.3999999999999915</v>
      </c>
      <c r="M405" t="s">
        <v>72</v>
      </c>
      <c r="N405">
        <f>SUMIF(Executions!B:B,A405,Executions!H:H)</f>
        <v>-9.6000000000000085</v>
      </c>
      <c r="O405">
        <f t="shared" ref="O405:O410" si="120">N405/J405</f>
        <v>-1.7777777777777821</v>
      </c>
      <c r="P405" s="4">
        <f>Tabla1[[#This Row],[Initial Risk $]]/Tabla1[[#This Row],[Position Size (shares)]]+Tabla1[[#This Row],[Entry Price]]</f>
        <v>10.48</v>
      </c>
      <c r="Q405" s="4">
        <f>Tabla1[[#This Row],[Initial Risk $]]/Tabla1[[#This Row],[Position Size (shares)]]*1.5+Tabla1[[#This Row],[Entry Price]]</f>
        <v>10.525</v>
      </c>
      <c r="R405" s="4">
        <f>Tabla1[[#This Row],[Initial Risk $]]/Tabla1[[#This Row],[Position Size (shares)]]*2+Tabla1[[#This Row],[Entry Price]]</f>
        <v>10.57</v>
      </c>
      <c r="S405" s="4">
        <f>Tabla1[[#This Row],[Initial Risk $]]/Tabla1[[#This Row],[Position Size (shares)]]*2.5+Tabla1[[#This Row],[Entry Price]]</f>
        <v>10.615</v>
      </c>
      <c r="T405" s="4">
        <f>Tabla1[[#This Row],[Initial Risk $]]/Tabla1[[#This Row],[Position Size (shares)]]*3+Tabla1[[#This Row],[Entry Price]]</f>
        <v>10.66</v>
      </c>
    </row>
    <row r="406" spans="1:20" customFormat="1" hidden="1" x14ac:dyDescent="0.25">
      <c r="A406" t="str">
        <f t="shared" si="117"/>
        <v>T-405</v>
      </c>
      <c r="B406" s="1">
        <v>46199</v>
      </c>
      <c r="C406" t="s">
        <v>550</v>
      </c>
      <c r="D406" t="s">
        <v>28</v>
      </c>
      <c r="E406" t="s">
        <v>119</v>
      </c>
      <c r="F406">
        <v>76.89</v>
      </c>
      <c r="G406">
        <v>76.09</v>
      </c>
      <c r="H406">
        <f>Tabla1[[#This Row],[Entry Price]]-(Tabla1[[#This Row],[Entry Price]]-Tabla1[[#This Row],[Initial Stop]])/2</f>
        <v>76.490000000000009</v>
      </c>
      <c r="I406">
        <v>10</v>
      </c>
      <c r="J406">
        <f t="shared" si="118"/>
        <v>7.9999999999999716</v>
      </c>
      <c r="K406">
        <v>1</v>
      </c>
      <c r="L406">
        <f t="shared" si="119"/>
        <v>7.9999999999999716</v>
      </c>
      <c r="M406" t="s">
        <v>72</v>
      </c>
      <c r="N406">
        <f>SUMIF(Executions!B:B,A406,Executions!H:H)</f>
        <v>28.400000000000034</v>
      </c>
      <c r="O406">
        <f t="shared" si="120"/>
        <v>3.5500000000000167</v>
      </c>
      <c r="P406" s="4">
        <f>Tabla1[[#This Row],[Initial Risk $]]/Tabla1[[#This Row],[Position Size (shares)]]+Tabla1[[#This Row],[Entry Price]]</f>
        <v>77.69</v>
      </c>
      <c r="Q406" s="4">
        <f>Tabla1[[#This Row],[Initial Risk $]]/Tabla1[[#This Row],[Position Size (shares)]]*1.5+Tabla1[[#This Row],[Entry Price]]</f>
        <v>78.09</v>
      </c>
      <c r="R406" s="4">
        <f>Tabla1[[#This Row],[Initial Risk $]]/Tabla1[[#This Row],[Position Size (shares)]]*2+Tabla1[[#This Row],[Entry Price]]</f>
        <v>78.489999999999995</v>
      </c>
      <c r="S406" s="4">
        <f>Tabla1[[#This Row],[Initial Risk $]]/Tabla1[[#This Row],[Position Size (shares)]]*2.5+Tabla1[[#This Row],[Entry Price]]</f>
        <v>78.889999999999986</v>
      </c>
      <c r="T406" s="4">
        <f>Tabla1[[#This Row],[Initial Risk $]]/Tabla1[[#This Row],[Position Size (shares)]]*3+Tabla1[[#This Row],[Entry Price]]</f>
        <v>79.289999999999992</v>
      </c>
    </row>
    <row r="407" spans="1:20" customFormat="1" hidden="1" x14ac:dyDescent="0.25">
      <c r="A407" t="str">
        <f t="shared" si="117"/>
        <v>T-406</v>
      </c>
      <c r="B407" s="1">
        <v>46199</v>
      </c>
      <c r="C407" t="s">
        <v>95</v>
      </c>
      <c r="D407" t="s">
        <v>28</v>
      </c>
      <c r="E407" t="s">
        <v>49</v>
      </c>
      <c r="F407">
        <v>96.87</v>
      </c>
      <c r="G407">
        <v>96.4</v>
      </c>
      <c r="H407">
        <f>Tabla1[[#This Row],[Entry Price]]-(Tabla1[[#This Row],[Entry Price]]-Tabla1[[#This Row],[Initial Stop]])/2</f>
        <v>96.635000000000005</v>
      </c>
      <c r="I407">
        <v>10</v>
      </c>
      <c r="J407">
        <f t="shared" si="118"/>
        <v>4.6999999999999886</v>
      </c>
      <c r="K407">
        <v>1</v>
      </c>
      <c r="L407">
        <f t="shared" si="119"/>
        <v>4.6999999999999886</v>
      </c>
      <c r="M407" t="s">
        <v>72</v>
      </c>
      <c r="N407">
        <f>SUMIF(Executions!B:B,A407,Executions!H:H)</f>
        <v>5.6999999999999318</v>
      </c>
      <c r="O407">
        <f t="shared" si="120"/>
        <v>1.2127659574467968</v>
      </c>
      <c r="P407" s="4">
        <f>Tabla1[[#This Row],[Initial Risk $]]/Tabla1[[#This Row],[Position Size (shares)]]+Tabla1[[#This Row],[Entry Price]]</f>
        <v>97.34</v>
      </c>
      <c r="Q407" s="4">
        <f>Tabla1[[#This Row],[Initial Risk $]]/Tabla1[[#This Row],[Position Size (shares)]]*1.5+Tabla1[[#This Row],[Entry Price]]</f>
        <v>97.575000000000003</v>
      </c>
      <c r="R407" s="4">
        <f>Tabla1[[#This Row],[Initial Risk $]]/Tabla1[[#This Row],[Position Size (shares)]]*2+Tabla1[[#This Row],[Entry Price]]</f>
        <v>97.81</v>
      </c>
      <c r="S407" s="4">
        <f>Tabla1[[#This Row],[Initial Risk $]]/Tabla1[[#This Row],[Position Size (shares)]]*2.5+Tabla1[[#This Row],[Entry Price]]</f>
        <v>98.045000000000002</v>
      </c>
      <c r="T407" s="4">
        <f>Tabla1[[#This Row],[Initial Risk $]]/Tabla1[[#This Row],[Position Size (shares)]]*3+Tabla1[[#This Row],[Entry Price]]</f>
        <v>98.28</v>
      </c>
    </row>
    <row r="408" spans="1:20" customFormat="1" hidden="1" x14ac:dyDescent="0.25">
      <c r="A408" t="str">
        <f t="shared" si="117"/>
        <v>T-407</v>
      </c>
      <c r="B408" s="1">
        <v>46199</v>
      </c>
      <c r="C408" t="s">
        <v>637</v>
      </c>
      <c r="D408" t="s">
        <v>28</v>
      </c>
      <c r="E408" t="s">
        <v>119</v>
      </c>
      <c r="F408">
        <v>65.260000000000005</v>
      </c>
      <c r="G408">
        <v>65.010000000000005</v>
      </c>
      <c r="H408">
        <f>Tabla1[[#This Row],[Entry Price]]-(Tabla1[[#This Row],[Entry Price]]-Tabla1[[#This Row],[Initial Stop]])/2</f>
        <v>65.135000000000005</v>
      </c>
      <c r="I408">
        <v>30</v>
      </c>
      <c r="J408">
        <f t="shared" si="118"/>
        <v>7.5</v>
      </c>
      <c r="K408">
        <v>1</v>
      </c>
      <c r="L408">
        <f t="shared" si="119"/>
        <v>7.5</v>
      </c>
      <c r="M408" t="s">
        <v>72</v>
      </c>
      <c r="N408">
        <f>SUMIF(Executions!B:B,A408,Executions!H:H)</f>
        <v>-8.4000000000000341</v>
      </c>
      <c r="O408">
        <f t="shared" si="120"/>
        <v>-1.1200000000000045</v>
      </c>
      <c r="P408" s="4">
        <f>Tabla1[[#This Row],[Initial Risk $]]/Tabla1[[#This Row],[Position Size (shares)]]+Tabla1[[#This Row],[Entry Price]]</f>
        <v>65.510000000000005</v>
      </c>
      <c r="Q408" s="4">
        <f>Tabla1[[#This Row],[Initial Risk $]]/Tabla1[[#This Row],[Position Size (shares)]]*1.5+Tabla1[[#This Row],[Entry Price]]</f>
        <v>65.635000000000005</v>
      </c>
      <c r="R408" s="4">
        <f>Tabla1[[#This Row],[Initial Risk $]]/Tabla1[[#This Row],[Position Size (shares)]]*2+Tabla1[[#This Row],[Entry Price]]</f>
        <v>65.760000000000005</v>
      </c>
      <c r="S408" s="4">
        <f>Tabla1[[#This Row],[Initial Risk $]]/Tabla1[[#This Row],[Position Size (shares)]]*2.5+Tabla1[[#This Row],[Entry Price]]</f>
        <v>65.885000000000005</v>
      </c>
      <c r="T408" s="4">
        <f>Tabla1[[#This Row],[Initial Risk $]]/Tabla1[[#This Row],[Position Size (shares)]]*3+Tabla1[[#This Row],[Entry Price]]</f>
        <v>66.010000000000005</v>
      </c>
    </row>
    <row r="409" spans="1:20" customFormat="1" hidden="1" x14ac:dyDescent="0.25">
      <c r="A409" t="str">
        <f t="shared" si="117"/>
        <v>T-408</v>
      </c>
      <c r="B409" s="1">
        <v>46199</v>
      </c>
      <c r="C409" t="s">
        <v>271</v>
      </c>
      <c r="D409" t="s">
        <v>28</v>
      </c>
      <c r="E409" t="s">
        <v>119</v>
      </c>
      <c r="F409">
        <v>643.13</v>
      </c>
      <c r="G409">
        <v>641.13</v>
      </c>
      <c r="H409">
        <f>Tabla1[[#This Row],[Entry Price]]-(Tabla1[[#This Row],[Entry Price]]-Tabla1[[#This Row],[Initial Stop]])/2</f>
        <v>642.13</v>
      </c>
      <c r="I409">
        <v>5</v>
      </c>
      <c r="J409">
        <f t="shared" si="118"/>
        <v>10</v>
      </c>
      <c r="K409">
        <v>1</v>
      </c>
      <c r="L409">
        <f t="shared" si="119"/>
        <v>10</v>
      </c>
      <c r="M409" t="s">
        <v>72</v>
      </c>
      <c r="N409">
        <f>SUMIF(Executions!B:B,A409,Executions!H:H)</f>
        <v>18.450000000000273</v>
      </c>
      <c r="O409">
        <f t="shared" si="120"/>
        <v>1.8450000000000273</v>
      </c>
      <c r="P409" s="4">
        <f>Tabla1[[#This Row],[Initial Risk $]]/Tabla1[[#This Row],[Position Size (shares)]]+Tabla1[[#This Row],[Entry Price]]</f>
        <v>645.13</v>
      </c>
      <c r="Q409" s="4">
        <f>Tabla1[[#This Row],[Initial Risk $]]/Tabla1[[#This Row],[Position Size (shares)]]*1.5+Tabla1[[#This Row],[Entry Price]]</f>
        <v>646.13</v>
      </c>
      <c r="R409" s="4">
        <f>Tabla1[[#This Row],[Initial Risk $]]/Tabla1[[#This Row],[Position Size (shares)]]*2+Tabla1[[#This Row],[Entry Price]]</f>
        <v>647.13</v>
      </c>
      <c r="S409" s="4">
        <f>Tabla1[[#This Row],[Initial Risk $]]/Tabla1[[#This Row],[Position Size (shares)]]*2.5+Tabla1[[#This Row],[Entry Price]]</f>
        <v>648.13</v>
      </c>
      <c r="T409" s="4">
        <f>Tabla1[[#This Row],[Initial Risk $]]/Tabla1[[#This Row],[Position Size (shares)]]*3+Tabla1[[#This Row],[Entry Price]]</f>
        <v>649.13</v>
      </c>
    </row>
    <row r="410" spans="1:20" customFormat="1" hidden="1" x14ac:dyDescent="0.25">
      <c r="A410" t="str">
        <f t="shared" si="117"/>
        <v>T-409</v>
      </c>
      <c r="B410" s="1">
        <v>46199</v>
      </c>
      <c r="C410" t="s">
        <v>161</v>
      </c>
      <c r="D410" t="s">
        <v>28</v>
      </c>
      <c r="E410" t="s">
        <v>119</v>
      </c>
      <c r="F410">
        <v>128.86000000000001</v>
      </c>
      <c r="G410">
        <v>127.88</v>
      </c>
      <c r="H410">
        <f>Tabla1[[#This Row],[Entry Price]]-(Tabla1[[#This Row],[Entry Price]]-Tabla1[[#This Row],[Initial Stop]])/2</f>
        <v>128.37</v>
      </c>
      <c r="I410">
        <v>4</v>
      </c>
      <c r="J410">
        <f t="shared" si="118"/>
        <v>3.9200000000000728</v>
      </c>
      <c r="K410">
        <v>1</v>
      </c>
      <c r="L410">
        <f t="shared" si="119"/>
        <v>3.9200000000000728</v>
      </c>
      <c r="M410" t="s">
        <v>72</v>
      </c>
      <c r="N410">
        <f>SUMIF(Executions!B:B,A410,Executions!H:H)</f>
        <v>-3.9600000000000364</v>
      </c>
      <c r="O410">
        <f t="shared" si="120"/>
        <v>-1.0102040816326436</v>
      </c>
      <c r="P410" s="4">
        <f>Tabla1[[#This Row],[Initial Risk $]]/Tabla1[[#This Row],[Position Size (shares)]]+Tabla1[[#This Row],[Entry Price]]</f>
        <v>129.84000000000003</v>
      </c>
      <c r="Q410" s="4">
        <f>Tabla1[[#This Row],[Initial Risk $]]/Tabla1[[#This Row],[Position Size (shares)]]*1.5+Tabla1[[#This Row],[Entry Price]]</f>
        <v>130.33000000000004</v>
      </c>
      <c r="R410" s="4">
        <f>Tabla1[[#This Row],[Initial Risk $]]/Tabla1[[#This Row],[Position Size (shares)]]*2+Tabla1[[#This Row],[Entry Price]]</f>
        <v>130.82000000000005</v>
      </c>
      <c r="S410" s="4">
        <f>Tabla1[[#This Row],[Initial Risk $]]/Tabla1[[#This Row],[Position Size (shares)]]*2.5+Tabla1[[#This Row],[Entry Price]]</f>
        <v>131.31000000000006</v>
      </c>
      <c r="T410" s="4">
        <f>Tabla1[[#This Row],[Initial Risk $]]/Tabla1[[#This Row],[Position Size (shares)]]*3+Tabla1[[#This Row],[Entry Price]]</f>
        <v>131.80000000000007</v>
      </c>
    </row>
    <row r="411" spans="1:20" customFormat="1" hidden="1" x14ac:dyDescent="0.25">
      <c r="A411" t="str">
        <f t="shared" ref="A411:A418" si="121">"T-"&amp; TEXT(ROW()-1,"000")</f>
        <v>T-410</v>
      </c>
      <c r="B411" s="1">
        <v>46202</v>
      </c>
      <c r="C411" t="s">
        <v>101</v>
      </c>
      <c r="D411" t="s">
        <v>28</v>
      </c>
      <c r="E411" t="s">
        <v>58</v>
      </c>
      <c r="F411">
        <v>11.98</v>
      </c>
      <c r="G411">
        <v>11.78</v>
      </c>
      <c r="H411">
        <f>Tabla1[[#This Row],[Entry Price]]-(Tabla1[[#This Row],[Entry Price]]-Tabla1[[#This Row],[Initial Stop]])/2</f>
        <v>11.879999999999999</v>
      </c>
      <c r="I411">
        <v>50</v>
      </c>
      <c r="J411">
        <f t="shared" ref="J411:J418" si="122">IF(D411="Long",(F411-G411)*I411,(G411-F411)*0)</f>
        <v>10.000000000000053</v>
      </c>
      <c r="K411">
        <v>1</v>
      </c>
      <c r="L411">
        <f t="shared" ref="L411:L418" si="123">J411*K411</f>
        <v>10.000000000000053</v>
      </c>
      <c r="M411" t="s">
        <v>72</v>
      </c>
      <c r="N411">
        <f>SUMIF(Executions!B:B,A411,Executions!H:H)</f>
        <v>8.9999999999999858</v>
      </c>
      <c r="O411">
        <f t="shared" ref="O411:O418" si="124">N411/J411</f>
        <v>0.8999999999999938</v>
      </c>
      <c r="P411" s="4">
        <f>Tabla1[[#This Row],[Initial Risk $]]/Tabla1[[#This Row],[Position Size (shares)]]+Tabla1[[#This Row],[Entry Price]]</f>
        <v>12.180000000000001</v>
      </c>
      <c r="Q411" s="4">
        <f>Tabla1[[#This Row],[Initial Risk $]]/Tabla1[[#This Row],[Position Size (shares)]]*1.5+Tabla1[[#This Row],[Entry Price]]</f>
        <v>12.280000000000001</v>
      </c>
      <c r="R411" s="4">
        <f>Tabla1[[#This Row],[Initial Risk $]]/Tabla1[[#This Row],[Position Size (shares)]]*2+Tabla1[[#This Row],[Entry Price]]</f>
        <v>12.380000000000003</v>
      </c>
      <c r="S411" s="4">
        <f>Tabla1[[#This Row],[Initial Risk $]]/Tabla1[[#This Row],[Position Size (shares)]]*2.5+Tabla1[[#This Row],[Entry Price]]</f>
        <v>12.480000000000004</v>
      </c>
      <c r="T411" s="4">
        <f>Tabla1[[#This Row],[Initial Risk $]]/Tabla1[[#This Row],[Position Size (shares)]]*3+Tabla1[[#This Row],[Entry Price]]</f>
        <v>12.580000000000004</v>
      </c>
    </row>
    <row r="412" spans="1:20" customFormat="1" hidden="1" x14ac:dyDescent="0.25">
      <c r="A412" t="str">
        <f t="shared" si="121"/>
        <v>T-411</v>
      </c>
      <c r="B412" s="1">
        <v>46202</v>
      </c>
      <c r="C412" t="s">
        <v>271</v>
      </c>
      <c r="D412" t="s">
        <v>28</v>
      </c>
      <c r="E412" t="s">
        <v>49</v>
      </c>
      <c r="F412">
        <v>648.37</v>
      </c>
      <c r="G412">
        <v>642.79999999999995</v>
      </c>
      <c r="H412">
        <f>Tabla1[[#This Row],[Entry Price]]-(Tabla1[[#This Row],[Entry Price]]-Tabla1[[#This Row],[Initial Stop]])/2</f>
        <v>645.58500000000004</v>
      </c>
      <c r="I412">
        <v>2</v>
      </c>
      <c r="J412">
        <f t="shared" si="122"/>
        <v>11.1400000000001</v>
      </c>
      <c r="K412">
        <v>1</v>
      </c>
      <c r="L412">
        <f t="shared" si="123"/>
        <v>11.1400000000001</v>
      </c>
      <c r="M412" t="s">
        <v>72</v>
      </c>
      <c r="N412">
        <f>SUMIF(Executions!B:B,A412,Executions!H:H)</f>
        <v>33.079999999999927</v>
      </c>
      <c r="O412">
        <f t="shared" si="124"/>
        <v>2.9694793536803976</v>
      </c>
      <c r="P412" s="4">
        <f>Tabla1[[#This Row],[Initial Risk $]]/Tabla1[[#This Row],[Position Size (shares)]]+Tabla1[[#This Row],[Entry Price]]</f>
        <v>653.94000000000005</v>
      </c>
      <c r="Q412" s="4">
        <f>Tabla1[[#This Row],[Initial Risk $]]/Tabla1[[#This Row],[Position Size (shares)]]*1.5+Tabla1[[#This Row],[Entry Price]]</f>
        <v>656.72500000000014</v>
      </c>
      <c r="R412" s="4">
        <f>Tabla1[[#This Row],[Initial Risk $]]/Tabla1[[#This Row],[Position Size (shares)]]*2+Tabla1[[#This Row],[Entry Price]]</f>
        <v>659.5100000000001</v>
      </c>
      <c r="S412" s="4">
        <f>Tabla1[[#This Row],[Initial Risk $]]/Tabla1[[#This Row],[Position Size (shares)]]*2.5+Tabla1[[#This Row],[Entry Price]]</f>
        <v>662.29500000000007</v>
      </c>
      <c r="T412" s="4">
        <f>Tabla1[[#This Row],[Initial Risk $]]/Tabla1[[#This Row],[Position Size (shares)]]*3+Tabla1[[#This Row],[Entry Price]]</f>
        <v>665.08000000000015</v>
      </c>
    </row>
    <row r="413" spans="1:20" customFormat="1" hidden="1" x14ac:dyDescent="0.25">
      <c r="A413" t="str">
        <f t="shared" si="121"/>
        <v>T-412</v>
      </c>
      <c r="B413" s="1">
        <v>46202</v>
      </c>
      <c r="C413" t="s">
        <v>550</v>
      </c>
      <c r="D413" t="s">
        <v>28</v>
      </c>
      <c r="E413" t="s">
        <v>58</v>
      </c>
      <c r="F413">
        <v>80.52</v>
      </c>
      <c r="G413">
        <v>79.650000000000006</v>
      </c>
      <c r="H413">
        <f>Tabla1[[#This Row],[Entry Price]]-(Tabla1[[#This Row],[Entry Price]]-Tabla1[[#This Row],[Initial Stop]])/2</f>
        <v>80.085000000000008</v>
      </c>
      <c r="I413">
        <v>15</v>
      </c>
      <c r="J413">
        <f t="shared" si="122"/>
        <v>13.049999999999855</v>
      </c>
      <c r="K413">
        <v>1</v>
      </c>
      <c r="L413">
        <f t="shared" si="123"/>
        <v>13.049999999999855</v>
      </c>
      <c r="M413" t="s">
        <v>72</v>
      </c>
      <c r="N413">
        <f>SUMIF(Executions!B:B,A413,Executions!H:H)</f>
        <v>-13.949999999999889</v>
      </c>
      <c r="O413">
        <f t="shared" si="124"/>
        <v>-1.0689655172413828</v>
      </c>
      <c r="P413" s="4">
        <f>Tabla1[[#This Row],[Initial Risk $]]/Tabla1[[#This Row],[Position Size (shares)]]+Tabla1[[#This Row],[Entry Price]]</f>
        <v>81.389999999999986</v>
      </c>
      <c r="Q413" s="4">
        <f>Tabla1[[#This Row],[Initial Risk $]]/Tabla1[[#This Row],[Position Size (shares)]]*1.5+Tabla1[[#This Row],[Entry Price]]</f>
        <v>81.824999999999989</v>
      </c>
      <c r="R413" s="4">
        <f>Tabla1[[#This Row],[Initial Risk $]]/Tabla1[[#This Row],[Position Size (shares)]]*2+Tabla1[[#This Row],[Entry Price]]</f>
        <v>82.259999999999977</v>
      </c>
      <c r="S413" s="4">
        <f>Tabla1[[#This Row],[Initial Risk $]]/Tabla1[[#This Row],[Position Size (shares)]]*2.5+Tabla1[[#This Row],[Entry Price]]</f>
        <v>82.694999999999965</v>
      </c>
      <c r="T413" s="4">
        <f>Tabla1[[#This Row],[Initial Risk $]]/Tabla1[[#This Row],[Position Size (shares)]]*3+Tabla1[[#This Row],[Entry Price]]</f>
        <v>83.129999999999967</v>
      </c>
    </row>
    <row r="414" spans="1:20" customFormat="1" hidden="1" x14ac:dyDescent="0.25">
      <c r="A414" t="str">
        <f t="shared" si="121"/>
        <v>T-413</v>
      </c>
      <c r="B414" s="1">
        <v>46202</v>
      </c>
      <c r="C414" t="s">
        <v>271</v>
      </c>
      <c r="D414" t="s">
        <v>28</v>
      </c>
      <c r="E414" t="s">
        <v>119</v>
      </c>
      <c r="F414">
        <v>655</v>
      </c>
      <c r="G414">
        <v>651</v>
      </c>
      <c r="H414">
        <f>Tabla1[[#This Row],[Entry Price]]-(Tabla1[[#This Row],[Entry Price]]-Tabla1[[#This Row],[Initial Stop]])/2</f>
        <v>653</v>
      </c>
      <c r="I414">
        <v>2</v>
      </c>
      <c r="J414">
        <f t="shared" si="122"/>
        <v>8</v>
      </c>
      <c r="K414">
        <v>1</v>
      </c>
      <c r="L414">
        <f t="shared" si="123"/>
        <v>8</v>
      </c>
      <c r="M414" t="s">
        <v>72</v>
      </c>
      <c r="N414">
        <f>SUMIF(Executions!B:B,A414,Executions!H:H)</f>
        <v>-8.1600000000000819</v>
      </c>
      <c r="O414">
        <f t="shared" si="124"/>
        <v>-1.0200000000000102</v>
      </c>
      <c r="P414" s="4">
        <f>Tabla1[[#This Row],[Initial Risk $]]/Tabla1[[#This Row],[Position Size (shares)]]+Tabla1[[#This Row],[Entry Price]]</f>
        <v>659</v>
      </c>
      <c r="Q414" s="4">
        <f>Tabla1[[#This Row],[Initial Risk $]]/Tabla1[[#This Row],[Position Size (shares)]]*1.5+Tabla1[[#This Row],[Entry Price]]</f>
        <v>661</v>
      </c>
      <c r="R414" s="4">
        <f>Tabla1[[#This Row],[Initial Risk $]]/Tabla1[[#This Row],[Position Size (shares)]]*2+Tabla1[[#This Row],[Entry Price]]</f>
        <v>663</v>
      </c>
      <c r="S414" s="4">
        <f>Tabla1[[#This Row],[Initial Risk $]]/Tabla1[[#This Row],[Position Size (shares)]]*2.5+Tabla1[[#This Row],[Entry Price]]</f>
        <v>665</v>
      </c>
      <c r="T414" s="4">
        <f>Tabla1[[#This Row],[Initial Risk $]]/Tabla1[[#This Row],[Position Size (shares)]]*3+Tabla1[[#This Row],[Entry Price]]</f>
        <v>667</v>
      </c>
    </row>
    <row r="415" spans="1:20" customFormat="1" hidden="1" x14ac:dyDescent="0.25">
      <c r="A415" t="str">
        <f t="shared" si="121"/>
        <v>T-414</v>
      </c>
      <c r="B415" s="1">
        <v>46202</v>
      </c>
      <c r="C415" t="s">
        <v>474</v>
      </c>
      <c r="D415" t="s">
        <v>28</v>
      </c>
      <c r="E415" t="s">
        <v>58</v>
      </c>
      <c r="F415">
        <v>251.81</v>
      </c>
      <c r="G415">
        <v>250.81</v>
      </c>
      <c r="H415">
        <f>Tabla1[[#This Row],[Entry Price]]-(Tabla1[[#This Row],[Entry Price]]-Tabla1[[#This Row],[Initial Stop]])/2</f>
        <v>251.31</v>
      </c>
      <c r="I415">
        <v>4</v>
      </c>
      <c r="J415">
        <f t="shared" si="122"/>
        <v>4</v>
      </c>
      <c r="K415">
        <v>1</v>
      </c>
      <c r="L415">
        <f t="shared" si="123"/>
        <v>4</v>
      </c>
      <c r="M415" t="s">
        <v>72</v>
      </c>
      <c r="N415">
        <f>SUMIF(Executions!B:B,A415,Executions!H:H)</f>
        <v>-3.8400000000000318</v>
      </c>
      <c r="O415">
        <f t="shared" si="124"/>
        <v>-0.96000000000000796</v>
      </c>
      <c r="P415" s="4">
        <f>Tabla1[[#This Row],[Initial Risk $]]/Tabla1[[#This Row],[Position Size (shares)]]+Tabla1[[#This Row],[Entry Price]]</f>
        <v>252.81</v>
      </c>
      <c r="Q415" s="4">
        <f>Tabla1[[#This Row],[Initial Risk $]]/Tabla1[[#This Row],[Position Size (shares)]]*1.5+Tabla1[[#This Row],[Entry Price]]</f>
        <v>253.31</v>
      </c>
      <c r="R415" s="4">
        <f>Tabla1[[#This Row],[Initial Risk $]]/Tabla1[[#This Row],[Position Size (shares)]]*2+Tabla1[[#This Row],[Entry Price]]</f>
        <v>253.81</v>
      </c>
      <c r="S415" s="4">
        <f>Tabla1[[#This Row],[Initial Risk $]]/Tabla1[[#This Row],[Position Size (shares)]]*2.5+Tabla1[[#This Row],[Entry Price]]</f>
        <v>254.31</v>
      </c>
      <c r="T415" s="4">
        <f>Tabla1[[#This Row],[Initial Risk $]]/Tabla1[[#This Row],[Position Size (shares)]]*3+Tabla1[[#This Row],[Entry Price]]</f>
        <v>254.81</v>
      </c>
    </row>
    <row r="416" spans="1:20" customFormat="1" hidden="1" x14ac:dyDescent="0.25">
      <c r="A416" t="str">
        <f t="shared" si="121"/>
        <v>T-415</v>
      </c>
      <c r="B416" s="1">
        <v>46202</v>
      </c>
      <c r="C416" t="s">
        <v>550</v>
      </c>
      <c r="D416" t="s">
        <v>28</v>
      </c>
      <c r="E416" t="s">
        <v>119</v>
      </c>
      <c r="F416">
        <v>79.849999999999994</v>
      </c>
      <c r="G416">
        <v>78.95</v>
      </c>
      <c r="H416">
        <f>Tabla1[[#This Row],[Entry Price]]-(Tabla1[[#This Row],[Entry Price]]-Tabla1[[#This Row],[Initial Stop]])/2</f>
        <v>79.400000000000006</v>
      </c>
      <c r="I416">
        <v>10</v>
      </c>
      <c r="J416">
        <f t="shared" si="122"/>
        <v>8.9999999999999147</v>
      </c>
      <c r="K416">
        <v>1</v>
      </c>
      <c r="L416">
        <f t="shared" si="123"/>
        <v>8.9999999999999147</v>
      </c>
      <c r="M416" t="s">
        <v>72</v>
      </c>
      <c r="N416">
        <f>SUMIF(Executions!B:B,A416,Executions!H:H)</f>
        <v>3.5000000000000853</v>
      </c>
      <c r="O416">
        <f t="shared" si="124"/>
        <v>0.38888888888890205</v>
      </c>
      <c r="P416" s="4">
        <f>Tabla1[[#This Row],[Initial Risk $]]/Tabla1[[#This Row],[Position Size (shares)]]+Tabla1[[#This Row],[Entry Price]]</f>
        <v>80.749999999999986</v>
      </c>
      <c r="Q416" s="4">
        <f>Tabla1[[#This Row],[Initial Risk $]]/Tabla1[[#This Row],[Position Size (shares)]]*1.5+Tabla1[[#This Row],[Entry Price]]</f>
        <v>81.199999999999989</v>
      </c>
      <c r="R416" s="4">
        <f>Tabla1[[#This Row],[Initial Risk $]]/Tabla1[[#This Row],[Position Size (shares)]]*2+Tabla1[[#This Row],[Entry Price]]</f>
        <v>81.649999999999977</v>
      </c>
      <c r="S416" s="4">
        <f>Tabla1[[#This Row],[Initial Risk $]]/Tabla1[[#This Row],[Position Size (shares)]]*2.5+Tabla1[[#This Row],[Entry Price]]</f>
        <v>82.099999999999966</v>
      </c>
      <c r="T416" s="4">
        <f>Tabla1[[#This Row],[Initial Risk $]]/Tabla1[[#This Row],[Position Size (shares)]]*3+Tabla1[[#This Row],[Entry Price]]</f>
        <v>82.549999999999969</v>
      </c>
    </row>
    <row r="417" spans="1:20" customFormat="1" hidden="1" x14ac:dyDescent="0.25">
      <c r="A417" t="str">
        <f t="shared" si="121"/>
        <v>T-416</v>
      </c>
      <c r="B417" s="1">
        <v>46202</v>
      </c>
      <c r="C417" t="s">
        <v>101</v>
      </c>
      <c r="D417" t="s">
        <v>28</v>
      </c>
      <c r="E417" t="s">
        <v>119</v>
      </c>
      <c r="F417">
        <v>12.45</v>
      </c>
      <c r="G417">
        <v>12.21</v>
      </c>
      <c r="H417">
        <f>Tabla1[[#This Row],[Entry Price]]-(Tabla1[[#This Row],[Entry Price]]-Tabla1[[#This Row],[Initial Stop]])/2</f>
        <v>12.33</v>
      </c>
      <c r="I417">
        <v>40</v>
      </c>
      <c r="J417">
        <f t="shared" si="122"/>
        <v>9.5999999999999375</v>
      </c>
      <c r="K417">
        <v>1</v>
      </c>
      <c r="L417">
        <f t="shared" si="123"/>
        <v>9.5999999999999375</v>
      </c>
      <c r="M417" t="s">
        <v>72</v>
      </c>
      <c r="N417">
        <f>SUMIF(Executions!B:B,A417,Executions!H:H)</f>
        <v>10.800000000000054</v>
      </c>
      <c r="O417">
        <f t="shared" si="124"/>
        <v>1.1250000000000129</v>
      </c>
      <c r="P417" s="4">
        <f>Tabla1[[#This Row],[Initial Risk $]]/Tabla1[[#This Row],[Position Size (shares)]]+Tabla1[[#This Row],[Entry Price]]</f>
        <v>12.689999999999998</v>
      </c>
      <c r="Q417" s="4">
        <f>Tabla1[[#This Row],[Initial Risk $]]/Tabla1[[#This Row],[Position Size (shares)]]*1.5+Tabla1[[#This Row],[Entry Price]]</f>
        <v>12.809999999999997</v>
      </c>
      <c r="R417" s="4">
        <f>Tabla1[[#This Row],[Initial Risk $]]/Tabla1[[#This Row],[Position Size (shares)]]*2+Tabla1[[#This Row],[Entry Price]]</f>
        <v>12.929999999999996</v>
      </c>
      <c r="S417" s="4">
        <f>Tabla1[[#This Row],[Initial Risk $]]/Tabla1[[#This Row],[Position Size (shares)]]*2.5+Tabla1[[#This Row],[Entry Price]]</f>
        <v>13.049999999999995</v>
      </c>
      <c r="T417" s="4">
        <f>Tabla1[[#This Row],[Initial Risk $]]/Tabla1[[#This Row],[Position Size (shares)]]*3+Tabla1[[#This Row],[Entry Price]]</f>
        <v>13.169999999999995</v>
      </c>
    </row>
    <row r="418" spans="1:20" customFormat="1" hidden="1" x14ac:dyDescent="0.25">
      <c r="A418" t="str">
        <f t="shared" si="121"/>
        <v>T-417</v>
      </c>
      <c r="B418" s="1">
        <v>46202</v>
      </c>
      <c r="C418" t="s">
        <v>417</v>
      </c>
      <c r="D418" t="s">
        <v>28</v>
      </c>
      <c r="E418" t="s">
        <v>119</v>
      </c>
      <c r="F418">
        <v>496.71</v>
      </c>
      <c r="G418">
        <v>492.71</v>
      </c>
      <c r="H418">
        <f>Tabla1[[#This Row],[Entry Price]]-(Tabla1[[#This Row],[Entry Price]]-Tabla1[[#This Row],[Initial Stop]])/2</f>
        <v>494.71</v>
      </c>
      <c r="I418">
        <v>2</v>
      </c>
      <c r="J418">
        <f t="shared" si="122"/>
        <v>8</v>
      </c>
      <c r="K418">
        <v>1</v>
      </c>
      <c r="L418">
        <f t="shared" si="123"/>
        <v>8</v>
      </c>
      <c r="M418" t="s">
        <v>72</v>
      </c>
      <c r="N418">
        <f>SUMIF(Executions!B:B,A418,Executions!H:H)</f>
        <v>-8.1599999999999682</v>
      </c>
      <c r="O418">
        <f t="shared" si="124"/>
        <v>-1.019999999999996</v>
      </c>
      <c r="P418" s="4">
        <f>Tabla1[[#This Row],[Initial Risk $]]/Tabla1[[#This Row],[Position Size (shares)]]+Tabla1[[#This Row],[Entry Price]]</f>
        <v>500.71</v>
      </c>
      <c r="Q418" s="4">
        <f>Tabla1[[#This Row],[Initial Risk $]]/Tabla1[[#This Row],[Position Size (shares)]]*1.5+Tabla1[[#This Row],[Entry Price]]</f>
        <v>502.71</v>
      </c>
      <c r="R418" s="4">
        <f>Tabla1[[#This Row],[Initial Risk $]]/Tabla1[[#This Row],[Position Size (shares)]]*2+Tabla1[[#This Row],[Entry Price]]</f>
        <v>504.71</v>
      </c>
      <c r="S418" s="4">
        <f>Tabla1[[#This Row],[Initial Risk $]]/Tabla1[[#This Row],[Position Size (shares)]]*2.5+Tabla1[[#This Row],[Entry Price]]</f>
        <v>506.71</v>
      </c>
      <c r="T418" s="4">
        <f>Tabla1[[#This Row],[Initial Risk $]]/Tabla1[[#This Row],[Position Size (shares)]]*3+Tabla1[[#This Row],[Entry Price]]</f>
        <v>508.71</v>
      </c>
    </row>
    <row r="419" spans="1:20" customFormat="1" hidden="1" x14ac:dyDescent="0.25">
      <c r="A419" t="str">
        <f t="shared" ref="A419:A426" si="125">"T-"&amp; TEXT(ROW()-1,"000")</f>
        <v>T-418</v>
      </c>
      <c r="B419" s="1">
        <v>46203</v>
      </c>
      <c r="C419" t="s">
        <v>101</v>
      </c>
      <c r="D419" t="s">
        <v>28</v>
      </c>
      <c r="E419" t="s">
        <v>58</v>
      </c>
      <c r="F419">
        <v>13.22</v>
      </c>
      <c r="G419">
        <v>13.08</v>
      </c>
      <c r="H419">
        <f>Tabla1[[#This Row],[Entry Price]]-(Tabla1[[#This Row],[Entry Price]]-Tabla1[[#This Row],[Initial Stop]])/2</f>
        <v>13.15</v>
      </c>
      <c r="I419">
        <v>50</v>
      </c>
      <c r="J419">
        <f t="shared" ref="J419:J426" si="126">IF(D419="Long",(F419-G419)*I419,(G419-F419)*0)</f>
        <v>7.0000000000000284</v>
      </c>
      <c r="K419">
        <v>1</v>
      </c>
      <c r="L419">
        <f t="shared" ref="L419:L426" si="127">J419*K419</f>
        <v>7.0000000000000284</v>
      </c>
      <c r="M419" t="s">
        <v>72</v>
      </c>
      <c r="N419">
        <f>SUMIF(Executions!B:B,A419,Executions!H:H)</f>
        <v>-7.5000000000000178</v>
      </c>
      <c r="O419">
        <f t="shared" ref="O419:O426" si="128">N419/J419</f>
        <v>-1.0714285714285696</v>
      </c>
      <c r="P419" s="4">
        <f>Tabla1[[#This Row],[Initial Risk $]]/Tabla1[[#This Row],[Position Size (shares)]]+Tabla1[[#This Row],[Entry Price]]</f>
        <v>13.360000000000001</v>
      </c>
      <c r="Q419" s="4">
        <f>Tabla1[[#This Row],[Initial Risk $]]/Tabla1[[#This Row],[Position Size (shares)]]*1.5+Tabla1[[#This Row],[Entry Price]]</f>
        <v>13.430000000000001</v>
      </c>
      <c r="R419" s="4">
        <f>Tabla1[[#This Row],[Initial Risk $]]/Tabla1[[#This Row],[Position Size (shares)]]*2+Tabla1[[#This Row],[Entry Price]]</f>
        <v>13.500000000000002</v>
      </c>
      <c r="S419" s="4">
        <f>Tabla1[[#This Row],[Initial Risk $]]/Tabla1[[#This Row],[Position Size (shares)]]*2.5+Tabla1[[#This Row],[Entry Price]]</f>
        <v>13.570000000000002</v>
      </c>
      <c r="T419" s="4">
        <f>Tabla1[[#This Row],[Initial Risk $]]/Tabla1[[#This Row],[Position Size (shares)]]*3+Tabla1[[#This Row],[Entry Price]]</f>
        <v>13.640000000000002</v>
      </c>
    </row>
    <row r="420" spans="1:20" customFormat="1" hidden="1" x14ac:dyDescent="0.25">
      <c r="A420" t="str">
        <f t="shared" si="125"/>
        <v>T-419</v>
      </c>
      <c r="B420" s="1">
        <v>46203</v>
      </c>
      <c r="C420" t="s">
        <v>271</v>
      </c>
      <c r="D420" t="s">
        <v>28</v>
      </c>
      <c r="E420" t="s">
        <v>58</v>
      </c>
      <c r="F420">
        <v>706.41</v>
      </c>
      <c r="G420">
        <v>702.41</v>
      </c>
      <c r="H420">
        <f>Tabla1[[#This Row],[Entry Price]]-(Tabla1[[#This Row],[Entry Price]]-Tabla1[[#This Row],[Initial Stop]])/2</f>
        <v>704.41</v>
      </c>
      <c r="I420">
        <v>2</v>
      </c>
      <c r="J420">
        <f t="shared" si="126"/>
        <v>8</v>
      </c>
      <c r="K420">
        <v>1</v>
      </c>
      <c r="L420">
        <f t="shared" si="127"/>
        <v>8</v>
      </c>
      <c r="M420" t="s">
        <v>72</v>
      </c>
      <c r="N420">
        <f>SUMIF(Executions!B:B,A420,Executions!H:H)</f>
        <v>45.290000000000077</v>
      </c>
      <c r="O420">
        <f t="shared" si="128"/>
        <v>5.6612500000000097</v>
      </c>
      <c r="P420" s="4">
        <f>Tabla1[[#This Row],[Initial Risk $]]/Tabla1[[#This Row],[Position Size (shares)]]+Tabla1[[#This Row],[Entry Price]]</f>
        <v>710.41</v>
      </c>
      <c r="Q420" s="4">
        <f>Tabla1[[#This Row],[Initial Risk $]]/Tabla1[[#This Row],[Position Size (shares)]]*1.5+Tabla1[[#This Row],[Entry Price]]</f>
        <v>712.41</v>
      </c>
      <c r="R420" s="4">
        <f>Tabla1[[#This Row],[Initial Risk $]]/Tabla1[[#This Row],[Position Size (shares)]]*2+Tabla1[[#This Row],[Entry Price]]</f>
        <v>714.41</v>
      </c>
      <c r="S420" s="4">
        <f>Tabla1[[#This Row],[Initial Risk $]]/Tabla1[[#This Row],[Position Size (shares)]]*2.5+Tabla1[[#This Row],[Entry Price]]</f>
        <v>716.41</v>
      </c>
      <c r="T420" s="4">
        <f>Tabla1[[#This Row],[Initial Risk $]]/Tabla1[[#This Row],[Position Size (shares)]]*3+Tabla1[[#This Row],[Entry Price]]</f>
        <v>718.41</v>
      </c>
    </row>
    <row r="421" spans="1:20" customFormat="1" hidden="1" x14ac:dyDescent="0.25">
      <c r="A421" t="str">
        <f t="shared" si="125"/>
        <v>T-420</v>
      </c>
      <c r="B421" s="1">
        <v>46203</v>
      </c>
      <c r="C421" t="s">
        <v>651</v>
      </c>
      <c r="D421" t="s">
        <v>28</v>
      </c>
      <c r="E421" t="s">
        <v>58</v>
      </c>
      <c r="F421">
        <v>44.25</v>
      </c>
      <c r="G421">
        <v>44.13</v>
      </c>
      <c r="H421">
        <f>Tabla1[[#This Row],[Entry Price]]-(Tabla1[[#This Row],[Entry Price]]-Tabla1[[#This Row],[Initial Stop]])/2</f>
        <v>44.19</v>
      </c>
      <c r="I421">
        <v>50</v>
      </c>
      <c r="J421">
        <f t="shared" si="126"/>
        <v>5.9999999999998721</v>
      </c>
      <c r="K421">
        <v>1</v>
      </c>
      <c r="L421">
        <f t="shared" si="127"/>
        <v>5.9999999999998721</v>
      </c>
      <c r="M421" t="s">
        <v>72</v>
      </c>
      <c r="N421">
        <f>SUMIF(Executions!B:B,A421,Executions!H:H)</f>
        <v>-5.9999999999998721</v>
      </c>
      <c r="O421">
        <f t="shared" si="128"/>
        <v>-1</v>
      </c>
      <c r="P421" s="4">
        <f>Tabla1[[#This Row],[Initial Risk $]]/Tabla1[[#This Row],[Position Size (shares)]]+Tabla1[[#This Row],[Entry Price]]</f>
        <v>44.37</v>
      </c>
      <c r="Q421" s="4">
        <f>Tabla1[[#This Row],[Initial Risk $]]/Tabla1[[#This Row],[Position Size (shares)]]*1.5+Tabla1[[#This Row],[Entry Price]]</f>
        <v>44.429999999999993</v>
      </c>
      <c r="R421" s="4">
        <f>Tabla1[[#This Row],[Initial Risk $]]/Tabla1[[#This Row],[Position Size (shares)]]*2+Tabla1[[#This Row],[Entry Price]]</f>
        <v>44.489999999999995</v>
      </c>
      <c r="S421" s="4">
        <f>Tabla1[[#This Row],[Initial Risk $]]/Tabla1[[#This Row],[Position Size (shares)]]*2.5+Tabla1[[#This Row],[Entry Price]]</f>
        <v>44.55</v>
      </c>
      <c r="T421" s="4">
        <f>Tabla1[[#This Row],[Initial Risk $]]/Tabla1[[#This Row],[Position Size (shares)]]*3+Tabla1[[#This Row],[Entry Price]]</f>
        <v>44.609999999999992</v>
      </c>
    </row>
    <row r="422" spans="1:20" customFormat="1" hidden="1" x14ac:dyDescent="0.25">
      <c r="A422" t="str">
        <f t="shared" si="125"/>
        <v>T-421</v>
      </c>
      <c r="B422" s="1">
        <v>46203</v>
      </c>
      <c r="C422" t="s">
        <v>129</v>
      </c>
      <c r="D422" t="s">
        <v>28</v>
      </c>
      <c r="E422" t="s">
        <v>49</v>
      </c>
      <c r="F422">
        <v>90.9</v>
      </c>
      <c r="G422">
        <v>90.25</v>
      </c>
      <c r="H422">
        <f>Tabla1[[#This Row],[Entry Price]]-(Tabla1[[#This Row],[Entry Price]]-Tabla1[[#This Row],[Initial Stop]])/2</f>
        <v>90.575000000000003</v>
      </c>
      <c r="I422">
        <v>10</v>
      </c>
      <c r="J422">
        <f t="shared" si="126"/>
        <v>6.5000000000000568</v>
      </c>
      <c r="K422">
        <v>1</v>
      </c>
      <c r="L422">
        <f t="shared" si="127"/>
        <v>6.5000000000000568</v>
      </c>
      <c r="M422" t="s">
        <v>72</v>
      </c>
      <c r="N422">
        <f>SUMIF(Executions!B:B,A422,Executions!H:H)</f>
        <v>8.9000000000000057</v>
      </c>
      <c r="O422">
        <f t="shared" si="128"/>
        <v>1.3692307692307581</v>
      </c>
      <c r="P422" s="4">
        <f>Tabla1[[#This Row],[Initial Risk $]]/Tabla1[[#This Row],[Position Size (shares)]]+Tabla1[[#This Row],[Entry Price]]</f>
        <v>91.550000000000011</v>
      </c>
      <c r="Q422" s="4">
        <f>Tabla1[[#This Row],[Initial Risk $]]/Tabla1[[#This Row],[Position Size (shares)]]*1.5+Tabla1[[#This Row],[Entry Price]]</f>
        <v>91.875000000000014</v>
      </c>
      <c r="R422" s="4">
        <f>Tabla1[[#This Row],[Initial Risk $]]/Tabla1[[#This Row],[Position Size (shares)]]*2+Tabla1[[#This Row],[Entry Price]]</f>
        <v>92.200000000000017</v>
      </c>
      <c r="S422" s="4">
        <f>Tabla1[[#This Row],[Initial Risk $]]/Tabla1[[#This Row],[Position Size (shares)]]*2.5+Tabla1[[#This Row],[Entry Price]]</f>
        <v>92.52500000000002</v>
      </c>
      <c r="T422" s="4">
        <f>Tabla1[[#This Row],[Initial Risk $]]/Tabla1[[#This Row],[Position Size (shares)]]*3+Tabla1[[#This Row],[Entry Price]]</f>
        <v>92.850000000000023</v>
      </c>
    </row>
    <row r="423" spans="1:20" customFormat="1" hidden="1" x14ac:dyDescent="0.25">
      <c r="A423" t="str">
        <f t="shared" si="125"/>
        <v>T-422</v>
      </c>
      <c r="B423" s="1">
        <v>46203</v>
      </c>
      <c r="C423" t="s">
        <v>101</v>
      </c>
      <c r="D423" t="s">
        <v>28</v>
      </c>
      <c r="E423" t="s">
        <v>58</v>
      </c>
      <c r="F423">
        <v>13.27</v>
      </c>
      <c r="G423">
        <v>13.14</v>
      </c>
      <c r="H423">
        <f>Tabla1[[#This Row],[Entry Price]]-(Tabla1[[#This Row],[Entry Price]]-Tabla1[[#This Row],[Initial Stop]])/2</f>
        <v>13.205</v>
      </c>
      <c r="I423">
        <v>50</v>
      </c>
      <c r="J423">
        <f t="shared" si="126"/>
        <v>6.4999999999999503</v>
      </c>
      <c r="K423">
        <v>1</v>
      </c>
      <c r="L423">
        <f t="shared" si="127"/>
        <v>6.4999999999999503</v>
      </c>
      <c r="M423" t="s">
        <v>72</v>
      </c>
      <c r="N423">
        <f>SUMIF(Executions!B:B,A423,Executions!H:H)</f>
        <v>-6.9999999999999396</v>
      </c>
      <c r="O423">
        <f t="shared" si="128"/>
        <v>-1.0769230769230758</v>
      </c>
      <c r="P423" s="4">
        <f>Tabla1[[#This Row],[Initial Risk $]]/Tabla1[[#This Row],[Position Size (shares)]]+Tabla1[[#This Row],[Entry Price]]</f>
        <v>13.399999999999999</v>
      </c>
      <c r="Q423" s="4">
        <f>Tabla1[[#This Row],[Initial Risk $]]/Tabla1[[#This Row],[Position Size (shares)]]*1.5+Tabla1[[#This Row],[Entry Price]]</f>
        <v>13.464999999999998</v>
      </c>
      <c r="R423" s="4">
        <f>Tabla1[[#This Row],[Initial Risk $]]/Tabla1[[#This Row],[Position Size (shares)]]*2+Tabla1[[#This Row],[Entry Price]]</f>
        <v>13.529999999999998</v>
      </c>
      <c r="S423" s="4">
        <f>Tabla1[[#This Row],[Initial Risk $]]/Tabla1[[#This Row],[Position Size (shares)]]*2.5+Tabla1[[#This Row],[Entry Price]]</f>
        <v>13.594999999999997</v>
      </c>
      <c r="T423" s="4">
        <f>Tabla1[[#This Row],[Initial Risk $]]/Tabla1[[#This Row],[Position Size (shares)]]*3+Tabla1[[#This Row],[Entry Price]]</f>
        <v>13.659999999999997</v>
      </c>
    </row>
    <row r="424" spans="1:20" customFormat="1" hidden="1" x14ac:dyDescent="0.25">
      <c r="A424" t="str">
        <f t="shared" si="125"/>
        <v>T-423</v>
      </c>
      <c r="B424" s="1">
        <v>46203</v>
      </c>
      <c r="C424" t="s">
        <v>417</v>
      </c>
      <c r="D424" t="s">
        <v>28</v>
      </c>
      <c r="E424" t="s">
        <v>119</v>
      </c>
      <c r="F424">
        <v>504.44</v>
      </c>
      <c r="G424">
        <v>501.44</v>
      </c>
      <c r="H424">
        <f>Tabla1[[#This Row],[Entry Price]]-(Tabla1[[#This Row],[Entry Price]]-Tabla1[[#This Row],[Initial Stop]])/2</f>
        <v>502.94</v>
      </c>
      <c r="I424">
        <v>2</v>
      </c>
      <c r="J424">
        <f t="shared" si="126"/>
        <v>6</v>
      </c>
      <c r="K424">
        <v>1</v>
      </c>
      <c r="L424">
        <f t="shared" si="127"/>
        <v>6</v>
      </c>
      <c r="M424" t="s">
        <v>72</v>
      </c>
      <c r="N424">
        <f>SUMIF(Executions!B:B,A424,Executions!H:H)</f>
        <v>-5.7000000000000455</v>
      </c>
      <c r="O424">
        <f t="shared" si="128"/>
        <v>-0.95000000000000762</v>
      </c>
      <c r="P424" s="4">
        <f>Tabla1[[#This Row],[Initial Risk $]]/Tabla1[[#This Row],[Position Size (shares)]]+Tabla1[[#This Row],[Entry Price]]</f>
        <v>507.44</v>
      </c>
      <c r="Q424" s="4">
        <f>Tabla1[[#This Row],[Initial Risk $]]/Tabla1[[#This Row],[Position Size (shares)]]*1.5+Tabla1[[#This Row],[Entry Price]]</f>
        <v>508.94</v>
      </c>
      <c r="R424" s="4">
        <f>Tabla1[[#This Row],[Initial Risk $]]/Tabla1[[#This Row],[Position Size (shares)]]*2+Tabla1[[#This Row],[Entry Price]]</f>
        <v>510.44</v>
      </c>
      <c r="S424" s="4">
        <f>Tabla1[[#This Row],[Initial Risk $]]/Tabla1[[#This Row],[Position Size (shares)]]*2.5+Tabla1[[#This Row],[Entry Price]]</f>
        <v>511.94</v>
      </c>
      <c r="T424" s="4">
        <f>Tabla1[[#This Row],[Initial Risk $]]/Tabla1[[#This Row],[Position Size (shares)]]*3+Tabla1[[#This Row],[Entry Price]]</f>
        <v>513.44000000000005</v>
      </c>
    </row>
    <row r="425" spans="1:20" customFormat="1" hidden="1" x14ac:dyDescent="0.25">
      <c r="A425" t="str">
        <f t="shared" si="125"/>
        <v>T-424</v>
      </c>
      <c r="B425" s="1">
        <v>46203</v>
      </c>
      <c r="C425" t="s">
        <v>550</v>
      </c>
      <c r="D425" t="s">
        <v>28</v>
      </c>
      <c r="E425" t="s">
        <v>119</v>
      </c>
      <c r="F425">
        <v>81.73</v>
      </c>
      <c r="G425">
        <v>80.98</v>
      </c>
      <c r="H425">
        <f>Tabla1[[#This Row],[Entry Price]]-(Tabla1[[#This Row],[Entry Price]]-Tabla1[[#This Row],[Initial Stop]])/2</f>
        <v>81.355000000000004</v>
      </c>
      <c r="I425">
        <v>10</v>
      </c>
      <c r="J425">
        <f t="shared" si="126"/>
        <v>7.5</v>
      </c>
      <c r="K425">
        <v>1</v>
      </c>
      <c r="L425">
        <f t="shared" si="127"/>
        <v>7.5</v>
      </c>
      <c r="M425" t="s">
        <v>72</v>
      </c>
      <c r="N425">
        <f>SUMIF(Executions!B:B,A425,Executions!H:H)</f>
        <v>-7.9999999999999716</v>
      </c>
      <c r="O425">
        <f t="shared" si="128"/>
        <v>-1.0666666666666629</v>
      </c>
      <c r="P425" s="4">
        <f>Tabla1[[#This Row],[Initial Risk $]]/Tabla1[[#This Row],[Position Size (shares)]]+Tabla1[[#This Row],[Entry Price]]</f>
        <v>82.48</v>
      </c>
      <c r="Q425" s="4">
        <f>Tabla1[[#This Row],[Initial Risk $]]/Tabla1[[#This Row],[Position Size (shares)]]*1.5+Tabla1[[#This Row],[Entry Price]]</f>
        <v>82.855000000000004</v>
      </c>
      <c r="R425" s="4">
        <f>Tabla1[[#This Row],[Initial Risk $]]/Tabla1[[#This Row],[Position Size (shares)]]*2+Tabla1[[#This Row],[Entry Price]]</f>
        <v>83.23</v>
      </c>
      <c r="S425" s="4">
        <f>Tabla1[[#This Row],[Initial Risk $]]/Tabla1[[#This Row],[Position Size (shares)]]*2.5+Tabla1[[#This Row],[Entry Price]]</f>
        <v>83.605000000000004</v>
      </c>
      <c r="T425" s="4">
        <f>Tabla1[[#This Row],[Initial Risk $]]/Tabla1[[#This Row],[Position Size (shares)]]*3+Tabla1[[#This Row],[Entry Price]]</f>
        <v>83.98</v>
      </c>
    </row>
    <row r="426" spans="1:20" customFormat="1" hidden="1" x14ac:dyDescent="0.25">
      <c r="A426" t="str">
        <f t="shared" si="125"/>
        <v>T-425</v>
      </c>
      <c r="B426" s="1">
        <v>46203</v>
      </c>
      <c r="C426" t="s">
        <v>370</v>
      </c>
      <c r="D426" t="s">
        <v>28</v>
      </c>
      <c r="E426" t="s">
        <v>119</v>
      </c>
      <c r="F426">
        <v>29.94</v>
      </c>
      <c r="G426">
        <v>29.7</v>
      </c>
      <c r="H426">
        <f>Tabla1[[#This Row],[Entry Price]]-(Tabla1[[#This Row],[Entry Price]]-Tabla1[[#This Row],[Initial Stop]])/2</f>
        <v>29.82</v>
      </c>
      <c r="I426">
        <v>12</v>
      </c>
      <c r="J426">
        <f t="shared" si="126"/>
        <v>2.8800000000000239</v>
      </c>
      <c r="K426">
        <v>1</v>
      </c>
      <c r="L426">
        <f t="shared" si="127"/>
        <v>2.8800000000000239</v>
      </c>
      <c r="M426" t="s">
        <v>72</v>
      </c>
      <c r="N426">
        <f>SUMIF(Executions!B:B,A426,Executions!H:H)</f>
        <v>4.4399999999999693</v>
      </c>
      <c r="O426">
        <f t="shared" si="128"/>
        <v>1.5416666666666432</v>
      </c>
      <c r="P426" s="4">
        <f>Tabla1[[#This Row],[Initial Risk $]]/Tabla1[[#This Row],[Position Size (shares)]]+Tabla1[[#This Row],[Entry Price]]</f>
        <v>30.180000000000003</v>
      </c>
      <c r="Q426" s="4">
        <f>Tabla1[[#This Row],[Initial Risk $]]/Tabla1[[#This Row],[Position Size (shares)]]*1.5+Tabla1[[#This Row],[Entry Price]]</f>
        <v>30.300000000000004</v>
      </c>
      <c r="R426" s="4">
        <f>Tabla1[[#This Row],[Initial Risk $]]/Tabla1[[#This Row],[Position Size (shares)]]*2+Tabla1[[#This Row],[Entry Price]]</f>
        <v>30.420000000000005</v>
      </c>
      <c r="S426" s="4">
        <f>Tabla1[[#This Row],[Initial Risk $]]/Tabla1[[#This Row],[Position Size (shares)]]*2.5+Tabla1[[#This Row],[Entry Price]]</f>
        <v>30.540000000000006</v>
      </c>
      <c r="T426" s="4">
        <f>Tabla1[[#This Row],[Initial Risk $]]/Tabla1[[#This Row],[Position Size (shares)]]*3+Tabla1[[#This Row],[Entry Price]]</f>
        <v>30.660000000000007</v>
      </c>
    </row>
    <row r="427" spans="1:20" customFormat="1" hidden="1" x14ac:dyDescent="0.25">
      <c r="A427" t="str">
        <f t="shared" ref="A427:A434" si="129">"T-"&amp; TEXT(ROW()-1,"000")</f>
        <v>T-426</v>
      </c>
      <c r="B427" s="1">
        <v>46204</v>
      </c>
      <c r="C427" t="s">
        <v>417</v>
      </c>
      <c r="D427" t="s">
        <v>28</v>
      </c>
      <c r="E427" t="s">
        <v>58</v>
      </c>
      <c r="F427">
        <v>534</v>
      </c>
      <c r="G427">
        <v>530</v>
      </c>
      <c r="H427">
        <f>Tabla1[[#This Row],[Entry Price]]-(Tabla1[[#This Row],[Entry Price]]-Tabla1[[#This Row],[Initial Stop]])/2</f>
        <v>532</v>
      </c>
      <c r="I427">
        <v>2</v>
      </c>
      <c r="J427">
        <f t="shared" ref="J427:J434" si="130">IF(D427="Long",(F427-G427)*I427,(G427-F427)*0)</f>
        <v>8</v>
      </c>
      <c r="K427">
        <v>1</v>
      </c>
      <c r="L427">
        <f t="shared" ref="L427:L434" si="131">J427*K427</f>
        <v>8</v>
      </c>
      <c r="M427" t="s">
        <v>72</v>
      </c>
      <c r="N427">
        <f>SUMIF(Executions!B:B,A427,Executions!H:H)</f>
        <v>42.949999999999932</v>
      </c>
      <c r="O427">
        <f t="shared" ref="O427:O434" si="132">N427/J427</f>
        <v>5.3687499999999915</v>
      </c>
      <c r="P427" s="4">
        <f>Tabla1[[#This Row],[Initial Risk $]]/Tabla1[[#This Row],[Position Size (shares)]]+Tabla1[[#This Row],[Entry Price]]</f>
        <v>538</v>
      </c>
      <c r="Q427" s="4">
        <f>Tabla1[[#This Row],[Initial Risk $]]/Tabla1[[#This Row],[Position Size (shares)]]*1.5+Tabla1[[#This Row],[Entry Price]]</f>
        <v>540</v>
      </c>
      <c r="R427" s="4">
        <f>Tabla1[[#This Row],[Initial Risk $]]/Tabla1[[#This Row],[Position Size (shares)]]*2+Tabla1[[#This Row],[Entry Price]]</f>
        <v>542</v>
      </c>
      <c r="S427" s="4">
        <f>Tabla1[[#This Row],[Initial Risk $]]/Tabla1[[#This Row],[Position Size (shares)]]*2.5+Tabla1[[#This Row],[Entry Price]]</f>
        <v>544</v>
      </c>
      <c r="T427" s="4">
        <f>Tabla1[[#This Row],[Initial Risk $]]/Tabla1[[#This Row],[Position Size (shares)]]*3+Tabla1[[#This Row],[Entry Price]]</f>
        <v>546</v>
      </c>
    </row>
    <row r="428" spans="1:20" customFormat="1" hidden="1" x14ac:dyDescent="0.25">
      <c r="A428" t="str">
        <f t="shared" si="129"/>
        <v>T-427</v>
      </c>
      <c r="B428" s="1">
        <v>46204</v>
      </c>
      <c r="C428" t="s">
        <v>550</v>
      </c>
      <c r="D428" t="s">
        <v>28</v>
      </c>
      <c r="E428" t="s">
        <v>58</v>
      </c>
      <c r="F428">
        <v>82.97</v>
      </c>
      <c r="G428">
        <v>82.47</v>
      </c>
      <c r="H428">
        <f>Tabla1[[#This Row],[Entry Price]]-(Tabla1[[#This Row],[Entry Price]]-Tabla1[[#This Row],[Initial Stop]])/2</f>
        <v>82.72</v>
      </c>
      <c r="I428">
        <v>10</v>
      </c>
      <c r="J428">
        <f t="shared" si="130"/>
        <v>5</v>
      </c>
      <c r="K428">
        <v>1</v>
      </c>
      <c r="L428">
        <f t="shared" si="131"/>
        <v>5</v>
      </c>
      <c r="M428" t="s">
        <v>72</v>
      </c>
      <c r="N428">
        <f>SUMIF(Executions!B:B,A428,Executions!H:H)</f>
        <v>-4.0000000000000568</v>
      </c>
      <c r="O428">
        <f t="shared" si="132"/>
        <v>-0.80000000000001137</v>
      </c>
      <c r="P428" s="4">
        <f>Tabla1[[#This Row],[Initial Risk $]]/Tabla1[[#This Row],[Position Size (shares)]]+Tabla1[[#This Row],[Entry Price]]</f>
        <v>83.47</v>
      </c>
      <c r="Q428" s="4">
        <f>Tabla1[[#This Row],[Initial Risk $]]/Tabla1[[#This Row],[Position Size (shares)]]*1.5+Tabla1[[#This Row],[Entry Price]]</f>
        <v>83.72</v>
      </c>
      <c r="R428" s="4">
        <f>Tabla1[[#This Row],[Initial Risk $]]/Tabla1[[#This Row],[Position Size (shares)]]*2+Tabla1[[#This Row],[Entry Price]]</f>
        <v>83.97</v>
      </c>
      <c r="S428" s="4">
        <f>Tabla1[[#This Row],[Initial Risk $]]/Tabla1[[#This Row],[Position Size (shares)]]*2.5+Tabla1[[#This Row],[Entry Price]]</f>
        <v>84.22</v>
      </c>
      <c r="T428" s="4">
        <f>Tabla1[[#This Row],[Initial Risk $]]/Tabla1[[#This Row],[Position Size (shares)]]*3+Tabla1[[#This Row],[Entry Price]]</f>
        <v>84.47</v>
      </c>
    </row>
    <row r="429" spans="1:20" customFormat="1" hidden="1" x14ac:dyDescent="0.25">
      <c r="A429" t="str">
        <f t="shared" si="129"/>
        <v>T-428</v>
      </c>
      <c r="B429" s="1">
        <v>46204</v>
      </c>
      <c r="C429" t="s">
        <v>370</v>
      </c>
      <c r="D429" t="s">
        <v>28</v>
      </c>
      <c r="E429" t="s">
        <v>58</v>
      </c>
      <c r="F429">
        <v>31.83</v>
      </c>
      <c r="G429">
        <v>31.52</v>
      </c>
      <c r="H429">
        <f>Tabla1[[#This Row],[Entry Price]]-(Tabla1[[#This Row],[Entry Price]]-Tabla1[[#This Row],[Initial Stop]])/2</f>
        <v>31.674999999999997</v>
      </c>
      <c r="I429">
        <v>28</v>
      </c>
      <c r="J429">
        <f t="shared" si="130"/>
        <v>8.6799999999999642</v>
      </c>
      <c r="K429">
        <v>1</v>
      </c>
      <c r="L429">
        <f t="shared" si="131"/>
        <v>8.6799999999999642</v>
      </c>
      <c r="M429" t="s">
        <v>72</v>
      </c>
      <c r="N429">
        <f>SUMIF(Executions!B:B,A429,Executions!H:H)</f>
        <v>13.160000000000068</v>
      </c>
      <c r="O429">
        <f t="shared" si="132"/>
        <v>1.5161290322580785</v>
      </c>
      <c r="P429" s="4">
        <f>Tabla1[[#This Row],[Initial Risk $]]/Tabla1[[#This Row],[Position Size (shares)]]+Tabla1[[#This Row],[Entry Price]]</f>
        <v>32.14</v>
      </c>
      <c r="Q429" s="4">
        <f>Tabla1[[#This Row],[Initial Risk $]]/Tabla1[[#This Row],[Position Size (shares)]]*1.5+Tabla1[[#This Row],[Entry Price]]</f>
        <v>32.294999999999995</v>
      </c>
      <c r="R429" s="4">
        <f>Tabla1[[#This Row],[Initial Risk $]]/Tabla1[[#This Row],[Position Size (shares)]]*2+Tabla1[[#This Row],[Entry Price]]</f>
        <v>32.449999999999996</v>
      </c>
      <c r="S429" s="4">
        <f>Tabla1[[#This Row],[Initial Risk $]]/Tabla1[[#This Row],[Position Size (shares)]]*2.5+Tabla1[[#This Row],[Entry Price]]</f>
        <v>32.604999999999997</v>
      </c>
      <c r="T429" s="4">
        <f>Tabla1[[#This Row],[Initial Risk $]]/Tabla1[[#This Row],[Position Size (shares)]]*3+Tabla1[[#This Row],[Entry Price]]</f>
        <v>32.759999999999991</v>
      </c>
    </row>
    <row r="430" spans="1:20" customFormat="1" hidden="1" x14ac:dyDescent="0.25">
      <c r="A430" t="str">
        <f t="shared" si="129"/>
        <v>T-429</v>
      </c>
      <c r="B430" s="1">
        <v>46204</v>
      </c>
      <c r="C430" t="s">
        <v>161</v>
      </c>
      <c r="D430" t="s">
        <v>28</v>
      </c>
      <c r="E430" t="s">
        <v>119</v>
      </c>
      <c r="F430">
        <v>133.94999999999999</v>
      </c>
      <c r="G430">
        <v>133.15</v>
      </c>
      <c r="H430">
        <f>Tabla1[[#This Row],[Entry Price]]-(Tabla1[[#This Row],[Entry Price]]-Tabla1[[#This Row],[Initial Stop]])/2</f>
        <v>133.55000000000001</v>
      </c>
      <c r="I430">
        <v>10</v>
      </c>
      <c r="J430">
        <f t="shared" si="130"/>
        <v>7.9999999999998295</v>
      </c>
      <c r="K430">
        <v>1</v>
      </c>
      <c r="L430">
        <f t="shared" si="131"/>
        <v>7.9999999999998295</v>
      </c>
      <c r="M430" t="s">
        <v>72</v>
      </c>
      <c r="N430">
        <f>SUMIF(Executions!B:B,A430,Executions!H:H)</f>
        <v>-7.8000000000000114</v>
      </c>
      <c r="O430">
        <f t="shared" si="132"/>
        <v>-0.97500000000002218</v>
      </c>
      <c r="P430" s="4">
        <f>Tabla1[[#This Row],[Initial Risk $]]/Tabla1[[#This Row],[Position Size (shares)]]+Tabla1[[#This Row],[Entry Price]]</f>
        <v>134.74999999999997</v>
      </c>
      <c r="Q430" s="4">
        <f>Tabla1[[#This Row],[Initial Risk $]]/Tabla1[[#This Row],[Position Size (shares)]]*1.5+Tabla1[[#This Row],[Entry Price]]</f>
        <v>135.14999999999998</v>
      </c>
      <c r="R430" s="4">
        <f>Tabla1[[#This Row],[Initial Risk $]]/Tabla1[[#This Row],[Position Size (shares)]]*2+Tabla1[[#This Row],[Entry Price]]</f>
        <v>135.54999999999995</v>
      </c>
      <c r="S430" s="4">
        <f>Tabla1[[#This Row],[Initial Risk $]]/Tabla1[[#This Row],[Position Size (shares)]]*2.5+Tabla1[[#This Row],[Entry Price]]</f>
        <v>135.94999999999993</v>
      </c>
      <c r="T430" s="4">
        <f>Tabla1[[#This Row],[Initial Risk $]]/Tabla1[[#This Row],[Position Size (shares)]]*3+Tabla1[[#This Row],[Entry Price]]</f>
        <v>136.34999999999994</v>
      </c>
    </row>
    <row r="431" spans="1:20" customFormat="1" hidden="1" x14ac:dyDescent="0.25">
      <c r="A431" t="str">
        <f t="shared" si="129"/>
        <v>T-430</v>
      </c>
      <c r="B431" s="1">
        <v>46204</v>
      </c>
      <c r="C431" t="s">
        <v>271</v>
      </c>
      <c r="D431" t="s">
        <v>28</v>
      </c>
      <c r="E431" t="s">
        <v>119</v>
      </c>
      <c r="F431">
        <v>682.28</v>
      </c>
      <c r="G431">
        <v>677</v>
      </c>
      <c r="H431">
        <f>Tabla1[[#This Row],[Entry Price]]-(Tabla1[[#This Row],[Entry Price]]-Tabla1[[#This Row],[Initial Stop]])/2</f>
        <v>679.64</v>
      </c>
      <c r="I431">
        <v>2</v>
      </c>
      <c r="J431">
        <f t="shared" si="130"/>
        <v>10.559999999999945</v>
      </c>
      <c r="K431">
        <v>1</v>
      </c>
      <c r="L431">
        <f t="shared" si="131"/>
        <v>10.559999999999945</v>
      </c>
      <c r="M431" t="s">
        <v>72</v>
      </c>
      <c r="N431">
        <f>SUMIF(Executions!B:B,A431,Executions!H:H)</f>
        <v>-10.960000000000036</v>
      </c>
      <c r="O431">
        <f t="shared" si="132"/>
        <v>-1.0378787878787967</v>
      </c>
      <c r="P431" s="4">
        <f>Tabla1[[#This Row],[Initial Risk $]]/Tabla1[[#This Row],[Position Size (shares)]]+Tabla1[[#This Row],[Entry Price]]</f>
        <v>687.56</v>
      </c>
      <c r="Q431" s="4">
        <f>Tabla1[[#This Row],[Initial Risk $]]/Tabla1[[#This Row],[Position Size (shares)]]*1.5+Tabla1[[#This Row],[Entry Price]]</f>
        <v>690.19999999999993</v>
      </c>
      <c r="R431" s="4">
        <f>Tabla1[[#This Row],[Initial Risk $]]/Tabla1[[#This Row],[Position Size (shares)]]*2+Tabla1[[#This Row],[Entry Price]]</f>
        <v>692.83999999999992</v>
      </c>
      <c r="S431" s="4">
        <f>Tabla1[[#This Row],[Initial Risk $]]/Tabla1[[#This Row],[Position Size (shares)]]*2.5+Tabla1[[#This Row],[Entry Price]]</f>
        <v>695.4799999999999</v>
      </c>
      <c r="T431" s="4">
        <f>Tabla1[[#This Row],[Initial Risk $]]/Tabla1[[#This Row],[Position Size (shares)]]*3+Tabla1[[#This Row],[Entry Price]]</f>
        <v>698.11999999999989</v>
      </c>
    </row>
    <row r="432" spans="1:20" customFormat="1" hidden="1" x14ac:dyDescent="0.25">
      <c r="A432" t="str">
        <f t="shared" si="129"/>
        <v>T-431</v>
      </c>
      <c r="B432" s="1">
        <v>46204</v>
      </c>
      <c r="C432" t="s">
        <v>154</v>
      </c>
      <c r="D432" t="s">
        <v>28</v>
      </c>
      <c r="E432" t="s">
        <v>58</v>
      </c>
      <c r="F432">
        <v>356.95</v>
      </c>
      <c r="G432">
        <v>354.95</v>
      </c>
      <c r="H432">
        <f>Tabla1[[#This Row],[Entry Price]]-(Tabla1[[#This Row],[Entry Price]]-Tabla1[[#This Row],[Initial Stop]])/2</f>
        <v>355.95</v>
      </c>
      <c r="I432">
        <v>3</v>
      </c>
      <c r="J432">
        <f t="shared" si="130"/>
        <v>6</v>
      </c>
      <c r="K432">
        <v>1</v>
      </c>
      <c r="L432">
        <f t="shared" si="131"/>
        <v>6</v>
      </c>
      <c r="M432" t="s">
        <v>72</v>
      </c>
      <c r="N432">
        <f>SUMIF(Executions!B:B,A432,Executions!H:H)</f>
        <v>-6</v>
      </c>
      <c r="O432">
        <f t="shared" si="132"/>
        <v>-1</v>
      </c>
      <c r="P432" s="4">
        <f>Tabla1[[#This Row],[Initial Risk $]]/Tabla1[[#This Row],[Position Size (shares)]]+Tabla1[[#This Row],[Entry Price]]</f>
        <v>358.95</v>
      </c>
      <c r="Q432" s="4">
        <f>Tabla1[[#This Row],[Initial Risk $]]/Tabla1[[#This Row],[Position Size (shares)]]*1.5+Tabla1[[#This Row],[Entry Price]]</f>
        <v>359.95</v>
      </c>
      <c r="R432" s="4">
        <f>Tabla1[[#This Row],[Initial Risk $]]/Tabla1[[#This Row],[Position Size (shares)]]*2+Tabla1[[#This Row],[Entry Price]]</f>
        <v>360.95</v>
      </c>
      <c r="S432" s="4">
        <f>Tabla1[[#This Row],[Initial Risk $]]/Tabla1[[#This Row],[Position Size (shares)]]*2.5+Tabla1[[#This Row],[Entry Price]]</f>
        <v>361.95</v>
      </c>
      <c r="T432" s="4">
        <f>Tabla1[[#This Row],[Initial Risk $]]/Tabla1[[#This Row],[Position Size (shares)]]*3+Tabla1[[#This Row],[Entry Price]]</f>
        <v>362.95</v>
      </c>
    </row>
    <row r="433" spans="1:20" customFormat="1" hidden="1" x14ac:dyDescent="0.25">
      <c r="A433" t="str">
        <f t="shared" si="129"/>
        <v>T-432</v>
      </c>
      <c r="B433" s="1">
        <v>46204</v>
      </c>
      <c r="C433" t="s">
        <v>101</v>
      </c>
      <c r="D433" t="s">
        <v>28</v>
      </c>
      <c r="E433" t="s">
        <v>58</v>
      </c>
      <c r="F433">
        <v>13.09</v>
      </c>
      <c r="G433">
        <v>12.99</v>
      </c>
      <c r="H433">
        <f>Tabla1[[#This Row],[Entry Price]]-(Tabla1[[#This Row],[Entry Price]]-Tabla1[[#This Row],[Initial Stop]])/2</f>
        <v>13.04</v>
      </c>
      <c r="I433">
        <v>70</v>
      </c>
      <c r="J433">
        <f t="shared" si="130"/>
        <v>6.9999999999999751</v>
      </c>
      <c r="K433">
        <v>1</v>
      </c>
      <c r="L433">
        <f t="shared" si="131"/>
        <v>6.9999999999999751</v>
      </c>
      <c r="M433" t="s">
        <v>72</v>
      </c>
      <c r="N433">
        <f>SUMIF(Executions!B:B,A433,Executions!H:H)</f>
        <v>-7.6999999999999602</v>
      </c>
      <c r="O433">
        <f t="shared" si="132"/>
        <v>-1.0999999999999983</v>
      </c>
      <c r="P433" s="4">
        <f>Tabla1[[#This Row],[Initial Risk $]]/Tabla1[[#This Row],[Position Size (shares)]]+Tabla1[[#This Row],[Entry Price]]</f>
        <v>13.19</v>
      </c>
      <c r="Q433" s="4">
        <f>Tabla1[[#This Row],[Initial Risk $]]/Tabla1[[#This Row],[Position Size (shares)]]*1.5+Tabla1[[#This Row],[Entry Price]]</f>
        <v>13.239999999999998</v>
      </c>
      <c r="R433" s="4">
        <f>Tabla1[[#This Row],[Initial Risk $]]/Tabla1[[#This Row],[Position Size (shares)]]*2+Tabla1[[#This Row],[Entry Price]]</f>
        <v>13.29</v>
      </c>
      <c r="S433" s="4">
        <f>Tabla1[[#This Row],[Initial Risk $]]/Tabla1[[#This Row],[Position Size (shares)]]*2.5+Tabla1[[#This Row],[Entry Price]]</f>
        <v>13.34</v>
      </c>
      <c r="T433" s="4">
        <f>Tabla1[[#This Row],[Initial Risk $]]/Tabla1[[#This Row],[Position Size (shares)]]*3+Tabla1[[#This Row],[Entry Price]]</f>
        <v>13.389999999999999</v>
      </c>
    </row>
    <row r="434" spans="1:20" customFormat="1" hidden="1" x14ac:dyDescent="0.25">
      <c r="A434" t="str">
        <f t="shared" si="129"/>
        <v>T-433</v>
      </c>
      <c r="B434" s="1">
        <v>46204</v>
      </c>
      <c r="C434" t="s">
        <v>522</v>
      </c>
      <c r="D434" t="s">
        <v>28</v>
      </c>
      <c r="E434" t="s">
        <v>58</v>
      </c>
      <c r="F434">
        <v>167.08</v>
      </c>
      <c r="G434">
        <v>165.79</v>
      </c>
      <c r="H434">
        <f>Tabla1[[#This Row],[Entry Price]]-(Tabla1[[#This Row],[Entry Price]]-Tabla1[[#This Row],[Initial Stop]])/2</f>
        <v>166.435</v>
      </c>
      <c r="I434">
        <v>2</v>
      </c>
      <c r="J434">
        <f t="shared" si="130"/>
        <v>2.5800000000000409</v>
      </c>
      <c r="K434">
        <v>1</v>
      </c>
      <c r="L434">
        <f t="shared" si="131"/>
        <v>2.5800000000000409</v>
      </c>
      <c r="M434" t="s">
        <v>72</v>
      </c>
      <c r="N434">
        <f>SUMIF(Executions!B:B,A434,Executions!H:H)</f>
        <v>1.6199999999999477</v>
      </c>
      <c r="O434">
        <f t="shared" si="132"/>
        <v>0.62790697674415585</v>
      </c>
      <c r="P434" s="4">
        <f>Tabla1[[#This Row],[Initial Risk $]]/Tabla1[[#This Row],[Position Size (shares)]]+Tabla1[[#This Row],[Entry Price]]</f>
        <v>168.37000000000003</v>
      </c>
      <c r="Q434" s="4">
        <f>Tabla1[[#This Row],[Initial Risk $]]/Tabla1[[#This Row],[Position Size (shares)]]*1.5+Tabla1[[#This Row],[Entry Price]]</f>
        <v>169.01500000000004</v>
      </c>
      <c r="R434" s="4">
        <f>Tabla1[[#This Row],[Initial Risk $]]/Tabla1[[#This Row],[Position Size (shares)]]*2+Tabla1[[#This Row],[Entry Price]]</f>
        <v>169.66000000000005</v>
      </c>
      <c r="S434" s="4">
        <f>Tabla1[[#This Row],[Initial Risk $]]/Tabla1[[#This Row],[Position Size (shares)]]*2.5+Tabla1[[#This Row],[Entry Price]]</f>
        <v>170.30500000000006</v>
      </c>
      <c r="T434" s="4">
        <f>Tabla1[[#This Row],[Initial Risk $]]/Tabla1[[#This Row],[Position Size (shares)]]*3+Tabla1[[#This Row],[Entry Price]]</f>
        <v>170.95000000000007</v>
      </c>
    </row>
    <row r="435" spans="1:20" customFormat="1" hidden="1" x14ac:dyDescent="0.25">
      <c r="A435" t="str">
        <f t="shared" ref="A435:A443" si="133">"T-"&amp; TEXT(ROW()-1,"000")</f>
        <v>T-434</v>
      </c>
      <c r="B435" s="1">
        <v>46205</v>
      </c>
      <c r="C435" t="s">
        <v>668</v>
      </c>
      <c r="D435" t="s">
        <v>28</v>
      </c>
      <c r="E435" t="s">
        <v>60</v>
      </c>
      <c r="F435">
        <v>99.46</v>
      </c>
      <c r="G435">
        <v>93.96</v>
      </c>
      <c r="H435">
        <f>Tabla1[[#This Row],[Entry Price]]-(Tabla1[[#This Row],[Entry Price]]-Tabla1[[#This Row],[Initial Stop]])/2</f>
        <v>96.71</v>
      </c>
      <c r="I435">
        <v>2</v>
      </c>
      <c r="J435">
        <f t="shared" ref="J435:J443" si="134">IF(D435="Long",(F435-G435)*I435,(G435-F435)*0)</f>
        <v>11</v>
      </c>
      <c r="K435">
        <v>1</v>
      </c>
      <c r="L435">
        <f t="shared" ref="L435:L443" si="135">J435*K435</f>
        <v>11</v>
      </c>
      <c r="M435" t="s">
        <v>72</v>
      </c>
      <c r="N435">
        <f>SUMIF(Executions!B:B,A435,Executions!H:H)</f>
        <v>-8.0799999999999841</v>
      </c>
      <c r="O435">
        <f t="shared" ref="O435:O443" si="136">N435/J435</f>
        <v>-0.73454545454545306</v>
      </c>
      <c r="P435" s="4">
        <f>Tabla1[[#This Row],[Initial Risk $]]/Tabla1[[#This Row],[Position Size (shares)]]+Tabla1[[#This Row],[Entry Price]]</f>
        <v>104.96</v>
      </c>
      <c r="Q435" s="4">
        <f>Tabla1[[#This Row],[Initial Risk $]]/Tabla1[[#This Row],[Position Size (shares)]]*1.5+Tabla1[[#This Row],[Entry Price]]</f>
        <v>107.71</v>
      </c>
      <c r="R435" s="4">
        <f>Tabla1[[#This Row],[Initial Risk $]]/Tabla1[[#This Row],[Position Size (shares)]]*2+Tabla1[[#This Row],[Entry Price]]</f>
        <v>110.46</v>
      </c>
      <c r="S435" s="4">
        <f>Tabla1[[#This Row],[Initial Risk $]]/Tabla1[[#This Row],[Position Size (shares)]]*2.5+Tabla1[[#This Row],[Entry Price]]</f>
        <v>113.21</v>
      </c>
      <c r="T435" s="4">
        <f>Tabla1[[#This Row],[Initial Risk $]]/Tabla1[[#This Row],[Position Size (shares)]]*3+Tabla1[[#This Row],[Entry Price]]</f>
        <v>115.96</v>
      </c>
    </row>
    <row r="436" spans="1:20" customFormat="1" hidden="1" x14ac:dyDescent="0.25">
      <c r="A436" t="str">
        <f t="shared" si="133"/>
        <v>T-435</v>
      </c>
      <c r="B436" s="1">
        <v>46205</v>
      </c>
      <c r="C436" t="s">
        <v>173</v>
      </c>
      <c r="D436" t="s">
        <v>28</v>
      </c>
      <c r="E436" t="s">
        <v>58</v>
      </c>
      <c r="F436">
        <v>130.72</v>
      </c>
      <c r="G436">
        <v>129.87</v>
      </c>
      <c r="H436">
        <f>Tabla1[[#This Row],[Entry Price]]-(Tabla1[[#This Row],[Entry Price]]-Tabla1[[#This Row],[Initial Stop]])/2</f>
        <v>130.29500000000002</v>
      </c>
      <c r="I436">
        <v>10</v>
      </c>
      <c r="J436">
        <f t="shared" si="134"/>
        <v>8.4999999999999432</v>
      </c>
      <c r="K436">
        <v>1</v>
      </c>
      <c r="L436">
        <f t="shared" si="135"/>
        <v>8.4999999999999432</v>
      </c>
      <c r="M436" t="s">
        <v>72</v>
      </c>
      <c r="N436">
        <f>SUMIF(Executions!B:B,A436,Executions!H:H)</f>
        <v>0</v>
      </c>
      <c r="O436">
        <f t="shared" si="136"/>
        <v>0</v>
      </c>
      <c r="P436" s="4">
        <f>Tabla1[[#This Row],[Initial Risk $]]/Tabla1[[#This Row],[Position Size (shares)]]+Tabla1[[#This Row],[Entry Price]]</f>
        <v>131.57</v>
      </c>
      <c r="Q436" s="4">
        <f>Tabla1[[#This Row],[Initial Risk $]]/Tabla1[[#This Row],[Position Size (shares)]]*1.5+Tabla1[[#This Row],[Entry Price]]</f>
        <v>131.995</v>
      </c>
      <c r="R436" s="4">
        <f>Tabla1[[#This Row],[Initial Risk $]]/Tabla1[[#This Row],[Position Size (shares)]]*2+Tabla1[[#This Row],[Entry Price]]</f>
        <v>132.41999999999999</v>
      </c>
      <c r="S436" s="4">
        <f>Tabla1[[#This Row],[Initial Risk $]]/Tabla1[[#This Row],[Position Size (shares)]]*2.5+Tabla1[[#This Row],[Entry Price]]</f>
        <v>132.84499999999997</v>
      </c>
      <c r="T436" s="4">
        <f>Tabla1[[#This Row],[Initial Risk $]]/Tabla1[[#This Row],[Position Size (shares)]]*3+Tabla1[[#This Row],[Entry Price]]</f>
        <v>133.26999999999998</v>
      </c>
    </row>
    <row r="437" spans="1:20" customFormat="1" hidden="1" x14ac:dyDescent="0.25">
      <c r="A437" t="str">
        <f t="shared" si="133"/>
        <v>T-436</v>
      </c>
      <c r="B437" s="1">
        <v>46205</v>
      </c>
      <c r="C437" t="s">
        <v>181</v>
      </c>
      <c r="D437" t="s">
        <v>28</v>
      </c>
      <c r="E437" t="s">
        <v>58</v>
      </c>
      <c r="F437">
        <v>11.64</v>
      </c>
      <c r="G437">
        <v>11.45</v>
      </c>
      <c r="H437">
        <f>Tabla1[[#This Row],[Entry Price]]-(Tabla1[[#This Row],[Entry Price]]-Tabla1[[#This Row],[Initial Stop]])/2</f>
        <v>11.545</v>
      </c>
      <c r="I437">
        <v>40</v>
      </c>
      <c r="J437">
        <f t="shared" si="134"/>
        <v>7.6000000000000512</v>
      </c>
      <c r="K437">
        <v>1</v>
      </c>
      <c r="L437">
        <f t="shared" si="135"/>
        <v>7.6000000000000512</v>
      </c>
      <c r="M437" t="s">
        <v>72</v>
      </c>
      <c r="N437">
        <f>SUMIF(Executions!B:B,A437,Executions!H:H)</f>
        <v>-8.0000000000000426</v>
      </c>
      <c r="O437">
        <f t="shared" si="136"/>
        <v>-1.052631578947367</v>
      </c>
      <c r="P437" s="4">
        <f>Tabla1[[#This Row],[Initial Risk $]]/Tabla1[[#This Row],[Position Size (shares)]]+Tabla1[[#This Row],[Entry Price]]</f>
        <v>11.830000000000002</v>
      </c>
      <c r="Q437" s="4">
        <f>Tabla1[[#This Row],[Initial Risk $]]/Tabla1[[#This Row],[Position Size (shares)]]*1.5+Tabla1[[#This Row],[Entry Price]]</f>
        <v>11.925000000000002</v>
      </c>
      <c r="R437" s="4">
        <f>Tabla1[[#This Row],[Initial Risk $]]/Tabla1[[#This Row],[Position Size (shares)]]*2+Tabla1[[#This Row],[Entry Price]]</f>
        <v>12.020000000000003</v>
      </c>
      <c r="S437" s="4">
        <f>Tabla1[[#This Row],[Initial Risk $]]/Tabla1[[#This Row],[Position Size (shares)]]*2.5+Tabla1[[#This Row],[Entry Price]]</f>
        <v>12.115000000000004</v>
      </c>
      <c r="T437" s="4">
        <f>Tabla1[[#This Row],[Initial Risk $]]/Tabla1[[#This Row],[Position Size (shares)]]*3+Tabla1[[#This Row],[Entry Price]]</f>
        <v>12.210000000000004</v>
      </c>
    </row>
    <row r="438" spans="1:20" customFormat="1" hidden="1" x14ac:dyDescent="0.25">
      <c r="A438" t="str">
        <f t="shared" si="133"/>
        <v>T-437</v>
      </c>
      <c r="B438" s="1">
        <v>46205</v>
      </c>
      <c r="C438" t="s">
        <v>370</v>
      </c>
      <c r="D438" t="s">
        <v>28</v>
      </c>
      <c r="E438" t="s">
        <v>119</v>
      </c>
      <c r="F438">
        <v>32.24</v>
      </c>
      <c r="G438">
        <v>31.97</v>
      </c>
      <c r="H438">
        <f>Tabla1[[#This Row],[Entry Price]]-(Tabla1[[#This Row],[Entry Price]]-Tabla1[[#This Row],[Initial Stop]])/2</f>
        <v>32.105000000000004</v>
      </c>
      <c r="I438">
        <v>40</v>
      </c>
      <c r="J438">
        <f t="shared" si="134"/>
        <v>10.800000000000125</v>
      </c>
      <c r="K438">
        <v>1</v>
      </c>
      <c r="L438">
        <f t="shared" si="135"/>
        <v>10.800000000000125</v>
      </c>
      <c r="M438" t="s">
        <v>72</v>
      </c>
      <c r="N438">
        <f>SUMIF(Executions!B:B,A438,Executions!H:H)</f>
        <v>-12.000000000000028</v>
      </c>
      <c r="O438">
        <f t="shared" si="136"/>
        <v>-1.1111111111111009</v>
      </c>
      <c r="P438" s="4">
        <f>Tabla1[[#This Row],[Initial Risk $]]/Tabla1[[#This Row],[Position Size (shares)]]+Tabla1[[#This Row],[Entry Price]]</f>
        <v>32.510000000000005</v>
      </c>
      <c r="Q438" s="4">
        <f>Tabla1[[#This Row],[Initial Risk $]]/Tabla1[[#This Row],[Position Size (shares)]]*1.5+Tabla1[[#This Row],[Entry Price]]</f>
        <v>32.64500000000001</v>
      </c>
      <c r="R438" s="4">
        <f>Tabla1[[#This Row],[Initial Risk $]]/Tabla1[[#This Row],[Position Size (shares)]]*2+Tabla1[[#This Row],[Entry Price]]</f>
        <v>32.780000000000008</v>
      </c>
      <c r="S438" s="4">
        <f>Tabla1[[#This Row],[Initial Risk $]]/Tabla1[[#This Row],[Position Size (shares)]]*2.5+Tabla1[[#This Row],[Entry Price]]</f>
        <v>32.915000000000006</v>
      </c>
      <c r="T438" s="4">
        <f>Tabla1[[#This Row],[Initial Risk $]]/Tabla1[[#This Row],[Position Size (shares)]]*3+Tabla1[[#This Row],[Entry Price]]</f>
        <v>33.050000000000011</v>
      </c>
    </row>
    <row r="439" spans="1:20" customFormat="1" hidden="1" x14ac:dyDescent="0.25">
      <c r="A439" t="str">
        <f t="shared" si="133"/>
        <v>T-438</v>
      </c>
      <c r="B439" s="1">
        <v>46205</v>
      </c>
      <c r="C439" t="s">
        <v>154</v>
      </c>
      <c r="D439" t="s">
        <v>28</v>
      </c>
      <c r="E439" t="s">
        <v>58</v>
      </c>
      <c r="F439">
        <v>359.43</v>
      </c>
      <c r="G439">
        <v>357.38</v>
      </c>
      <c r="H439">
        <f>Tabla1[[#This Row],[Entry Price]]-(Tabla1[[#This Row],[Entry Price]]-Tabla1[[#This Row],[Initial Stop]])/2</f>
        <v>358.40499999999997</v>
      </c>
      <c r="I439">
        <v>3</v>
      </c>
      <c r="J439">
        <f t="shared" si="134"/>
        <v>6.1500000000000341</v>
      </c>
      <c r="K439">
        <v>1</v>
      </c>
      <c r="L439">
        <f t="shared" si="135"/>
        <v>6.1500000000000341</v>
      </c>
      <c r="M439" t="s">
        <v>72</v>
      </c>
      <c r="N439">
        <f>SUMIF(Executions!B:B,A439,Executions!H:H)</f>
        <v>-3.1500000000000341</v>
      </c>
      <c r="O439">
        <f t="shared" si="136"/>
        <v>-0.51219512195122219</v>
      </c>
      <c r="P439" s="4">
        <f>Tabla1[[#This Row],[Initial Risk $]]/Tabla1[[#This Row],[Position Size (shares)]]+Tabla1[[#This Row],[Entry Price]]</f>
        <v>361.48</v>
      </c>
      <c r="Q439" s="4">
        <f>Tabla1[[#This Row],[Initial Risk $]]/Tabla1[[#This Row],[Position Size (shares)]]*1.5+Tabla1[[#This Row],[Entry Price]]</f>
        <v>362.505</v>
      </c>
      <c r="R439" s="4">
        <f>Tabla1[[#This Row],[Initial Risk $]]/Tabla1[[#This Row],[Position Size (shares)]]*2+Tabla1[[#This Row],[Entry Price]]</f>
        <v>363.53000000000003</v>
      </c>
      <c r="S439" s="4">
        <f>Tabla1[[#This Row],[Initial Risk $]]/Tabla1[[#This Row],[Position Size (shares)]]*2.5+Tabla1[[#This Row],[Entry Price]]</f>
        <v>364.55500000000006</v>
      </c>
      <c r="T439" s="4">
        <f>Tabla1[[#This Row],[Initial Risk $]]/Tabla1[[#This Row],[Position Size (shares)]]*3+Tabla1[[#This Row],[Entry Price]]</f>
        <v>365.58000000000004</v>
      </c>
    </row>
    <row r="440" spans="1:20" customFormat="1" hidden="1" x14ac:dyDescent="0.25">
      <c r="A440" t="str">
        <f t="shared" si="133"/>
        <v>T-439</v>
      </c>
      <c r="B440" s="1">
        <v>46205</v>
      </c>
      <c r="C440" t="s">
        <v>417</v>
      </c>
      <c r="D440" t="s">
        <v>28</v>
      </c>
      <c r="E440" t="s">
        <v>27</v>
      </c>
      <c r="F440">
        <v>564.62</v>
      </c>
      <c r="G440">
        <v>559.62</v>
      </c>
      <c r="H440">
        <f>Tabla1[[#This Row],[Entry Price]]-(Tabla1[[#This Row],[Entry Price]]-Tabla1[[#This Row],[Initial Stop]])/2</f>
        <v>562.12</v>
      </c>
      <c r="I440">
        <v>2</v>
      </c>
      <c r="J440">
        <f t="shared" si="134"/>
        <v>10</v>
      </c>
      <c r="K440">
        <v>1</v>
      </c>
      <c r="L440">
        <f t="shared" si="135"/>
        <v>10</v>
      </c>
      <c r="M440" t="s">
        <v>72</v>
      </c>
      <c r="N440">
        <f>SUMIF(Executions!B:B,A440,Executions!H:H)</f>
        <v>-10.720000000000027</v>
      </c>
      <c r="O440">
        <f t="shared" si="136"/>
        <v>-1.0720000000000027</v>
      </c>
      <c r="P440" s="4">
        <f>Tabla1[[#This Row],[Initial Risk $]]/Tabla1[[#This Row],[Position Size (shares)]]+Tabla1[[#This Row],[Entry Price]]</f>
        <v>569.62</v>
      </c>
      <c r="Q440" s="4">
        <f>Tabla1[[#This Row],[Initial Risk $]]/Tabla1[[#This Row],[Position Size (shares)]]*1.5+Tabla1[[#This Row],[Entry Price]]</f>
        <v>572.12</v>
      </c>
      <c r="R440" s="4">
        <f>Tabla1[[#This Row],[Initial Risk $]]/Tabla1[[#This Row],[Position Size (shares)]]*2+Tabla1[[#This Row],[Entry Price]]</f>
        <v>574.62</v>
      </c>
      <c r="S440" s="4">
        <f>Tabla1[[#This Row],[Initial Risk $]]/Tabla1[[#This Row],[Position Size (shares)]]*2.5+Tabla1[[#This Row],[Entry Price]]</f>
        <v>577.12</v>
      </c>
      <c r="T440" s="4">
        <f>Tabla1[[#This Row],[Initial Risk $]]/Tabla1[[#This Row],[Position Size (shares)]]*3+Tabla1[[#This Row],[Entry Price]]</f>
        <v>579.62</v>
      </c>
    </row>
    <row r="441" spans="1:20" customFormat="1" hidden="1" x14ac:dyDescent="0.25">
      <c r="A441" t="str">
        <f t="shared" si="133"/>
        <v>T-440</v>
      </c>
      <c r="B441" s="1">
        <v>46205</v>
      </c>
      <c r="C441" t="s">
        <v>181</v>
      </c>
      <c r="D441" t="s">
        <v>28</v>
      </c>
      <c r="E441" t="s">
        <v>119</v>
      </c>
      <c r="F441">
        <v>11.5</v>
      </c>
      <c r="G441">
        <v>11.39</v>
      </c>
      <c r="H441">
        <f>Tabla1[[#This Row],[Entry Price]]-(Tabla1[[#This Row],[Entry Price]]-Tabla1[[#This Row],[Initial Stop]])/2</f>
        <v>11.445</v>
      </c>
      <c r="I441">
        <v>70</v>
      </c>
      <c r="J441">
        <f t="shared" si="134"/>
        <v>7.6999999999999602</v>
      </c>
      <c r="K441">
        <v>1</v>
      </c>
      <c r="L441">
        <f t="shared" si="135"/>
        <v>7.6999999999999602</v>
      </c>
      <c r="M441" t="s">
        <v>72</v>
      </c>
      <c r="N441">
        <f>SUMIF(Executions!B:B,A441,Executions!H:H)</f>
        <v>15.400000000000045</v>
      </c>
      <c r="O441">
        <f t="shared" si="136"/>
        <v>2.000000000000016</v>
      </c>
      <c r="P441" s="4">
        <f>Tabla1[[#This Row],[Initial Risk $]]/Tabla1[[#This Row],[Position Size (shares)]]+Tabla1[[#This Row],[Entry Price]]</f>
        <v>11.61</v>
      </c>
      <c r="Q441" s="4">
        <f>Tabla1[[#This Row],[Initial Risk $]]/Tabla1[[#This Row],[Position Size (shares)]]*1.5+Tabla1[[#This Row],[Entry Price]]</f>
        <v>11.664999999999999</v>
      </c>
      <c r="R441" s="4">
        <f>Tabla1[[#This Row],[Initial Risk $]]/Tabla1[[#This Row],[Position Size (shares)]]*2+Tabla1[[#This Row],[Entry Price]]</f>
        <v>11.719999999999999</v>
      </c>
      <c r="S441" s="4">
        <f>Tabla1[[#This Row],[Initial Risk $]]/Tabla1[[#This Row],[Position Size (shares)]]*2.5+Tabla1[[#This Row],[Entry Price]]</f>
        <v>11.774999999999999</v>
      </c>
      <c r="T441" s="4">
        <f>Tabla1[[#This Row],[Initial Risk $]]/Tabla1[[#This Row],[Position Size (shares)]]*3+Tabla1[[#This Row],[Entry Price]]</f>
        <v>11.829999999999998</v>
      </c>
    </row>
    <row r="442" spans="1:20" customFormat="1" hidden="1" x14ac:dyDescent="0.25">
      <c r="A442" t="str">
        <f t="shared" si="133"/>
        <v>T-441</v>
      </c>
      <c r="B442" s="1">
        <v>46205</v>
      </c>
      <c r="C442" t="s">
        <v>279</v>
      </c>
      <c r="D442" t="s">
        <v>28</v>
      </c>
      <c r="E442" t="s">
        <v>27</v>
      </c>
      <c r="F442">
        <v>1003.25</v>
      </c>
      <c r="G442">
        <v>975.25</v>
      </c>
      <c r="H442">
        <f>Tabla1[[#This Row],[Entry Price]]-(Tabla1[[#This Row],[Entry Price]]-Tabla1[[#This Row],[Initial Stop]])/2</f>
        <v>989.25</v>
      </c>
      <c r="I442">
        <v>1</v>
      </c>
      <c r="J442">
        <f t="shared" si="134"/>
        <v>28</v>
      </c>
      <c r="K442">
        <v>1</v>
      </c>
      <c r="L442">
        <f t="shared" si="135"/>
        <v>28</v>
      </c>
      <c r="M442" t="s">
        <v>72</v>
      </c>
      <c r="N442">
        <f>SUMIF(Executions!B:B,A442,Executions!H:H)</f>
        <v>-28.17999999999995</v>
      </c>
      <c r="O442">
        <f t="shared" si="136"/>
        <v>-1.0064285714285697</v>
      </c>
      <c r="P442" s="4">
        <f>Tabla1[[#This Row],[Initial Risk $]]/Tabla1[[#This Row],[Position Size (shares)]]+Tabla1[[#This Row],[Entry Price]]</f>
        <v>1031.25</v>
      </c>
      <c r="Q442" s="4">
        <f>Tabla1[[#This Row],[Initial Risk $]]/Tabla1[[#This Row],[Position Size (shares)]]*1.5+Tabla1[[#This Row],[Entry Price]]</f>
        <v>1045.25</v>
      </c>
      <c r="R442" s="4">
        <f>Tabla1[[#This Row],[Initial Risk $]]/Tabla1[[#This Row],[Position Size (shares)]]*2+Tabla1[[#This Row],[Entry Price]]</f>
        <v>1059.25</v>
      </c>
      <c r="S442" s="4">
        <f>Tabla1[[#This Row],[Initial Risk $]]/Tabla1[[#This Row],[Position Size (shares)]]*2.5+Tabla1[[#This Row],[Entry Price]]</f>
        <v>1073.25</v>
      </c>
      <c r="T442" s="4">
        <f>Tabla1[[#This Row],[Initial Risk $]]/Tabla1[[#This Row],[Position Size (shares)]]*3+Tabla1[[#This Row],[Entry Price]]</f>
        <v>1087.25</v>
      </c>
    </row>
    <row r="443" spans="1:20" customFormat="1" hidden="1" x14ac:dyDescent="0.25">
      <c r="A443" t="str">
        <f t="shared" si="133"/>
        <v>T-442</v>
      </c>
      <c r="B443" s="1">
        <v>46205</v>
      </c>
      <c r="C443" t="s">
        <v>417</v>
      </c>
      <c r="D443" t="s">
        <v>28</v>
      </c>
      <c r="E443" t="s">
        <v>27</v>
      </c>
      <c r="F443">
        <v>536.14</v>
      </c>
      <c r="G443">
        <v>528.14</v>
      </c>
      <c r="H443">
        <f>Tabla1[[#This Row],[Entry Price]]-(Tabla1[[#This Row],[Entry Price]]-Tabla1[[#This Row],[Initial Stop]])/2</f>
        <v>532.14</v>
      </c>
      <c r="I443">
        <v>1</v>
      </c>
      <c r="J443">
        <f t="shared" si="134"/>
        <v>8</v>
      </c>
      <c r="K443">
        <v>1</v>
      </c>
      <c r="L443">
        <f t="shared" si="135"/>
        <v>8</v>
      </c>
      <c r="M443" t="s">
        <v>72</v>
      </c>
      <c r="N443">
        <f>SUMIF(Executions!B:B,A443,Executions!H:H)</f>
        <v>-8.2100000000000364</v>
      </c>
      <c r="O443">
        <f t="shared" si="136"/>
        <v>-1.0262500000000045</v>
      </c>
      <c r="P443" s="4">
        <f>Tabla1[[#This Row],[Initial Risk $]]/Tabla1[[#This Row],[Position Size (shares)]]+Tabla1[[#This Row],[Entry Price]]</f>
        <v>544.14</v>
      </c>
      <c r="Q443" s="4">
        <f>Tabla1[[#This Row],[Initial Risk $]]/Tabla1[[#This Row],[Position Size (shares)]]*1.5+Tabla1[[#This Row],[Entry Price]]</f>
        <v>548.14</v>
      </c>
      <c r="R443" s="4">
        <f>Tabla1[[#This Row],[Initial Risk $]]/Tabla1[[#This Row],[Position Size (shares)]]*2+Tabla1[[#This Row],[Entry Price]]</f>
        <v>552.14</v>
      </c>
      <c r="S443" s="4">
        <f>Tabla1[[#This Row],[Initial Risk $]]/Tabla1[[#This Row],[Position Size (shares)]]*2.5+Tabla1[[#This Row],[Entry Price]]</f>
        <v>556.14</v>
      </c>
      <c r="T443" s="4">
        <f>Tabla1[[#This Row],[Initial Risk $]]/Tabla1[[#This Row],[Position Size (shares)]]*3+Tabla1[[#This Row],[Entry Price]]</f>
        <v>560.14</v>
      </c>
    </row>
    <row r="444" spans="1:20" customFormat="1" hidden="1" x14ac:dyDescent="0.25">
      <c r="A444" t="str">
        <f t="shared" ref="A444:A451" si="137">"T-"&amp; TEXT(ROW()-1,"000")</f>
        <v>T-443</v>
      </c>
      <c r="B444" s="1">
        <v>46209</v>
      </c>
      <c r="C444" t="s">
        <v>678</v>
      </c>
      <c r="D444" t="s">
        <v>28</v>
      </c>
      <c r="E444" t="s">
        <v>29</v>
      </c>
      <c r="F444">
        <v>25.15</v>
      </c>
      <c r="G444">
        <v>24.69</v>
      </c>
      <c r="H444">
        <f>Tabla1[[#This Row],[Entry Price]]-(Tabla1[[#This Row],[Entry Price]]-Tabla1[[#This Row],[Initial Stop]])/2</f>
        <v>24.92</v>
      </c>
      <c r="I444">
        <v>20</v>
      </c>
      <c r="J444">
        <f t="shared" ref="J444:J451" si="138">IF(D444="Long",(F444-G444)*I444,(G444-F444)*0)</f>
        <v>9.199999999999946</v>
      </c>
      <c r="K444">
        <v>1</v>
      </c>
      <c r="L444">
        <f t="shared" ref="L444:L451" si="139">J444*K444</f>
        <v>9.199999999999946</v>
      </c>
      <c r="M444" t="s">
        <v>72</v>
      </c>
      <c r="N444">
        <f>SUMIF(Executions!B:B,A444,Executions!H:H)</f>
        <v>-9.3999999999999773</v>
      </c>
      <c r="O444">
        <f t="shared" ref="O444:O451" si="140">N444/J444</f>
        <v>-1.021739130434786</v>
      </c>
      <c r="P444" s="4">
        <f>Tabla1[[#This Row],[Initial Risk $]]/Tabla1[[#This Row],[Position Size (shares)]]+Tabla1[[#This Row],[Entry Price]]</f>
        <v>25.609999999999996</v>
      </c>
      <c r="Q444" s="4">
        <f>Tabla1[[#This Row],[Initial Risk $]]/Tabla1[[#This Row],[Position Size (shares)]]*1.5+Tabla1[[#This Row],[Entry Price]]</f>
        <v>25.839999999999996</v>
      </c>
      <c r="R444" s="4">
        <f>Tabla1[[#This Row],[Initial Risk $]]/Tabla1[[#This Row],[Position Size (shares)]]*2+Tabla1[[#This Row],[Entry Price]]</f>
        <v>26.069999999999993</v>
      </c>
      <c r="S444" s="4">
        <f>Tabla1[[#This Row],[Initial Risk $]]/Tabla1[[#This Row],[Position Size (shares)]]*2.5+Tabla1[[#This Row],[Entry Price]]</f>
        <v>26.29999999999999</v>
      </c>
      <c r="T444" s="4">
        <f>Tabla1[[#This Row],[Initial Risk $]]/Tabla1[[#This Row],[Position Size (shares)]]*3+Tabla1[[#This Row],[Entry Price]]</f>
        <v>26.52999999999999</v>
      </c>
    </row>
    <row r="445" spans="1:20" customFormat="1" hidden="1" x14ac:dyDescent="0.25">
      <c r="A445" t="str">
        <f t="shared" si="137"/>
        <v>T-444</v>
      </c>
      <c r="B445" s="1">
        <v>46209</v>
      </c>
      <c r="C445" t="s">
        <v>164</v>
      </c>
      <c r="D445" t="s">
        <v>28</v>
      </c>
      <c r="E445" t="s">
        <v>58</v>
      </c>
      <c r="F445">
        <v>194.72</v>
      </c>
      <c r="G445">
        <v>193.72</v>
      </c>
      <c r="H445">
        <f>Tabla1[[#This Row],[Entry Price]]-(Tabla1[[#This Row],[Entry Price]]-Tabla1[[#This Row],[Initial Stop]])/2</f>
        <v>194.22</v>
      </c>
      <c r="I445">
        <v>4</v>
      </c>
      <c r="J445">
        <f t="shared" si="138"/>
        <v>4</v>
      </c>
      <c r="K445">
        <v>1</v>
      </c>
      <c r="L445">
        <f t="shared" si="139"/>
        <v>4</v>
      </c>
      <c r="M445" t="s">
        <v>72</v>
      </c>
      <c r="N445">
        <f>SUMIF(Executions!B:B,A445,Executions!H:H)</f>
        <v>3.9600000000000364</v>
      </c>
      <c r="O445">
        <f t="shared" si="140"/>
        <v>0.99000000000000909</v>
      </c>
      <c r="P445" s="4">
        <f>Tabla1[[#This Row],[Initial Risk $]]/Tabla1[[#This Row],[Position Size (shares)]]+Tabla1[[#This Row],[Entry Price]]</f>
        <v>195.72</v>
      </c>
      <c r="Q445" s="4">
        <f>Tabla1[[#This Row],[Initial Risk $]]/Tabla1[[#This Row],[Position Size (shares)]]*1.5+Tabla1[[#This Row],[Entry Price]]</f>
        <v>196.22</v>
      </c>
      <c r="R445" s="4">
        <f>Tabla1[[#This Row],[Initial Risk $]]/Tabla1[[#This Row],[Position Size (shares)]]*2+Tabla1[[#This Row],[Entry Price]]</f>
        <v>196.72</v>
      </c>
      <c r="S445" s="4">
        <f>Tabla1[[#This Row],[Initial Risk $]]/Tabla1[[#This Row],[Position Size (shares)]]*2.5+Tabla1[[#This Row],[Entry Price]]</f>
        <v>197.22</v>
      </c>
      <c r="T445" s="4">
        <f>Tabla1[[#This Row],[Initial Risk $]]/Tabla1[[#This Row],[Position Size (shares)]]*3+Tabla1[[#This Row],[Entry Price]]</f>
        <v>197.72</v>
      </c>
    </row>
    <row r="446" spans="1:20" customFormat="1" hidden="1" x14ac:dyDescent="0.25">
      <c r="A446" t="str">
        <f t="shared" si="137"/>
        <v>T-445</v>
      </c>
      <c r="B446" s="1">
        <v>46209</v>
      </c>
      <c r="C446" t="s">
        <v>271</v>
      </c>
      <c r="D446" t="s">
        <v>28</v>
      </c>
      <c r="E446" t="s">
        <v>58</v>
      </c>
      <c r="F446">
        <v>618.04</v>
      </c>
      <c r="G446">
        <v>614.04</v>
      </c>
      <c r="H446">
        <f>Tabla1[[#This Row],[Entry Price]]-(Tabla1[[#This Row],[Entry Price]]-Tabla1[[#This Row],[Initial Stop]])/2</f>
        <v>616.04</v>
      </c>
      <c r="I446">
        <v>2</v>
      </c>
      <c r="J446">
        <f t="shared" si="138"/>
        <v>8</v>
      </c>
      <c r="K446">
        <v>1</v>
      </c>
      <c r="L446">
        <f t="shared" si="139"/>
        <v>8</v>
      </c>
      <c r="M446" t="s">
        <v>72</v>
      </c>
      <c r="N446">
        <f>SUMIF(Executions!B:B,A446,Executions!H:H)</f>
        <v>-8</v>
      </c>
      <c r="O446">
        <f t="shared" si="140"/>
        <v>-1</v>
      </c>
      <c r="P446" s="4">
        <f>Tabla1[[#This Row],[Initial Risk $]]/Tabla1[[#This Row],[Position Size (shares)]]+Tabla1[[#This Row],[Entry Price]]</f>
        <v>622.04</v>
      </c>
      <c r="Q446" s="4">
        <f>Tabla1[[#This Row],[Initial Risk $]]/Tabla1[[#This Row],[Position Size (shares)]]*1.5+Tabla1[[#This Row],[Entry Price]]</f>
        <v>624.04</v>
      </c>
      <c r="R446" s="4">
        <f>Tabla1[[#This Row],[Initial Risk $]]/Tabla1[[#This Row],[Position Size (shares)]]*2+Tabla1[[#This Row],[Entry Price]]</f>
        <v>626.04</v>
      </c>
      <c r="S446" s="4">
        <f>Tabla1[[#This Row],[Initial Risk $]]/Tabla1[[#This Row],[Position Size (shares)]]*2.5+Tabla1[[#This Row],[Entry Price]]</f>
        <v>628.04</v>
      </c>
      <c r="T446" s="4">
        <f>Tabla1[[#This Row],[Initial Risk $]]/Tabla1[[#This Row],[Position Size (shares)]]*3+Tabla1[[#This Row],[Entry Price]]</f>
        <v>630.04</v>
      </c>
    </row>
    <row r="447" spans="1:20" customFormat="1" hidden="1" x14ac:dyDescent="0.25">
      <c r="A447" t="str">
        <f t="shared" si="137"/>
        <v>T-446</v>
      </c>
      <c r="B447" s="1">
        <v>46209</v>
      </c>
      <c r="C447" t="s">
        <v>550</v>
      </c>
      <c r="D447" t="s">
        <v>28</v>
      </c>
      <c r="E447" t="s">
        <v>58</v>
      </c>
      <c r="F447">
        <v>85.09</v>
      </c>
      <c r="G447">
        <v>84.23</v>
      </c>
      <c r="H447">
        <f>Tabla1[[#This Row],[Entry Price]]-(Tabla1[[#This Row],[Entry Price]]-Tabla1[[#This Row],[Initial Stop]])/2</f>
        <v>84.66</v>
      </c>
      <c r="I447">
        <v>12</v>
      </c>
      <c r="J447">
        <f t="shared" si="138"/>
        <v>10.319999999999993</v>
      </c>
      <c r="K447">
        <v>1</v>
      </c>
      <c r="L447">
        <f t="shared" si="139"/>
        <v>10.319999999999993</v>
      </c>
      <c r="M447" t="s">
        <v>72</v>
      </c>
      <c r="N447">
        <f>SUMIF(Executions!B:B,A447,Executions!H:H)</f>
        <v>-10.080000000000041</v>
      </c>
      <c r="O447">
        <f t="shared" si="140"/>
        <v>-0.97674418604651625</v>
      </c>
      <c r="P447" s="4">
        <f>Tabla1[[#This Row],[Initial Risk $]]/Tabla1[[#This Row],[Position Size (shares)]]+Tabla1[[#This Row],[Entry Price]]</f>
        <v>85.95</v>
      </c>
      <c r="Q447" s="4">
        <f>Tabla1[[#This Row],[Initial Risk $]]/Tabla1[[#This Row],[Position Size (shares)]]*1.5+Tabla1[[#This Row],[Entry Price]]</f>
        <v>86.38</v>
      </c>
      <c r="R447" s="4">
        <f>Tabla1[[#This Row],[Initial Risk $]]/Tabla1[[#This Row],[Position Size (shares)]]*2+Tabla1[[#This Row],[Entry Price]]</f>
        <v>86.81</v>
      </c>
      <c r="S447" s="4">
        <f>Tabla1[[#This Row],[Initial Risk $]]/Tabla1[[#This Row],[Position Size (shares)]]*2.5+Tabla1[[#This Row],[Entry Price]]</f>
        <v>87.240000000000009</v>
      </c>
      <c r="T447" s="4">
        <f>Tabla1[[#This Row],[Initial Risk $]]/Tabla1[[#This Row],[Position Size (shares)]]*3+Tabla1[[#This Row],[Entry Price]]</f>
        <v>87.67</v>
      </c>
    </row>
    <row r="448" spans="1:20" customFormat="1" hidden="1" x14ac:dyDescent="0.25">
      <c r="A448" t="str">
        <f t="shared" si="137"/>
        <v>T-447</v>
      </c>
      <c r="B448" s="1">
        <v>46209</v>
      </c>
      <c r="C448" t="s">
        <v>417</v>
      </c>
      <c r="D448" t="s">
        <v>28</v>
      </c>
      <c r="E448" t="s">
        <v>58</v>
      </c>
      <c r="F448">
        <v>528.5</v>
      </c>
      <c r="G448">
        <v>523.5</v>
      </c>
      <c r="H448">
        <f>Tabla1[[#This Row],[Entry Price]]-(Tabla1[[#This Row],[Entry Price]]-Tabla1[[#This Row],[Initial Stop]])/2</f>
        <v>526</v>
      </c>
      <c r="I448">
        <v>2</v>
      </c>
      <c r="J448">
        <f t="shared" si="138"/>
        <v>10</v>
      </c>
      <c r="K448">
        <v>1</v>
      </c>
      <c r="L448">
        <f t="shared" si="139"/>
        <v>10</v>
      </c>
      <c r="M448" t="s">
        <v>72</v>
      </c>
      <c r="N448">
        <f>SUMIF(Executions!B:B,A448,Executions!H:H)</f>
        <v>26.519999999999982</v>
      </c>
      <c r="O448">
        <f t="shared" si="140"/>
        <v>2.6519999999999984</v>
      </c>
      <c r="P448" s="4">
        <f>Tabla1[[#This Row],[Initial Risk $]]/Tabla1[[#This Row],[Position Size (shares)]]+Tabla1[[#This Row],[Entry Price]]</f>
        <v>533.5</v>
      </c>
      <c r="Q448" s="4">
        <f>Tabla1[[#This Row],[Initial Risk $]]/Tabla1[[#This Row],[Position Size (shares)]]*1.5+Tabla1[[#This Row],[Entry Price]]</f>
        <v>536</v>
      </c>
      <c r="R448" s="4">
        <f>Tabla1[[#This Row],[Initial Risk $]]/Tabla1[[#This Row],[Position Size (shares)]]*2+Tabla1[[#This Row],[Entry Price]]</f>
        <v>538.5</v>
      </c>
      <c r="S448" s="4">
        <f>Tabla1[[#This Row],[Initial Risk $]]/Tabla1[[#This Row],[Position Size (shares)]]*2.5+Tabla1[[#This Row],[Entry Price]]</f>
        <v>541</v>
      </c>
      <c r="T448" s="4">
        <f>Tabla1[[#This Row],[Initial Risk $]]/Tabla1[[#This Row],[Position Size (shares)]]*3+Tabla1[[#This Row],[Entry Price]]</f>
        <v>543.5</v>
      </c>
    </row>
    <row r="449" spans="1:20" customFormat="1" hidden="1" x14ac:dyDescent="0.25">
      <c r="A449" t="str">
        <f t="shared" si="137"/>
        <v>T-448</v>
      </c>
      <c r="B449" s="1">
        <v>46209</v>
      </c>
      <c r="C449" t="s">
        <v>271</v>
      </c>
      <c r="D449" t="s">
        <v>28</v>
      </c>
      <c r="E449" t="s">
        <v>58</v>
      </c>
      <c r="F449">
        <v>617.08000000000004</v>
      </c>
      <c r="G449">
        <v>612.08000000000004</v>
      </c>
      <c r="H449">
        <f>Tabla1[[#This Row],[Entry Price]]-(Tabla1[[#This Row],[Entry Price]]-Tabla1[[#This Row],[Initial Stop]])/2</f>
        <v>614.58000000000004</v>
      </c>
      <c r="I449">
        <v>2</v>
      </c>
      <c r="J449">
        <f t="shared" si="138"/>
        <v>10</v>
      </c>
      <c r="K449">
        <v>1</v>
      </c>
      <c r="L449">
        <f t="shared" si="139"/>
        <v>10</v>
      </c>
      <c r="M449" t="s">
        <v>72</v>
      </c>
      <c r="N449">
        <f>SUMIF(Executions!B:B,A449,Executions!H:H)</f>
        <v>-13.980000000000018</v>
      </c>
      <c r="O449">
        <f t="shared" si="140"/>
        <v>-1.3980000000000019</v>
      </c>
      <c r="P449" s="4">
        <f>Tabla1[[#This Row],[Initial Risk $]]/Tabla1[[#This Row],[Position Size (shares)]]+Tabla1[[#This Row],[Entry Price]]</f>
        <v>622.08000000000004</v>
      </c>
      <c r="Q449" s="4">
        <f>Tabla1[[#This Row],[Initial Risk $]]/Tabla1[[#This Row],[Position Size (shares)]]*1.5+Tabla1[[#This Row],[Entry Price]]</f>
        <v>624.58000000000004</v>
      </c>
      <c r="R449" s="4">
        <f>Tabla1[[#This Row],[Initial Risk $]]/Tabla1[[#This Row],[Position Size (shares)]]*2+Tabla1[[#This Row],[Entry Price]]</f>
        <v>627.08000000000004</v>
      </c>
      <c r="S449" s="4">
        <f>Tabla1[[#This Row],[Initial Risk $]]/Tabla1[[#This Row],[Position Size (shares)]]*2.5+Tabla1[[#This Row],[Entry Price]]</f>
        <v>629.58000000000004</v>
      </c>
      <c r="T449" s="4">
        <f>Tabla1[[#This Row],[Initial Risk $]]/Tabla1[[#This Row],[Position Size (shares)]]*3+Tabla1[[#This Row],[Entry Price]]</f>
        <v>632.08000000000004</v>
      </c>
    </row>
    <row r="450" spans="1:20" customFormat="1" hidden="1" x14ac:dyDescent="0.25">
      <c r="A450" t="str">
        <f t="shared" si="137"/>
        <v>T-449</v>
      </c>
      <c r="B450" s="1">
        <v>46209</v>
      </c>
      <c r="C450" t="s">
        <v>550</v>
      </c>
      <c r="D450" t="s">
        <v>28</v>
      </c>
      <c r="E450" t="s">
        <v>58</v>
      </c>
      <c r="F450">
        <v>84.65</v>
      </c>
      <c r="G450">
        <v>84.11</v>
      </c>
      <c r="H450">
        <f>Tabla1[[#This Row],[Entry Price]]-(Tabla1[[#This Row],[Entry Price]]-Tabla1[[#This Row],[Initial Stop]])/2</f>
        <v>84.38</v>
      </c>
      <c r="I450">
        <v>12</v>
      </c>
      <c r="J450">
        <f t="shared" si="138"/>
        <v>6.480000000000075</v>
      </c>
      <c r="K450">
        <v>1</v>
      </c>
      <c r="L450">
        <f t="shared" si="139"/>
        <v>6.480000000000075</v>
      </c>
      <c r="M450" t="s">
        <v>72</v>
      </c>
      <c r="N450">
        <f>SUMIF(Executions!B:B,A450,Executions!H:H)</f>
        <v>17.03999999999985</v>
      </c>
      <c r="O450">
        <f t="shared" si="140"/>
        <v>2.629629629629576</v>
      </c>
      <c r="P450" s="4">
        <f>Tabla1[[#This Row],[Initial Risk $]]/Tabla1[[#This Row],[Position Size (shares)]]+Tabla1[[#This Row],[Entry Price]]</f>
        <v>85.190000000000012</v>
      </c>
      <c r="Q450" s="4">
        <f>Tabla1[[#This Row],[Initial Risk $]]/Tabla1[[#This Row],[Position Size (shares)]]*1.5+Tabla1[[#This Row],[Entry Price]]</f>
        <v>85.460000000000008</v>
      </c>
      <c r="R450" s="4">
        <f>Tabla1[[#This Row],[Initial Risk $]]/Tabla1[[#This Row],[Position Size (shares)]]*2+Tabla1[[#This Row],[Entry Price]]</f>
        <v>85.730000000000018</v>
      </c>
      <c r="S450" s="4">
        <f>Tabla1[[#This Row],[Initial Risk $]]/Tabla1[[#This Row],[Position Size (shares)]]*2.5+Tabla1[[#This Row],[Entry Price]]</f>
        <v>86.000000000000028</v>
      </c>
      <c r="T450" s="4">
        <f>Tabla1[[#This Row],[Initial Risk $]]/Tabla1[[#This Row],[Position Size (shares)]]*3+Tabla1[[#This Row],[Entry Price]]</f>
        <v>86.270000000000024</v>
      </c>
    </row>
    <row r="451" spans="1:20" customFormat="1" hidden="1" x14ac:dyDescent="0.25">
      <c r="A451" t="str">
        <f t="shared" si="137"/>
        <v>T-450</v>
      </c>
      <c r="B451" s="1">
        <v>46209</v>
      </c>
      <c r="C451" t="s">
        <v>130</v>
      </c>
      <c r="D451" t="s">
        <v>28</v>
      </c>
      <c r="E451" t="s">
        <v>119</v>
      </c>
      <c r="F451">
        <v>564.14</v>
      </c>
      <c r="G451">
        <v>558.78</v>
      </c>
      <c r="H451">
        <f>Tabla1[[#This Row],[Entry Price]]-(Tabla1[[#This Row],[Entry Price]]-Tabla1[[#This Row],[Initial Stop]])/2</f>
        <v>561.46</v>
      </c>
      <c r="I451">
        <v>2</v>
      </c>
      <c r="J451">
        <f t="shared" si="138"/>
        <v>10.720000000000027</v>
      </c>
      <c r="K451">
        <v>1</v>
      </c>
      <c r="L451">
        <f t="shared" si="139"/>
        <v>10.720000000000027</v>
      </c>
      <c r="M451" t="s">
        <v>72</v>
      </c>
      <c r="N451">
        <f>SUMIF(Executions!B:B,A451,Executions!H:H)</f>
        <v>0.18000000000006366</v>
      </c>
      <c r="O451">
        <f t="shared" si="140"/>
        <v>1.6791044776125297E-2</v>
      </c>
      <c r="P451" s="4">
        <f>Tabla1[[#This Row],[Initial Risk $]]/Tabla1[[#This Row],[Position Size (shares)]]+Tabla1[[#This Row],[Entry Price]]</f>
        <v>569.5</v>
      </c>
      <c r="Q451" s="4">
        <f>Tabla1[[#This Row],[Initial Risk $]]/Tabla1[[#This Row],[Position Size (shares)]]*1.5+Tabla1[[#This Row],[Entry Price]]</f>
        <v>572.18000000000006</v>
      </c>
      <c r="R451" s="4">
        <f>Tabla1[[#This Row],[Initial Risk $]]/Tabla1[[#This Row],[Position Size (shares)]]*2+Tabla1[[#This Row],[Entry Price]]</f>
        <v>574.86</v>
      </c>
      <c r="S451" s="4">
        <f>Tabla1[[#This Row],[Initial Risk $]]/Tabla1[[#This Row],[Position Size (shares)]]*2.5+Tabla1[[#This Row],[Entry Price]]</f>
        <v>577.54</v>
      </c>
      <c r="T451" s="4">
        <f>Tabla1[[#This Row],[Initial Risk $]]/Tabla1[[#This Row],[Position Size (shares)]]*3+Tabla1[[#This Row],[Entry Price]]</f>
        <v>580.22</v>
      </c>
    </row>
    <row r="452" spans="1:20" customFormat="1" hidden="1" x14ac:dyDescent="0.25">
      <c r="A452" t="str">
        <f t="shared" ref="A452:A458" si="141">"T-"&amp; TEXT(ROW()-1,"000")</f>
        <v>T-451</v>
      </c>
      <c r="B452" s="1">
        <v>46210</v>
      </c>
      <c r="C452" t="s">
        <v>164</v>
      </c>
      <c r="D452" t="s">
        <v>28</v>
      </c>
      <c r="E452" t="s">
        <v>58</v>
      </c>
      <c r="F452">
        <v>192.68</v>
      </c>
      <c r="G452">
        <v>191.18</v>
      </c>
      <c r="H452">
        <f>Tabla1[[#This Row],[Entry Price]]-(Tabla1[[#This Row],[Entry Price]]-Tabla1[[#This Row],[Initial Stop]])/2</f>
        <v>191.93</v>
      </c>
      <c r="I452">
        <v>4</v>
      </c>
      <c r="J452">
        <f t="shared" ref="J452:J458" si="142">IF(D452="Long",(F452-G452)*I452,(G452-F452)*0)</f>
        <v>6</v>
      </c>
      <c r="K452">
        <v>1</v>
      </c>
      <c r="L452">
        <f t="shared" ref="L452:L458" si="143">J452*K452</f>
        <v>6</v>
      </c>
      <c r="M452" t="s">
        <v>72</v>
      </c>
      <c r="N452">
        <f>SUMIF(Executions!B:B,A452,Executions!H:H)</f>
        <v>-6.1200000000000045</v>
      </c>
      <c r="O452">
        <f t="shared" ref="O452:O458" si="144">N452/J452</f>
        <v>-1.0200000000000007</v>
      </c>
      <c r="P452" s="4">
        <f>Tabla1[[#This Row],[Initial Risk $]]/Tabla1[[#This Row],[Position Size (shares)]]+Tabla1[[#This Row],[Entry Price]]</f>
        <v>194.18</v>
      </c>
      <c r="Q452" s="4">
        <f>Tabla1[[#This Row],[Initial Risk $]]/Tabla1[[#This Row],[Position Size (shares)]]*1.5+Tabla1[[#This Row],[Entry Price]]</f>
        <v>194.93</v>
      </c>
      <c r="R452" s="4">
        <f>Tabla1[[#This Row],[Initial Risk $]]/Tabla1[[#This Row],[Position Size (shares)]]*2+Tabla1[[#This Row],[Entry Price]]</f>
        <v>195.68</v>
      </c>
      <c r="S452" s="4">
        <f>Tabla1[[#This Row],[Initial Risk $]]/Tabla1[[#This Row],[Position Size (shares)]]*2.5+Tabla1[[#This Row],[Entry Price]]</f>
        <v>196.43</v>
      </c>
      <c r="T452" s="4">
        <f>Tabla1[[#This Row],[Initial Risk $]]/Tabla1[[#This Row],[Position Size (shares)]]*3+Tabla1[[#This Row],[Entry Price]]</f>
        <v>197.18</v>
      </c>
    </row>
    <row r="453" spans="1:20" customFormat="1" hidden="1" x14ac:dyDescent="0.25">
      <c r="A453" t="str">
        <f t="shared" si="141"/>
        <v>T-452</v>
      </c>
      <c r="B453" s="1">
        <v>46210</v>
      </c>
      <c r="C453" t="s">
        <v>255</v>
      </c>
      <c r="D453" t="s">
        <v>28</v>
      </c>
      <c r="E453" t="s">
        <v>119</v>
      </c>
      <c r="F453">
        <v>312.74</v>
      </c>
      <c r="G453">
        <v>310.14</v>
      </c>
      <c r="H453">
        <f>Tabla1[[#This Row],[Entry Price]]-(Tabla1[[#This Row],[Entry Price]]-Tabla1[[#This Row],[Initial Stop]])/2</f>
        <v>311.44</v>
      </c>
      <c r="I453">
        <v>3</v>
      </c>
      <c r="J453">
        <f t="shared" si="142"/>
        <v>7.8000000000000682</v>
      </c>
      <c r="K453">
        <v>1</v>
      </c>
      <c r="L453">
        <f t="shared" si="143"/>
        <v>7.8000000000000682</v>
      </c>
      <c r="M453" t="s">
        <v>72</v>
      </c>
      <c r="N453">
        <f>SUMIF(Executions!B:B,A453,Executions!H:H)</f>
        <v>-1.980000000000075</v>
      </c>
      <c r="O453">
        <f t="shared" si="144"/>
        <v>-0.25384615384616127</v>
      </c>
      <c r="P453" s="4">
        <f>Tabla1[[#This Row],[Initial Risk $]]/Tabla1[[#This Row],[Position Size (shares)]]+Tabla1[[#This Row],[Entry Price]]</f>
        <v>315.34000000000003</v>
      </c>
      <c r="Q453" s="4">
        <f>Tabla1[[#This Row],[Initial Risk $]]/Tabla1[[#This Row],[Position Size (shares)]]*1.5+Tabla1[[#This Row],[Entry Price]]</f>
        <v>316.64000000000004</v>
      </c>
      <c r="R453" s="4">
        <f>Tabla1[[#This Row],[Initial Risk $]]/Tabla1[[#This Row],[Position Size (shares)]]*2+Tabla1[[#This Row],[Entry Price]]</f>
        <v>317.94000000000005</v>
      </c>
      <c r="S453" s="4">
        <f>Tabla1[[#This Row],[Initial Risk $]]/Tabla1[[#This Row],[Position Size (shares)]]*2.5+Tabla1[[#This Row],[Entry Price]]</f>
        <v>319.24000000000007</v>
      </c>
      <c r="T453" s="4">
        <f>Tabla1[[#This Row],[Initial Risk $]]/Tabla1[[#This Row],[Position Size (shares)]]*3+Tabla1[[#This Row],[Entry Price]]</f>
        <v>320.54000000000008</v>
      </c>
    </row>
    <row r="454" spans="1:20" customFormat="1" hidden="1" x14ac:dyDescent="0.25">
      <c r="A454" t="str">
        <f t="shared" si="141"/>
        <v>T-453</v>
      </c>
      <c r="B454" s="1">
        <v>46210</v>
      </c>
      <c r="C454" t="s">
        <v>154</v>
      </c>
      <c r="D454" t="s">
        <v>28</v>
      </c>
      <c r="E454" t="s">
        <v>119</v>
      </c>
      <c r="F454">
        <v>369.39</v>
      </c>
      <c r="G454">
        <v>367.39</v>
      </c>
      <c r="H454">
        <f>Tabla1[[#This Row],[Entry Price]]-(Tabla1[[#This Row],[Entry Price]]-Tabla1[[#This Row],[Initial Stop]])/2</f>
        <v>368.39</v>
      </c>
      <c r="I454">
        <v>3</v>
      </c>
      <c r="J454">
        <f t="shared" si="142"/>
        <v>6</v>
      </c>
      <c r="K454">
        <v>1</v>
      </c>
      <c r="L454">
        <f t="shared" si="143"/>
        <v>6</v>
      </c>
      <c r="M454" t="s">
        <v>72</v>
      </c>
      <c r="N454">
        <f>SUMIF(Executions!B:B,A454,Executions!H:H)</f>
        <v>-5.939999999999884</v>
      </c>
      <c r="O454">
        <f t="shared" si="144"/>
        <v>-0.98999999999998067</v>
      </c>
      <c r="P454" s="4">
        <f>Tabla1[[#This Row],[Initial Risk $]]/Tabla1[[#This Row],[Position Size (shares)]]+Tabla1[[#This Row],[Entry Price]]</f>
        <v>371.39</v>
      </c>
      <c r="Q454" s="4">
        <f>Tabla1[[#This Row],[Initial Risk $]]/Tabla1[[#This Row],[Position Size (shares)]]*1.5+Tabla1[[#This Row],[Entry Price]]</f>
        <v>372.39</v>
      </c>
      <c r="R454" s="4">
        <f>Tabla1[[#This Row],[Initial Risk $]]/Tabla1[[#This Row],[Position Size (shares)]]*2+Tabla1[[#This Row],[Entry Price]]</f>
        <v>373.39</v>
      </c>
      <c r="S454" s="4">
        <f>Tabla1[[#This Row],[Initial Risk $]]/Tabla1[[#This Row],[Position Size (shares)]]*2.5+Tabla1[[#This Row],[Entry Price]]</f>
        <v>374.39</v>
      </c>
      <c r="T454" s="4">
        <f>Tabla1[[#This Row],[Initial Risk $]]/Tabla1[[#This Row],[Position Size (shares)]]*3+Tabla1[[#This Row],[Entry Price]]</f>
        <v>375.39</v>
      </c>
    </row>
    <row r="455" spans="1:20" customFormat="1" hidden="1" x14ac:dyDescent="0.25">
      <c r="A455" t="str">
        <f t="shared" si="141"/>
        <v>T-454</v>
      </c>
      <c r="B455" s="1">
        <v>46210</v>
      </c>
      <c r="C455" t="s">
        <v>173</v>
      </c>
      <c r="D455" t="s">
        <v>28</v>
      </c>
      <c r="E455" t="s">
        <v>27</v>
      </c>
      <c r="F455">
        <v>134.02000000000001</v>
      </c>
      <c r="G455">
        <v>133.27000000000001</v>
      </c>
      <c r="H455">
        <f>Tabla1[[#This Row],[Entry Price]]-(Tabla1[[#This Row],[Entry Price]]-Tabla1[[#This Row],[Initial Stop]])/2</f>
        <v>133.64500000000001</v>
      </c>
      <c r="I455">
        <v>10</v>
      </c>
      <c r="J455">
        <f t="shared" si="142"/>
        <v>7.5</v>
      </c>
      <c r="K455">
        <v>1</v>
      </c>
      <c r="L455">
        <f t="shared" si="143"/>
        <v>7.5</v>
      </c>
      <c r="M455" t="s">
        <v>72</v>
      </c>
      <c r="N455">
        <f>SUMIF(Executions!B:B,A455,Executions!H:H)</f>
        <v>-7.5</v>
      </c>
      <c r="O455">
        <f t="shared" si="144"/>
        <v>-1</v>
      </c>
      <c r="P455" s="4">
        <f>Tabla1[[#This Row],[Initial Risk $]]/Tabla1[[#This Row],[Position Size (shares)]]+Tabla1[[#This Row],[Entry Price]]</f>
        <v>134.77000000000001</v>
      </c>
      <c r="Q455" s="4">
        <f>Tabla1[[#This Row],[Initial Risk $]]/Tabla1[[#This Row],[Position Size (shares)]]*1.5+Tabla1[[#This Row],[Entry Price]]</f>
        <v>135.14500000000001</v>
      </c>
      <c r="R455" s="4">
        <f>Tabla1[[#This Row],[Initial Risk $]]/Tabla1[[#This Row],[Position Size (shares)]]*2+Tabla1[[#This Row],[Entry Price]]</f>
        <v>135.52000000000001</v>
      </c>
      <c r="S455" s="4">
        <f>Tabla1[[#This Row],[Initial Risk $]]/Tabla1[[#This Row],[Position Size (shares)]]*2.5+Tabla1[[#This Row],[Entry Price]]</f>
        <v>135.89500000000001</v>
      </c>
      <c r="T455" s="4">
        <f>Tabla1[[#This Row],[Initial Risk $]]/Tabla1[[#This Row],[Position Size (shares)]]*3+Tabla1[[#This Row],[Entry Price]]</f>
        <v>136.27000000000001</v>
      </c>
    </row>
    <row r="456" spans="1:20" customFormat="1" hidden="1" x14ac:dyDescent="0.25">
      <c r="A456" t="str">
        <f t="shared" si="141"/>
        <v>T-455</v>
      </c>
      <c r="B456" s="1">
        <v>46210</v>
      </c>
      <c r="C456" t="s">
        <v>417</v>
      </c>
      <c r="D456" t="s">
        <v>28</v>
      </c>
      <c r="E456" t="s">
        <v>27</v>
      </c>
      <c r="F456">
        <v>527.92999999999995</v>
      </c>
      <c r="G456">
        <v>521.69000000000005</v>
      </c>
      <c r="H456">
        <f>Tabla1[[#This Row],[Entry Price]]-(Tabla1[[#This Row],[Entry Price]]-Tabla1[[#This Row],[Initial Stop]])/2</f>
        <v>524.80999999999995</v>
      </c>
      <c r="I456">
        <v>3</v>
      </c>
      <c r="J456">
        <f t="shared" si="142"/>
        <v>18.719999999999686</v>
      </c>
      <c r="K456">
        <v>1</v>
      </c>
      <c r="L456">
        <f t="shared" si="143"/>
        <v>18.719999999999686</v>
      </c>
      <c r="M456" t="s">
        <v>72</v>
      </c>
      <c r="N456">
        <f>SUMIF(Executions!B:B,A456,Executions!H:H)</f>
        <v>12.450000000000273</v>
      </c>
      <c r="O456">
        <f t="shared" si="144"/>
        <v>0.66506410256412829</v>
      </c>
      <c r="P456" s="4">
        <f>Tabla1[[#This Row],[Initial Risk $]]/Tabla1[[#This Row],[Position Size (shares)]]+Tabla1[[#This Row],[Entry Price]]</f>
        <v>534.16999999999985</v>
      </c>
      <c r="Q456" s="4">
        <f>Tabla1[[#This Row],[Initial Risk $]]/Tabla1[[#This Row],[Position Size (shares)]]*1.5+Tabla1[[#This Row],[Entry Price]]</f>
        <v>537.28999999999974</v>
      </c>
      <c r="R456" s="4">
        <f>Tabla1[[#This Row],[Initial Risk $]]/Tabla1[[#This Row],[Position Size (shares)]]*2+Tabla1[[#This Row],[Entry Price]]</f>
        <v>540.40999999999974</v>
      </c>
      <c r="S456" s="4">
        <f>Tabla1[[#This Row],[Initial Risk $]]/Tabla1[[#This Row],[Position Size (shares)]]*2.5+Tabla1[[#This Row],[Entry Price]]</f>
        <v>543.52999999999975</v>
      </c>
      <c r="T456" s="4">
        <f>Tabla1[[#This Row],[Initial Risk $]]/Tabla1[[#This Row],[Position Size (shares)]]*3+Tabla1[[#This Row],[Entry Price]]</f>
        <v>546.64999999999964</v>
      </c>
    </row>
    <row r="457" spans="1:20" customFormat="1" hidden="1" x14ac:dyDescent="0.25">
      <c r="A457" t="str">
        <f t="shared" si="141"/>
        <v>T-456</v>
      </c>
      <c r="B457" s="1">
        <v>46210</v>
      </c>
      <c r="C457" t="s">
        <v>154</v>
      </c>
      <c r="D457" t="s">
        <v>28</v>
      </c>
      <c r="E457" t="s">
        <v>27</v>
      </c>
      <c r="F457">
        <v>366.49</v>
      </c>
      <c r="G457">
        <v>364.49</v>
      </c>
      <c r="H457">
        <f>Tabla1[[#This Row],[Entry Price]]-(Tabla1[[#This Row],[Entry Price]]-Tabla1[[#This Row],[Initial Stop]])/2</f>
        <v>365.49</v>
      </c>
      <c r="I457">
        <v>3</v>
      </c>
      <c r="J457">
        <f t="shared" si="142"/>
        <v>6</v>
      </c>
      <c r="K457">
        <v>1</v>
      </c>
      <c r="L457">
        <f t="shared" si="143"/>
        <v>6</v>
      </c>
      <c r="M457" t="s">
        <v>72</v>
      </c>
      <c r="N457">
        <f>SUMIF(Executions!B:B,A457,Executions!H:H)</f>
        <v>-5.9400000000000546</v>
      </c>
      <c r="O457">
        <f t="shared" si="144"/>
        <v>-0.99000000000000909</v>
      </c>
      <c r="P457" s="4">
        <f>Tabla1[[#This Row],[Initial Risk $]]/Tabla1[[#This Row],[Position Size (shares)]]+Tabla1[[#This Row],[Entry Price]]</f>
        <v>368.49</v>
      </c>
      <c r="Q457" s="4">
        <f>Tabla1[[#This Row],[Initial Risk $]]/Tabla1[[#This Row],[Position Size (shares)]]*1.5+Tabla1[[#This Row],[Entry Price]]</f>
        <v>369.49</v>
      </c>
      <c r="R457" s="4">
        <f>Tabla1[[#This Row],[Initial Risk $]]/Tabla1[[#This Row],[Position Size (shares)]]*2+Tabla1[[#This Row],[Entry Price]]</f>
        <v>370.49</v>
      </c>
      <c r="S457" s="4">
        <f>Tabla1[[#This Row],[Initial Risk $]]/Tabla1[[#This Row],[Position Size (shares)]]*2.5+Tabla1[[#This Row],[Entry Price]]</f>
        <v>371.49</v>
      </c>
      <c r="T457" s="4">
        <f>Tabla1[[#This Row],[Initial Risk $]]/Tabla1[[#This Row],[Position Size (shares)]]*3+Tabla1[[#This Row],[Entry Price]]</f>
        <v>372.49</v>
      </c>
    </row>
    <row r="458" spans="1:20" customFormat="1" hidden="1" x14ac:dyDescent="0.25">
      <c r="A458" t="str">
        <f t="shared" si="141"/>
        <v>T-457</v>
      </c>
      <c r="B458" s="1">
        <v>46210</v>
      </c>
      <c r="C458" t="s">
        <v>370</v>
      </c>
      <c r="D458" t="s">
        <v>28</v>
      </c>
      <c r="E458" t="s">
        <v>58</v>
      </c>
      <c r="F458">
        <v>33.08</v>
      </c>
      <c r="G458">
        <v>32.18</v>
      </c>
      <c r="H458">
        <f>Tabla1[[#This Row],[Entry Price]]-(Tabla1[[#This Row],[Entry Price]]-Tabla1[[#This Row],[Initial Stop]])/2</f>
        <v>32.629999999999995</v>
      </c>
      <c r="I458">
        <v>20</v>
      </c>
      <c r="J458">
        <f t="shared" si="142"/>
        <v>17.999999999999972</v>
      </c>
      <c r="K458">
        <v>1</v>
      </c>
      <c r="L458">
        <f t="shared" si="143"/>
        <v>17.999999999999972</v>
      </c>
      <c r="M458" t="s">
        <v>72</v>
      </c>
      <c r="N458">
        <f>SUMIF(Executions!B:B,A458,Executions!H:H)</f>
        <v>0.20000000000010232</v>
      </c>
      <c r="O458">
        <f t="shared" si="144"/>
        <v>1.1111111111116814E-2</v>
      </c>
      <c r="P458" s="4">
        <f>Tabla1[[#This Row],[Initial Risk $]]/Tabla1[[#This Row],[Position Size (shares)]]+Tabla1[[#This Row],[Entry Price]]</f>
        <v>33.979999999999997</v>
      </c>
      <c r="Q458" s="4">
        <f>Tabla1[[#This Row],[Initial Risk $]]/Tabla1[[#This Row],[Position Size (shares)]]*1.5+Tabla1[[#This Row],[Entry Price]]</f>
        <v>34.429999999999993</v>
      </c>
      <c r="R458" s="4">
        <f>Tabla1[[#This Row],[Initial Risk $]]/Tabla1[[#This Row],[Position Size (shares)]]*2+Tabla1[[#This Row],[Entry Price]]</f>
        <v>34.879999999999995</v>
      </c>
      <c r="S458" s="4">
        <f>Tabla1[[#This Row],[Initial Risk $]]/Tabla1[[#This Row],[Position Size (shares)]]*2.5+Tabla1[[#This Row],[Entry Price]]</f>
        <v>35.33</v>
      </c>
      <c r="T458" s="4">
        <f>Tabla1[[#This Row],[Initial Risk $]]/Tabla1[[#This Row],[Position Size (shares)]]*3+Tabla1[[#This Row],[Entry Price]]</f>
        <v>35.779999999999994</v>
      </c>
    </row>
    <row r="459" spans="1:20" customFormat="1" hidden="1" x14ac:dyDescent="0.25">
      <c r="A459" t="str">
        <f t="shared" ref="A459:A469" si="145">"T-"&amp; TEXT(ROW()-1,"000")</f>
        <v>T-458</v>
      </c>
      <c r="B459" s="1">
        <v>46211</v>
      </c>
      <c r="C459" t="s">
        <v>164</v>
      </c>
      <c r="D459" t="s">
        <v>28</v>
      </c>
      <c r="E459" t="s">
        <v>58</v>
      </c>
      <c r="F459">
        <v>197.75</v>
      </c>
      <c r="G459">
        <v>196.19</v>
      </c>
      <c r="H459">
        <f>Tabla1[[#This Row],[Entry Price]]-(Tabla1[[#This Row],[Entry Price]]-Tabla1[[#This Row],[Initial Stop]])/2</f>
        <v>196.97</v>
      </c>
      <c r="I459">
        <v>6</v>
      </c>
      <c r="J459">
        <f t="shared" ref="J459:J469" si="146">IF(D459="Long",(F459-G459)*I459,(G459-F459)*0)</f>
        <v>9.3600000000000136</v>
      </c>
      <c r="K459">
        <v>1</v>
      </c>
      <c r="L459">
        <f t="shared" ref="L459:L469" si="147">J459*K459</f>
        <v>9.3600000000000136</v>
      </c>
      <c r="M459" t="s">
        <v>72</v>
      </c>
      <c r="N459">
        <f>SUMIF(Executions!B:B,A459,Executions!H:H)</f>
        <v>-9.3600000000000136</v>
      </c>
      <c r="O459">
        <f t="shared" ref="O459:O469" si="148">N459/J459</f>
        <v>-1</v>
      </c>
      <c r="P459" s="4">
        <f>Tabla1[[#This Row],[Initial Risk $]]/Tabla1[[#This Row],[Position Size (shares)]]+Tabla1[[#This Row],[Entry Price]]</f>
        <v>199.31</v>
      </c>
      <c r="Q459" s="4">
        <f>Tabla1[[#This Row],[Initial Risk $]]/Tabla1[[#This Row],[Position Size (shares)]]*1.5+Tabla1[[#This Row],[Entry Price]]</f>
        <v>200.09</v>
      </c>
      <c r="R459" s="4">
        <f>Tabla1[[#This Row],[Initial Risk $]]/Tabla1[[#This Row],[Position Size (shares)]]*2+Tabla1[[#This Row],[Entry Price]]</f>
        <v>200.87</v>
      </c>
      <c r="S459" s="4">
        <f>Tabla1[[#This Row],[Initial Risk $]]/Tabla1[[#This Row],[Position Size (shares)]]*2.5+Tabla1[[#This Row],[Entry Price]]</f>
        <v>201.65</v>
      </c>
      <c r="T459" s="4">
        <f>Tabla1[[#This Row],[Initial Risk $]]/Tabla1[[#This Row],[Position Size (shares)]]*3+Tabla1[[#This Row],[Entry Price]]</f>
        <v>202.43</v>
      </c>
    </row>
    <row r="460" spans="1:20" customFormat="1" hidden="1" x14ac:dyDescent="0.25">
      <c r="A460" t="str">
        <f t="shared" si="145"/>
        <v>T-459</v>
      </c>
      <c r="B460" s="1">
        <v>46211</v>
      </c>
      <c r="C460" t="s">
        <v>417</v>
      </c>
      <c r="D460" t="s">
        <v>28</v>
      </c>
      <c r="E460" t="s">
        <v>58</v>
      </c>
      <c r="F460">
        <v>519.63</v>
      </c>
      <c r="G460">
        <v>515.63</v>
      </c>
      <c r="H460">
        <f>Tabla1[[#This Row],[Entry Price]]-(Tabla1[[#This Row],[Entry Price]]-Tabla1[[#This Row],[Initial Stop]])/2</f>
        <v>517.63</v>
      </c>
      <c r="I460">
        <v>3</v>
      </c>
      <c r="J460">
        <f t="shared" si="146"/>
        <v>12</v>
      </c>
      <c r="K460">
        <v>1</v>
      </c>
      <c r="L460">
        <f t="shared" si="147"/>
        <v>12</v>
      </c>
      <c r="M460" t="s">
        <v>72</v>
      </c>
      <c r="N460">
        <f>SUMIF(Executions!B:B,A460,Executions!H:H)</f>
        <v>-12.809999999999945</v>
      </c>
      <c r="O460">
        <f t="shared" si="148"/>
        <v>-1.0674999999999955</v>
      </c>
      <c r="P460" s="4">
        <f>Tabla1[[#This Row],[Initial Risk $]]/Tabla1[[#This Row],[Position Size (shares)]]+Tabla1[[#This Row],[Entry Price]]</f>
        <v>523.63</v>
      </c>
      <c r="Q460" s="4">
        <f>Tabla1[[#This Row],[Initial Risk $]]/Tabla1[[#This Row],[Position Size (shares)]]*1.5+Tabla1[[#This Row],[Entry Price]]</f>
        <v>525.63</v>
      </c>
      <c r="R460" s="4">
        <f>Tabla1[[#This Row],[Initial Risk $]]/Tabla1[[#This Row],[Position Size (shares)]]*2+Tabla1[[#This Row],[Entry Price]]</f>
        <v>527.63</v>
      </c>
      <c r="S460" s="4">
        <f>Tabla1[[#This Row],[Initial Risk $]]/Tabla1[[#This Row],[Position Size (shares)]]*2.5+Tabla1[[#This Row],[Entry Price]]</f>
        <v>529.63</v>
      </c>
      <c r="T460" s="4">
        <f>Tabla1[[#This Row],[Initial Risk $]]/Tabla1[[#This Row],[Position Size (shares)]]*3+Tabla1[[#This Row],[Entry Price]]</f>
        <v>531.63</v>
      </c>
    </row>
    <row r="461" spans="1:20" customFormat="1" hidden="1" x14ac:dyDescent="0.25">
      <c r="A461" t="str">
        <f t="shared" si="145"/>
        <v>T-460</v>
      </c>
      <c r="B461" s="1">
        <v>46211</v>
      </c>
      <c r="C461" t="s">
        <v>417</v>
      </c>
      <c r="D461" t="s">
        <v>28</v>
      </c>
      <c r="E461" t="s">
        <v>119</v>
      </c>
      <c r="F461">
        <v>519.96</v>
      </c>
      <c r="G461">
        <v>514</v>
      </c>
      <c r="H461">
        <f>Tabla1[[#This Row],[Entry Price]]-(Tabla1[[#This Row],[Entry Price]]-Tabla1[[#This Row],[Initial Stop]])/2</f>
        <v>516.98</v>
      </c>
      <c r="I461">
        <v>3</v>
      </c>
      <c r="J461">
        <f t="shared" si="146"/>
        <v>17.880000000000109</v>
      </c>
      <c r="K461">
        <v>1</v>
      </c>
      <c r="L461">
        <f t="shared" si="147"/>
        <v>17.880000000000109</v>
      </c>
      <c r="M461" t="s">
        <v>72</v>
      </c>
      <c r="N461">
        <f>SUMIF(Executions!B:B,A461,Executions!H:H)</f>
        <v>-18.75</v>
      </c>
      <c r="O461">
        <f t="shared" si="148"/>
        <v>-1.048657718120799</v>
      </c>
      <c r="P461" s="4">
        <f>Tabla1[[#This Row],[Initial Risk $]]/Tabla1[[#This Row],[Position Size (shares)]]+Tabla1[[#This Row],[Entry Price]]</f>
        <v>525.92000000000007</v>
      </c>
      <c r="Q461" s="4">
        <f>Tabla1[[#This Row],[Initial Risk $]]/Tabla1[[#This Row],[Position Size (shares)]]*1.5+Tabla1[[#This Row],[Entry Price]]</f>
        <v>528.90000000000009</v>
      </c>
      <c r="R461" s="4">
        <f>Tabla1[[#This Row],[Initial Risk $]]/Tabla1[[#This Row],[Position Size (shares)]]*2+Tabla1[[#This Row],[Entry Price]]</f>
        <v>531.88000000000011</v>
      </c>
      <c r="S461" s="4">
        <f>Tabla1[[#This Row],[Initial Risk $]]/Tabla1[[#This Row],[Position Size (shares)]]*2.5+Tabla1[[#This Row],[Entry Price]]</f>
        <v>534.86000000000013</v>
      </c>
      <c r="T461" s="4">
        <f>Tabla1[[#This Row],[Initial Risk $]]/Tabla1[[#This Row],[Position Size (shares)]]*3+Tabla1[[#This Row],[Entry Price]]</f>
        <v>537.84000000000015</v>
      </c>
    </row>
    <row r="462" spans="1:20" customFormat="1" hidden="1" x14ac:dyDescent="0.25">
      <c r="A462" t="str">
        <f t="shared" si="145"/>
        <v>T-461</v>
      </c>
      <c r="B462" s="1">
        <v>46211</v>
      </c>
      <c r="C462" t="s">
        <v>417</v>
      </c>
      <c r="D462" t="s">
        <v>28</v>
      </c>
      <c r="E462" t="s">
        <v>119</v>
      </c>
      <c r="F462">
        <v>511.09</v>
      </c>
      <c r="G462">
        <v>506</v>
      </c>
      <c r="H462">
        <f>Tabla1[[#This Row],[Entry Price]]-(Tabla1[[#This Row],[Entry Price]]-Tabla1[[#This Row],[Initial Stop]])/2</f>
        <v>508.54499999999996</v>
      </c>
      <c r="I462">
        <v>3</v>
      </c>
      <c r="J462">
        <f t="shared" si="146"/>
        <v>15.269999999999925</v>
      </c>
      <c r="K462">
        <v>1</v>
      </c>
      <c r="L462">
        <f t="shared" si="147"/>
        <v>15.269999999999925</v>
      </c>
      <c r="M462" t="s">
        <v>72</v>
      </c>
      <c r="N462">
        <f>SUMIF(Executions!B:B,A462,Executions!H:H)</f>
        <v>42.10000000000008</v>
      </c>
      <c r="O462">
        <f t="shared" si="148"/>
        <v>2.7570399476097109</v>
      </c>
      <c r="P462" s="4">
        <f>Tabla1[[#This Row],[Initial Risk $]]/Tabla1[[#This Row],[Position Size (shares)]]+Tabla1[[#This Row],[Entry Price]]</f>
        <v>516.17999999999995</v>
      </c>
      <c r="Q462" s="4">
        <f>Tabla1[[#This Row],[Initial Risk $]]/Tabla1[[#This Row],[Position Size (shares)]]*1.5+Tabla1[[#This Row],[Entry Price]]</f>
        <v>518.72499999999991</v>
      </c>
      <c r="R462" s="4">
        <f>Tabla1[[#This Row],[Initial Risk $]]/Tabla1[[#This Row],[Position Size (shares)]]*2+Tabla1[[#This Row],[Entry Price]]</f>
        <v>521.27</v>
      </c>
      <c r="S462" s="4">
        <f>Tabla1[[#This Row],[Initial Risk $]]/Tabla1[[#This Row],[Position Size (shares)]]*2.5+Tabla1[[#This Row],[Entry Price]]</f>
        <v>523.81499999999994</v>
      </c>
      <c r="T462" s="4">
        <f>Tabla1[[#This Row],[Initial Risk $]]/Tabla1[[#This Row],[Position Size (shares)]]*3+Tabla1[[#This Row],[Entry Price]]</f>
        <v>526.3599999999999</v>
      </c>
    </row>
    <row r="463" spans="1:20" customFormat="1" hidden="1" x14ac:dyDescent="0.25">
      <c r="A463" t="str">
        <f t="shared" si="145"/>
        <v>T-462</v>
      </c>
      <c r="B463" s="1">
        <v>46211</v>
      </c>
      <c r="C463" t="s">
        <v>279</v>
      </c>
      <c r="D463" t="s">
        <v>28</v>
      </c>
      <c r="E463" t="s">
        <v>58</v>
      </c>
      <c r="F463">
        <v>942</v>
      </c>
      <c r="G463">
        <v>936</v>
      </c>
      <c r="H463">
        <f>Tabla1[[#This Row],[Entry Price]]-(Tabla1[[#This Row],[Entry Price]]-Tabla1[[#This Row],[Initial Stop]])/2</f>
        <v>939</v>
      </c>
      <c r="I463">
        <v>2</v>
      </c>
      <c r="J463">
        <f t="shared" si="146"/>
        <v>12</v>
      </c>
      <c r="K463">
        <v>1</v>
      </c>
      <c r="L463">
        <f t="shared" si="147"/>
        <v>12</v>
      </c>
      <c r="M463" t="s">
        <v>72</v>
      </c>
      <c r="N463">
        <f>SUMIF(Executions!B:B,A463,Executions!H:H)</f>
        <v>-16.220000000000027</v>
      </c>
      <c r="O463">
        <f t="shared" si="148"/>
        <v>-1.351666666666669</v>
      </c>
      <c r="P463" s="4">
        <f>Tabla1[[#This Row],[Initial Risk $]]/Tabla1[[#This Row],[Position Size (shares)]]+Tabla1[[#This Row],[Entry Price]]</f>
        <v>948</v>
      </c>
      <c r="Q463" s="4">
        <f>Tabla1[[#This Row],[Initial Risk $]]/Tabla1[[#This Row],[Position Size (shares)]]*1.5+Tabla1[[#This Row],[Entry Price]]</f>
        <v>951</v>
      </c>
      <c r="R463" s="4">
        <f>Tabla1[[#This Row],[Initial Risk $]]/Tabla1[[#This Row],[Position Size (shares)]]*2+Tabla1[[#This Row],[Entry Price]]</f>
        <v>954</v>
      </c>
      <c r="S463" s="4">
        <f>Tabla1[[#This Row],[Initial Risk $]]/Tabla1[[#This Row],[Position Size (shares)]]*2.5+Tabla1[[#This Row],[Entry Price]]</f>
        <v>957</v>
      </c>
      <c r="T463" s="4">
        <f>Tabla1[[#This Row],[Initial Risk $]]/Tabla1[[#This Row],[Position Size (shares)]]*3+Tabla1[[#This Row],[Entry Price]]</f>
        <v>960</v>
      </c>
    </row>
    <row r="464" spans="1:20" customFormat="1" hidden="1" x14ac:dyDescent="0.25">
      <c r="A464" t="str">
        <f t="shared" si="145"/>
        <v>T-463</v>
      </c>
      <c r="B464" s="1">
        <v>46212</v>
      </c>
      <c r="C464" t="s">
        <v>173</v>
      </c>
      <c r="D464" t="s">
        <v>28</v>
      </c>
      <c r="E464" t="s">
        <v>58</v>
      </c>
      <c r="F464">
        <v>127.84</v>
      </c>
      <c r="G464">
        <v>126.84</v>
      </c>
      <c r="H464">
        <f>Tabla1[[#This Row],[Entry Price]]-(Tabla1[[#This Row],[Entry Price]]-Tabla1[[#This Row],[Initial Stop]])/2</f>
        <v>127.34</v>
      </c>
      <c r="I464">
        <v>10</v>
      </c>
      <c r="J464">
        <f t="shared" si="146"/>
        <v>10</v>
      </c>
      <c r="K464">
        <v>1</v>
      </c>
      <c r="L464">
        <f t="shared" si="147"/>
        <v>10</v>
      </c>
      <c r="M464" t="s">
        <v>72</v>
      </c>
      <c r="N464">
        <f>SUMIF(Executions!B:B,A464,Executions!H:H)</f>
        <v>-11.200000000000045</v>
      </c>
      <c r="O464">
        <f t="shared" si="148"/>
        <v>-1.1200000000000045</v>
      </c>
      <c r="P464" s="4">
        <f>Tabla1[[#This Row],[Initial Risk $]]/Tabla1[[#This Row],[Position Size (shares)]]+Tabla1[[#This Row],[Entry Price]]</f>
        <v>128.84</v>
      </c>
      <c r="Q464" s="4">
        <f>Tabla1[[#This Row],[Initial Risk $]]/Tabla1[[#This Row],[Position Size (shares)]]*1.5+Tabla1[[#This Row],[Entry Price]]</f>
        <v>129.34</v>
      </c>
      <c r="R464" s="4">
        <f>Tabla1[[#This Row],[Initial Risk $]]/Tabla1[[#This Row],[Position Size (shares)]]*2+Tabla1[[#This Row],[Entry Price]]</f>
        <v>129.84</v>
      </c>
      <c r="S464" s="4">
        <f>Tabla1[[#This Row],[Initial Risk $]]/Tabla1[[#This Row],[Position Size (shares)]]*2.5+Tabla1[[#This Row],[Entry Price]]</f>
        <v>130.34</v>
      </c>
      <c r="T464" s="4">
        <f>Tabla1[[#This Row],[Initial Risk $]]/Tabla1[[#This Row],[Position Size (shares)]]*3+Tabla1[[#This Row],[Entry Price]]</f>
        <v>130.84</v>
      </c>
    </row>
    <row r="465" spans="1:20" customFormat="1" hidden="1" x14ac:dyDescent="0.25">
      <c r="A465" t="str">
        <f t="shared" si="145"/>
        <v>T-464</v>
      </c>
      <c r="B465" s="1">
        <v>46212</v>
      </c>
      <c r="C465" t="s">
        <v>699</v>
      </c>
      <c r="D465" t="s">
        <v>28</v>
      </c>
      <c r="E465" t="s">
        <v>58</v>
      </c>
      <c r="F465">
        <v>444.31</v>
      </c>
      <c r="G465">
        <v>442</v>
      </c>
      <c r="H465">
        <f>Tabla1[[#This Row],[Entry Price]]-(Tabla1[[#This Row],[Entry Price]]-Tabla1[[#This Row],[Initial Stop]])/2</f>
        <v>443.15499999999997</v>
      </c>
      <c r="I465">
        <v>3</v>
      </c>
      <c r="J465">
        <f t="shared" si="146"/>
        <v>6.9300000000000068</v>
      </c>
      <c r="K465">
        <v>1</v>
      </c>
      <c r="L465">
        <f t="shared" si="147"/>
        <v>6.9300000000000068</v>
      </c>
      <c r="M465" t="s">
        <v>72</v>
      </c>
      <c r="N465">
        <f>SUMIF(Executions!B:B,A465,Executions!H:H)</f>
        <v>-7.0800000000000409</v>
      </c>
      <c r="O465">
        <f t="shared" si="148"/>
        <v>-1.0216450216450266</v>
      </c>
      <c r="P465" s="4">
        <f>Tabla1[[#This Row],[Initial Risk $]]/Tabla1[[#This Row],[Position Size (shares)]]+Tabla1[[#This Row],[Entry Price]]</f>
        <v>446.62</v>
      </c>
      <c r="Q465" s="4">
        <f>Tabla1[[#This Row],[Initial Risk $]]/Tabla1[[#This Row],[Position Size (shares)]]*1.5+Tabla1[[#This Row],[Entry Price]]</f>
        <v>447.77499999999998</v>
      </c>
      <c r="R465" s="4">
        <f>Tabla1[[#This Row],[Initial Risk $]]/Tabla1[[#This Row],[Position Size (shares)]]*2+Tabla1[[#This Row],[Entry Price]]</f>
        <v>448.93</v>
      </c>
      <c r="S465" s="4">
        <f>Tabla1[[#This Row],[Initial Risk $]]/Tabla1[[#This Row],[Position Size (shares)]]*2.5+Tabla1[[#This Row],[Entry Price]]</f>
        <v>450.08500000000004</v>
      </c>
      <c r="T465" s="4">
        <f>Tabla1[[#This Row],[Initial Risk $]]/Tabla1[[#This Row],[Position Size (shares)]]*3+Tabla1[[#This Row],[Entry Price]]</f>
        <v>451.24</v>
      </c>
    </row>
    <row r="466" spans="1:20" customFormat="1" hidden="1" x14ac:dyDescent="0.25">
      <c r="A466" t="str">
        <f t="shared" si="145"/>
        <v>T-465</v>
      </c>
      <c r="B466" s="1">
        <v>46212</v>
      </c>
      <c r="C466" t="s">
        <v>417</v>
      </c>
      <c r="D466" t="s">
        <v>28</v>
      </c>
      <c r="E466" t="s">
        <v>119</v>
      </c>
      <c r="F466">
        <v>519.41</v>
      </c>
      <c r="G466">
        <v>516</v>
      </c>
      <c r="H466">
        <f>Tabla1[[#This Row],[Entry Price]]-(Tabla1[[#This Row],[Entry Price]]-Tabla1[[#This Row],[Initial Stop]])/2</f>
        <v>517.70499999999993</v>
      </c>
      <c r="I466">
        <v>3</v>
      </c>
      <c r="J466">
        <f t="shared" si="146"/>
        <v>10.229999999999905</v>
      </c>
      <c r="K466">
        <v>1</v>
      </c>
      <c r="L466">
        <f t="shared" si="147"/>
        <v>10.229999999999905</v>
      </c>
      <c r="M466" t="s">
        <v>72</v>
      </c>
      <c r="N466">
        <f>SUMIF(Executions!B:B,A466,Executions!H:H)</f>
        <v>-9.7200000000000273</v>
      </c>
      <c r="O466">
        <f t="shared" si="148"/>
        <v>-0.950146627565994</v>
      </c>
      <c r="P466" s="4">
        <f>Tabla1[[#This Row],[Initial Risk $]]/Tabla1[[#This Row],[Position Size (shares)]]+Tabla1[[#This Row],[Entry Price]]</f>
        <v>522.81999999999994</v>
      </c>
      <c r="Q466" s="4">
        <f>Tabla1[[#This Row],[Initial Risk $]]/Tabla1[[#This Row],[Position Size (shares)]]*1.5+Tabla1[[#This Row],[Entry Price]]</f>
        <v>524.52499999999986</v>
      </c>
      <c r="R466" s="4">
        <f>Tabla1[[#This Row],[Initial Risk $]]/Tabla1[[#This Row],[Position Size (shares)]]*2+Tabla1[[#This Row],[Entry Price]]</f>
        <v>526.2299999999999</v>
      </c>
      <c r="S466" s="4">
        <f>Tabla1[[#This Row],[Initial Risk $]]/Tabla1[[#This Row],[Position Size (shares)]]*2.5+Tabla1[[#This Row],[Entry Price]]</f>
        <v>527.93499999999995</v>
      </c>
      <c r="T466" s="4">
        <f>Tabla1[[#This Row],[Initial Risk $]]/Tabla1[[#This Row],[Position Size (shares)]]*3+Tabla1[[#This Row],[Entry Price]]</f>
        <v>529.63999999999987</v>
      </c>
    </row>
    <row r="467" spans="1:20" customFormat="1" hidden="1" x14ac:dyDescent="0.25">
      <c r="A467" t="str">
        <f t="shared" si="145"/>
        <v>T-466</v>
      </c>
      <c r="B467" s="1">
        <v>46212</v>
      </c>
      <c r="C467" t="s">
        <v>164</v>
      </c>
      <c r="D467" t="s">
        <v>28</v>
      </c>
      <c r="E467" t="s">
        <v>27</v>
      </c>
      <c r="F467">
        <v>200.75</v>
      </c>
      <c r="G467">
        <v>198.97</v>
      </c>
      <c r="H467">
        <f>Tabla1[[#This Row],[Entry Price]]-(Tabla1[[#This Row],[Entry Price]]-Tabla1[[#This Row],[Initial Stop]])/2</f>
        <v>199.86</v>
      </c>
      <c r="I467">
        <v>5</v>
      </c>
      <c r="J467">
        <f t="shared" si="146"/>
        <v>8.9000000000000057</v>
      </c>
      <c r="K467">
        <v>1</v>
      </c>
      <c r="L467">
        <f t="shared" si="147"/>
        <v>8.9000000000000057</v>
      </c>
      <c r="M467" t="s">
        <v>72</v>
      </c>
      <c r="N467">
        <f>SUMIF(Executions!B:B,A467,Executions!H:H)</f>
        <v>8.9499999999999602</v>
      </c>
      <c r="O467">
        <f t="shared" si="148"/>
        <v>1.0056179775280847</v>
      </c>
      <c r="P467" s="4">
        <f>Tabla1[[#This Row],[Initial Risk $]]/Tabla1[[#This Row],[Position Size (shares)]]+Tabla1[[#This Row],[Entry Price]]</f>
        <v>202.53</v>
      </c>
      <c r="Q467" s="4">
        <f>Tabla1[[#This Row],[Initial Risk $]]/Tabla1[[#This Row],[Position Size (shares)]]*1.5+Tabla1[[#This Row],[Entry Price]]</f>
        <v>203.42000000000002</v>
      </c>
      <c r="R467" s="4">
        <f>Tabla1[[#This Row],[Initial Risk $]]/Tabla1[[#This Row],[Position Size (shares)]]*2+Tabla1[[#This Row],[Entry Price]]</f>
        <v>204.31</v>
      </c>
      <c r="S467" s="4">
        <f>Tabla1[[#This Row],[Initial Risk $]]/Tabla1[[#This Row],[Position Size (shares)]]*2.5+Tabla1[[#This Row],[Entry Price]]</f>
        <v>205.2</v>
      </c>
      <c r="T467" s="4">
        <f>Tabla1[[#This Row],[Initial Risk $]]/Tabla1[[#This Row],[Position Size (shares)]]*3+Tabla1[[#This Row],[Entry Price]]</f>
        <v>206.09</v>
      </c>
    </row>
    <row r="468" spans="1:20" customFormat="1" hidden="1" x14ac:dyDescent="0.25">
      <c r="A468" t="str">
        <f t="shared" si="145"/>
        <v>T-467</v>
      </c>
      <c r="B468" s="1">
        <v>46212</v>
      </c>
      <c r="C468" t="s">
        <v>699</v>
      </c>
      <c r="D468" t="s">
        <v>28</v>
      </c>
      <c r="E468" t="s">
        <v>58</v>
      </c>
      <c r="F468">
        <v>443.89</v>
      </c>
      <c r="G468">
        <v>440.89</v>
      </c>
      <c r="H468">
        <f>Tabla1[[#This Row],[Entry Price]]-(Tabla1[[#This Row],[Entry Price]]-Tabla1[[#This Row],[Initial Stop]])/2</f>
        <v>442.39</v>
      </c>
      <c r="I468">
        <v>3</v>
      </c>
      <c r="J468">
        <f t="shared" si="146"/>
        <v>9</v>
      </c>
      <c r="K468">
        <v>1</v>
      </c>
      <c r="L468">
        <f t="shared" si="147"/>
        <v>9</v>
      </c>
      <c r="M468" t="s">
        <v>72</v>
      </c>
      <c r="N468">
        <f>SUMIF(Executions!B:B,A468,Executions!H:H)</f>
        <v>-9</v>
      </c>
      <c r="O468">
        <f t="shared" si="148"/>
        <v>-1</v>
      </c>
      <c r="P468" s="4">
        <f>Tabla1[[#This Row],[Initial Risk $]]/Tabla1[[#This Row],[Position Size (shares)]]+Tabla1[[#This Row],[Entry Price]]</f>
        <v>446.89</v>
      </c>
      <c r="Q468" s="4">
        <f>Tabla1[[#This Row],[Initial Risk $]]/Tabla1[[#This Row],[Position Size (shares)]]*1.5+Tabla1[[#This Row],[Entry Price]]</f>
        <v>448.39</v>
      </c>
      <c r="R468" s="4">
        <f>Tabla1[[#This Row],[Initial Risk $]]/Tabla1[[#This Row],[Position Size (shares)]]*2+Tabla1[[#This Row],[Entry Price]]</f>
        <v>449.89</v>
      </c>
      <c r="S468" s="4">
        <f>Tabla1[[#This Row],[Initial Risk $]]/Tabla1[[#This Row],[Position Size (shares)]]*2.5+Tabla1[[#This Row],[Entry Price]]</f>
        <v>451.39</v>
      </c>
      <c r="T468" s="4">
        <f>Tabla1[[#This Row],[Initial Risk $]]/Tabla1[[#This Row],[Position Size (shares)]]*3+Tabla1[[#This Row],[Entry Price]]</f>
        <v>452.89</v>
      </c>
    </row>
    <row r="469" spans="1:20" customFormat="1" hidden="1" x14ac:dyDescent="0.25">
      <c r="A469" t="str">
        <f t="shared" si="145"/>
        <v>T-468</v>
      </c>
      <c r="B469" s="1">
        <v>46212</v>
      </c>
      <c r="C469" t="s">
        <v>279</v>
      </c>
      <c r="D469" t="s">
        <v>28</v>
      </c>
      <c r="E469" t="s">
        <v>119</v>
      </c>
      <c r="F469">
        <v>1019.46</v>
      </c>
      <c r="G469">
        <v>1015</v>
      </c>
      <c r="H469">
        <f>Tabla1[[#This Row],[Entry Price]]-(Tabla1[[#This Row],[Entry Price]]-Tabla1[[#This Row],[Initial Stop]])/2</f>
        <v>1017.23</v>
      </c>
      <c r="I469">
        <v>1</v>
      </c>
      <c r="J469">
        <f t="shared" si="146"/>
        <v>4.4600000000000364</v>
      </c>
      <c r="K469">
        <v>1</v>
      </c>
      <c r="L469">
        <f t="shared" si="147"/>
        <v>4.4600000000000364</v>
      </c>
      <c r="M469" t="s">
        <v>72</v>
      </c>
      <c r="N469">
        <f>SUMIF(Executions!B:B,A469,Executions!H:H)</f>
        <v>-4.2599999999999909</v>
      </c>
      <c r="O469">
        <f t="shared" si="148"/>
        <v>-0.95515695067263595</v>
      </c>
      <c r="P469" s="4">
        <f>Tabla1[[#This Row],[Initial Risk $]]/Tabla1[[#This Row],[Position Size (shares)]]+Tabla1[[#This Row],[Entry Price]]</f>
        <v>1023.9200000000001</v>
      </c>
      <c r="Q469" s="4">
        <f>Tabla1[[#This Row],[Initial Risk $]]/Tabla1[[#This Row],[Position Size (shares)]]*1.5+Tabla1[[#This Row],[Entry Price]]</f>
        <v>1026.1500000000001</v>
      </c>
      <c r="R469" s="4">
        <f>Tabla1[[#This Row],[Initial Risk $]]/Tabla1[[#This Row],[Position Size (shares)]]*2+Tabla1[[#This Row],[Entry Price]]</f>
        <v>1028.3800000000001</v>
      </c>
      <c r="S469" s="4">
        <f>Tabla1[[#This Row],[Initial Risk $]]/Tabla1[[#This Row],[Position Size (shares)]]*2.5+Tabla1[[#This Row],[Entry Price]]</f>
        <v>1030.6100000000001</v>
      </c>
      <c r="T469" s="4">
        <f>Tabla1[[#This Row],[Initial Risk $]]/Tabla1[[#This Row],[Position Size (shares)]]*3+Tabla1[[#This Row],[Entry Price]]</f>
        <v>1032.8400000000001</v>
      </c>
    </row>
    <row r="470" spans="1:20" customFormat="1" hidden="1" x14ac:dyDescent="0.25">
      <c r="A470" t="str">
        <f t="shared" ref="A470:A476" si="149">"T-"&amp; TEXT(ROW()-1,"000")</f>
        <v>T-469</v>
      </c>
      <c r="B470" s="1">
        <v>46213</v>
      </c>
      <c r="C470" t="s">
        <v>181</v>
      </c>
      <c r="D470" t="s">
        <v>28</v>
      </c>
      <c r="E470" t="s">
        <v>58</v>
      </c>
      <c r="F470">
        <v>12.22</v>
      </c>
      <c r="G470">
        <v>12.02</v>
      </c>
      <c r="H470">
        <f>Tabla1[[#This Row],[Entry Price]]-(Tabla1[[#This Row],[Entry Price]]-Tabla1[[#This Row],[Initial Stop]])/2</f>
        <v>12.120000000000001</v>
      </c>
      <c r="I470">
        <v>70</v>
      </c>
      <c r="J470">
        <f t="shared" ref="J470:J476" si="150">IF(D470="Long",(F470-G470)*I470,(G470-F470)*0)</f>
        <v>14.000000000000075</v>
      </c>
      <c r="K470">
        <v>1</v>
      </c>
      <c r="L470">
        <f t="shared" ref="L470:L476" si="151">J470*K470</f>
        <v>14.000000000000075</v>
      </c>
      <c r="M470" t="s">
        <v>72</v>
      </c>
      <c r="N470">
        <f>SUMIF(Executions!B:B,A470,Executions!H:H)</f>
        <v>-14.350000000000005</v>
      </c>
      <c r="O470">
        <f t="shared" ref="O470:O476" si="152">N470/J470</f>
        <v>-1.0249999999999948</v>
      </c>
      <c r="P470" s="4">
        <f>Tabla1[[#This Row],[Initial Risk $]]/Tabla1[[#This Row],[Position Size (shares)]]+Tabla1[[#This Row],[Entry Price]]</f>
        <v>12.420000000000002</v>
      </c>
      <c r="Q470" s="4">
        <f>Tabla1[[#This Row],[Initial Risk $]]/Tabla1[[#This Row],[Position Size (shares)]]*1.5+Tabla1[[#This Row],[Entry Price]]</f>
        <v>12.520000000000003</v>
      </c>
      <c r="R470" s="4">
        <f>Tabla1[[#This Row],[Initial Risk $]]/Tabla1[[#This Row],[Position Size (shares)]]*2+Tabla1[[#This Row],[Entry Price]]</f>
        <v>12.620000000000003</v>
      </c>
      <c r="S470" s="4">
        <f>Tabla1[[#This Row],[Initial Risk $]]/Tabla1[[#This Row],[Position Size (shares)]]*2.5+Tabla1[[#This Row],[Entry Price]]</f>
        <v>12.720000000000002</v>
      </c>
      <c r="T470" s="4">
        <f>Tabla1[[#This Row],[Initial Risk $]]/Tabla1[[#This Row],[Position Size (shares)]]*3+Tabla1[[#This Row],[Entry Price]]</f>
        <v>12.820000000000004</v>
      </c>
    </row>
    <row r="471" spans="1:20" customFormat="1" hidden="1" x14ac:dyDescent="0.25">
      <c r="A471" t="str">
        <f t="shared" si="149"/>
        <v>T-470</v>
      </c>
      <c r="B471" s="1">
        <v>46213</v>
      </c>
      <c r="C471" t="s">
        <v>154</v>
      </c>
      <c r="D471" t="s">
        <v>28</v>
      </c>
      <c r="E471" t="s">
        <v>58</v>
      </c>
      <c r="F471">
        <v>354.03</v>
      </c>
      <c r="G471">
        <v>353.03</v>
      </c>
      <c r="H471">
        <f>Tabla1[[#This Row],[Entry Price]]-(Tabla1[[#This Row],[Entry Price]]-Tabla1[[#This Row],[Initial Stop]])/2</f>
        <v>353.53</v>
      </c>
      <c r="I471">
        <v>4</v>
      </c>
      <c r="J471">
        <f t="shared" si="150"/>
        <v>4</v>
      </c>
      <c r="K471">
        <v>1</v>
      </c>
      <c r="L471">
        <f t="shared" si="151"/>
        <v>4</v>
      </c>
      <c r="M471" t="s">
        <v>72</v>
      </c>
      <c r="N471">
        <f>SUMIF(Executions!B:B,A471,Executions!H:H)</f>
        <v>-3.959999999999809</v>
      </c>
      <c r="O471">
        <f t="shared" si="152"/>
        <v>-0.98999999999995225</v>
      </c>
      <c r="P471" s="4">
        <f>Tabla1[[#This Row],[Initial Risk $]]/Tabla1[[#This Row],[Position Size (shares)]]+Tabla1[[#This Row],[Entry Price]]</f>
        <v>355.03</v>
      </c>
      <c r="Q471" s="4">
        <f>Tabla1[[#This Row],[Initial Risk $]]/Tabla1[[#This Row],[Position Size (shares)]]*1.5+Tabla1[[#This Row],[Entry Price]]</f>
        <v>355.53</v>
      </c>
      <c r="R471" s="4">
        <f>Tabla1[[#This Row],[Initial Risk $]]/Tabla1[[#This Row],[Position Size (shares)]]*2+Tabla1[[#This Row],[Entry Price]]</f>
        <v>356.03</v>
      </c>
      <c r="S471" s="4">
        <f>Tabla1[[#This Row],[Initial Risk $]]/Tabla1[[#This Row],[Position Size (shares)]]*2.5+Tabla1[[#This Row],[Entry Price]]</f>
        <v>356.53</v>
      </c>
      <c r="T471" s="4">
        <f>Tabla1[[#This Row],[Initial Risk $]]/Tabla1[[#This Row],[Position Size (shares)]]*3+Tabla1[[#This Row],[Entry Price]]</f>
        <v>357.03</v>
      </c>
    </row>
    <row r="472" spans="1:20" customFormat="1" hidden="1" x14ac:dyDescent="0.25">
      <c r="A472" t="str">
        <f t="shared" si="149"/>
        <v>T-471</v>
      </c>
      <c r="B472" s="1">
        <v>46213</v>
      </c>
      <c r="C472" t="s">
        <v>370</v>
      </c>
      <c r="D472" t="s">
        <v>28</v>
      </c>
      <c r="E472" t="s">
        <v>119</v>
      </c>
      <c r="F472">
        <v>34.24</v>
      </c>
      <c r="G472">
        <v>33.94</v>
      </c>
      <c r="H472">
        <f>Tabla1[[#This Row],[Entry Price]]-(Tabla1[[#This Row],[Entry Price]]-Tabla1[[#This Row],[Initial Stop]])/2</f>
        <v>34.090000000000003</v>
      </c>
      <c r="I472">
        <v>20</v>
      </c>
      <c r="J472">
        <f t="shared" si="150"/>
        <v>6.0000000000000853</v>
      </c>
      <c r="K472">
        <v>1</v>
      </c>
      <c r="L472">
        <f t="shared" si="151"/>
        <v>6.0000000000000853</v>
      </c>
      <c r="M472" t="s">
        <v>72</v>
      </c>
      <c r="N472">
        <f>SUMIF(Executions!B:B,A472,Executions!H:H)</f>
        <v>-6.4000000000000057</v>
      </c>
      <c r="O472">
        <f t="shared" si="152"/>
        <v>-1.0666666666666524</v>
      </c>
      <c r="P472" s="4">
        <f>Tabla1[[#This Row],[Initial Risk $]]/Tabla1[[#This Row],[Position Size (shares)]]+Tabla1[[#This Row],[Entry Price]]</f>
        <v>34.540000000000006</v>
      </c>
      <c r="Q472" s="4">
        <f>Tabla1[[#This Row],[Initial Risk $]]/Tabla1[[#This Row],[Position Size (shares)]]*1.5+Tabla1[[#This Row],[Entry Price]]</f>
        <v>34.690000000000012</v>
      </c>
      <c r="R472" s="4">
        <f>Tabla1[[#This Row],[Initial Risk $]]/Tabla1[[#This Row],[Position Size (shares)]]*2+Tabla1[[#This Row],[Entry Price]]</f>
        <v>34.840000000000011</v>
      </c>
      <c r="S472" s="4">
        <f>Tabla1[[#This Row],[Initial Risk $]]/Tabla1[[#This Row],[Position Size (shares)]]*2.5+Tabla1[[#This Row],[Entry Price]]</f>
        <v>34.990000000000009</v>
      </c>
      <c r="T472" s="4">
        <f>Tabla1[[#This Row],[Initial Risk $]]/Tabla1[[#This Row],[Position Size (shares)]]*3+Tabla1[[#This Row],[Entry Price]]</f>
        <v>35.140000000000015</v>
      </c>
    </row>
    <row r="473" spans="1:20" customFormat="1" hidden="1" x14ac:dyDescent="0.25">
      <c r="A473" t="str">
        <f t="shared" si="149"/>
        <v>T-472</v>
      </c>
      <c r="B473" s="1">
        <v>46213</v>
      </c>
      <c r="C473" t="s">
        <v>417</v>
      </c>
      <c r="D473" t="s">
        <v>28</v>
      </c>
      <c r="E473" t="s">
        <v>27</v>
      </c>
      <c r="F473">
        <v>518.34</v>
      </c>
      <c r="G473">
        <v>513</v>
      </c>
      <c r="H473">
        <f>Tabla1[[#This Row],[Entry Price]]-(Tabla1[[#This Row],[Entry Price]]-Tabla1[[#This Row],[Initial Stop]])/2</f>
        <v>515.67000000000007</v>
      </c>
      <c r="I473">
        <v>3</v>
      </c>
      <c r="J473">
        <f t="shared" si="150"/>
        <v>16.020000000000095</v>
      </c>
      <c r="K473">
        <v>1</v>
      </c>
      <c r="L473">
        <f t="shared" si="151"/>
        <v>16.020000000000095</v>
      </c>
      <c r="M473" t="s">
        <v>72</v>
      </c>
      <c r="N473">
        <f>SUMIF(Executions!B:B,A473,Executions!H:H)</f>
        <v>-16.020000000000095</v>
      </c>
      <c r="O473">
        <f t="shared" si="152"/>
        <v>-1</v>
      </c>
      <c r="P473" s="4">
        <f>Tabla1[[#This Row],[Initial Risk $]]/Tabla1[[#This Row],[Position Size (shares)]]+Tabla1[[#This Row],[Entry Price]]</f>
        <v>523.68000000000006</v>
      </c>
      <c r="Q473" s="4">
        <f>Tabla1[[#This Row],[Initial Risk $]]/Tabla1[[#This Row],[Position Size (shares)]]*1.5+Tabla1[[#This Row],[Entry Price]]</f>
        <v>526.35000000000014</v>
      </c>
      <c r="R473" s="4">
        <f>Tabla1[[#This Row],[Initial Risk $]]/Tabla1[[#This Row],[Position Size (shares)]]*2+Tabla1[[#This Row],[Entry Price]]</f>
        <v>529.0200000000001</v>
      </c>
      <c r="S473" s="4">
        <f>Tabla1[[#This Row],[Initial Risk $]]/Tabla1[[#This Row],[Position Size (shares)]]*2.5+Tabla1[[#This Row],[Entry Price]]</f>
        <v>531.69000000000005</v>
      </c>
      <c r="T473" s="4">
        <f>Tabla1[[#This Row],[Initial Risk $]]/Tabla1[[#This Row],[Position Size (shares)]]*3+Tabla1[[#This Row],[Entry Price]]</f>
        <v>534.36000000000013</v>
      </c>
    </row>
    <row r="474" spans="1:20" customFormat="1" hidden="1" x14ac:dyDescent="0.25">
      <c r="A474" t="str">
        <f t="shared" si="149"/>
        <v>T-473</v>
      </c>
      <c r="B474" s="1">
        <v>46213</v>
      </c>
      <c r="C474" t="s">
        <v>417</v>
      </c>
      <c r="D474" t="s">
        <v>28</v>
      </c>
      <c r="E474" t="s">
        <v>58</v>
      </c>
      <c r="F474">
        <v>514.92999999999995</v>
      </c>
      <c r="G474">
        <v>510</v>
      </c>
      <c r="H474">
        <f>Tabla1[[#This Row],[Entry Price]]-(Tabla1[[#This Row],[Entry Price]]-Tabla1[[#This Row],[Initial Stop]])/2</f>
        <v>512.46499999999992</v>
      </c>
      <c r="I474">
        <v>2</v>
      </c>
      <c r="J474">
        <f t="shared" si="150"/>
        <v>9.8599999999999</v>
      </c>
      <c r="K474">
        <v>1</v>
      </c>
      <c r="L474">
        <f t="shared" si="151"/>
        <v>9.8599999999999</v>
      </c>
      <c r="M474" t="s">
        <v>72</v>
      </c>
      <c r="N474">
        <f>SUMIF(Executions!B:B,A474,Executions!H:H)</f>
        <v>-9.8599999999999</v>
      </c>
      <c r="O474">
        <f t="shared" si="152"/>
        <v>-1</v>
      </c>
      <c r="P474" s="4">
        <f>Tabla1[[#This Row],[Initial Risk $]]/Tabla1[[#This Row],[Position Size (shares)]]+Tabla1[[#This Row],[Entry Price]]</f>
        <v>519.8599999999999</v>
      </c>
      <c r="Q474" s="4">
        <f>Tabla1[[#This Row],[Initial Risk $]]/Tabla1[[#This Row],[Position Size (shares)]]*1.5+Tabla1[[#This Row],[Entry Price]]</f>
        <v>522.32499999999982</v>
      </c>
      <c r="R474" s="4">
        <f>Tabla1[[#This Row],[Initial Risk $]]/Tabla1[[#This Row],[Position Size (shares)]]*2+Tabla1[[#This Row],[Entry Price]]</f>
        <v>524.78999999999985</v>
      </c>
      <c r="S474" s="4">
        <f>Tabla1[[#This Row],[Initial Risk $]]/Tabla1[[#This Row],[Position Size (shares)]]*2.5+Tabla1[[#This Row],[Entry Price]]</f>
        <v>527.25499999999988</v>
      </c>
      <c r="T474" s="4">
        <f>Tabla1[[#This Row],[Initial Risk $]]/Tabla1[[#This Row],[Position Size (shares)]]*3+Tabla1[[#This Row],[Entry Price]]</f>
        <v>529.7199999999998</v>
      </c>
    </row>
    <row r="475" spans="1:20" customFormat="1" hidden="1" x14ac:dyDescent="0.25">
      <c r="A475" t="str">
        <f t="shared" si="149"/>
        <v>T-474</v>
      </c>
      <c r="B475" s="1">
        <v>46213</v>
      </c>
      <c r="C475" t="s">
        <v>668</v>
      </c>
      <c r="D475" t="s">
        <v>28</v>
      </c>
      <c r="E475" t="s">
        <v>58</v>
      </c>
      <c r="F475">
        <v>114.41</v>
      </c>
      <c r="G475">
        <v>113.41</v>
      </c>
      <c r="H475">
        <f>Tabla1[[#This Row],[Entry Price]]-(Tabla1[[#This Row],[Entry Price]]-Tabla1[[#This Row],[Initial Stop]])/2</f>
        <v>113.91</v>
      </c>
      <c r="I475">
        <v>10</v>
      </c>
      <c r="J475">
        <f t="shared" si="150"/>
        <v>10</v>
      </c>
      <c r="K475">
        <v>1</v>
      </c>
      <c r="L475">
        <f t="shared" si="151"/>
        <v>10</v>
      </c>
      <c r="M475" t="s">
        <v>72</v>
      </c>
      <c r="N475">
        <f>SUMIF(Executions!B:B,A475,Executions!H:H)</f>
        <v>-10.300000000000011</v>
      </c>
      <c r="O475">
        <f t="shared" si="152"/>
        <v>-1.0300000000000011</v>
      </c>
      <c r="P475" s="4">
        <f>Tabla1[[#This Row],[Initial Risk $]]/Tabla1[[#This Row],[Position Size (shares)]]+Tabla1[[#This Row],[Entry Price]]</f>
        <v>115.41</v>
      </c>
      <c r="Q475" s="4">
        <f>Tabla1[[#This Row],[Initial Risk $]]/Tabla1[[#This Row],[Position Size (shares)]]*1.5+Tabla1[[#This Row],[Entry Price]]</f>
        <v>115.91</v>
      </c>
      <c r="R475" s="4">
        <f>Tabla1[[#This Row],[Initial Risk $]]/Tabla1[[#This Row],[Position Size (shares)]]*2+Tabla1[[#This Row],[Entry Price]]</f>
        <v>116.41</v>
      </c>
      <c r="S475" s="4">
        <f>Tabla1[[#This Row],[Initial Risk $]]/Tabla1[[#This Row],[Position Size (shares)]]*2.5+Tabla1[[#This Row],[Entry Price]]</f>
        <v>116.91</v>
      </c>
      <c r="T475" s="4">
        <f>Tabla1[[#This Row],[Initial Risk $]]/Tabla1[[#This Row],[Position Size (shares)]]*3+Tabla1[[#This Row],[Entry Price]]</f>
        <v>117.41</v>
      </c>
    </row>
    <row r="476" spans="1:20" customFormat="1" hidden="1" x14ac:dyDescent="0.25">
      <c r="A476" t="str">
        <f t="shared" si="149"/>
        <v>T-475</v>
      </c>
      <c r="B476" s="1">
        <v>46213</v>
      </c>
      <c r="C476" t="s">
        <v>181</v>
      </c>
      <c r="D476" t="s">
        <v>28</v>
      </c>
      <c r="E476" t="s">
        <v>119</v>
      </c>
      <c r="F476">
        <v>11.81</v>
      </c>
      <c r="G476">
        <v>11.46</v>
      </c>
      <c r="H476">
        <f>Tabla1[[#This Row],[Entry Price]]-(Tabla1[[#This Row],[Entry Price]]-Tabla1[[#This Row],[Initial Stop]])/2</f>
        <v>11.635000000000002</v>
      </c>
      <c r="I476">
        <v>20</v>
      </c>
      <c r="J476">
        <f t="shared" si="150"/>
        <v>6.9999999999999929</v>
      </c>
      <c r="K476">
        <v>1</v>
      </c>
      <c r="L476">
        <f t="shared" si="151"/>
        <v>6.9999999999999929</v>
      </c>
      <c r="M476" t="s">
        <v>72</v>
      </c>
      <c r="N476">
        <f>SUMIF(Executions!B:B,A476,Executions!H:H)</f>
        <v>-9.3600000000000243</v>
      </c>
      <c r="O476">
        <f t="shared" si="152"/>
        <v>-1.3371428571428621</v>
      </c>
      <c r="P476" s="4">
        <f>Tabla1[[#This Row],[Initial Risk $]]/Tabla1[[#This Row],[Position Size (shares)]]+Tabla1[[#This Row],[Entry Price]]</f>
        <v>12.16</v>
      </c>
      <c r="Q476" s="4">
        <f>Tabla1[[#This Row],[Initial Risk $]]/Tabla1[[#This Row],[Position Size (shares)]]*1.5+Tabla1[[#This Row],[Entry Price]]</f>
        <v>12.335000000000001</v>
      </c>
      <c r="R476" s="4">
        <f>Tabla1[[#This Row],[Initial Risk $]]/Tabla1[[#This Row],[Position Size (shares)]]*2+Tabla1[[#This Row],[Entry Price]]</f>
        <v>12.51</v>
      </c>
      <c r="S476" s="4">
        <f>Tabla1[[#This Row],[Initial Risk $]]/Tabla1[[#This Row],[Position Size (shares)]]*2.5+Tabla1[[#This Row],[Entry Price]]</f>
        <v>12.684999999999999</v>
      </c>
      <c r="T476" s="4">
        <f>Tabla1[[#This Row],[Initial Risk $]]/Tabla1[[#This Row],[Position Size (shares)]]*3+Tabla1[[#This Row],[Entry Price]]</f>
        <v>12.86</v>
      </c>
    </row>
    <row r="477" spans="1:20" customFormat="1" hidden="1" x14ac:dyDescent="0.25">
      <c r="A477" t="str">
        <f t="shared" ref="A477:A487" si="153">"T-"&amp; TEXT(ROW()-1,"000")</f>
        <v>T-476</v>
      </c>
      <c r="B477" s="1">
        <v>46216</v>
      </c>
      <c r="C477" t="s">
        <v>494</v>
      </c>
      <c r="D477" t="s">
        <v>28</v>
      </c>
      <c r="E477" t="s">
        <v>58</v>
      </c>
      <c r="F477">
        <v>662.71</v>
      </c>
      <c r="G477">
        <v>659.7</v>
      </c>
      <c r="H477">
        <f>Tabla1[[#This Row],[Entry Price]]-(Tabla1[[#This Row],[Entry Price]]-Tabla1[[#This Row],[Initial Stop]])/2</f>
        <v>661.20500000000004</v>
      </c>
      <c r="I477">
        <v>6</v>
      </c>
      <c r="J477">
        <f t="shared" ref="J477:J487" si="154">IF(D477="Long",(F477-G477)*I477,(G477-F477)*0)</f>
        <v>18.059999999999945</v>
      </c>
      <c r="K477">
        <v>1</v>
      </c>
      <c r="L477">
        <f t="shared" ref="L477:L487" si="155">J477*K477</f>
        <v>18.059999999999945</v>
      </c>
      <c r="M477" t="s">
        <v>72</v>
      </c>
      <c r="N477">
        <f>SUMIF(Executions!B:B,A477,Executions!H:H)</f>
        <v>-2.1000000000001364</v>
      </c>
      <c r="O477">
        <f t="shared" ref="O477:O487" si="156">N477/J477</f>
        <v>-0.11627906976744977</v>
      </c>
      <c r="P477" s="4">
        <f>Tabla1[[#This Row],[Initial Risk $]]/Tabla1[[#This Row],[Position Size (shares)]]+Tabla1[[#This Row],[Entry Price]]</f>
        <v>665.72</v>
      </c>
      <c r="Q477" s="4">
        <f>Tabla1[[#This Row],[Initial Risk $]]/Tabla1[[#This Row],[Position Size (shares)]]*1.5+Tabla1[[#This Row],[Entry Price]]</f>
        <v>667.22500000000002</v>
      </c>
      <c r="R477" s="4">
        <f>Tabla1[[#This Row],[Initial Risk $]]/Tabla1[[#This Row],[Position Size (shares)]]*2+Tabla1[[#This Row],[Entry Price]]</f>
        <v>668.73</v>
      </c>
      <c r="S477" s="4">
        <f>Tabla1[[#This Row],[Initial Risk $]]/Tabla1[[#This Row],[Position Size (shares)]]*2.5+Tabla1[[#This Row],[Entry Price]]</f>
        <v>670.23500000000001</v>
      </c>
      <c r="T477" s="4">
        <f>Tabla1[[#This Row],[Initial Risk $]]/Tabla1[[#This Row],[Position Size (shares)]]*3+Tabla1[[#This Row],[Entry Price]]</f>
        <v>671.74</v>
      </c>
    </row>
    <row r="478" spans="1:20" customFormat="1" hidden="1" x14ac:dyDescent="0.25">
      <c r="A478" t="str">
        <f t="shared" si="153"/>
        <v>T-477</v>
      </c>
      <c r="B478" s="1">
        <v>46216</v>
      </c>
      <c r="C478" t="s">
        <v>668</v>
      </c>
      <c r="D478" t="s">
        <v>28</v>
      </c>
      <c r="E478" t="s">
        <v>58</v>
      </c>
      <c r="F478">
        <v>113.77</v>
      </c>
      <c r="G478">
        <v>113.01</v>
      </c>
      <c r="H478">
        <f>Tabla1[[#This Row],[Entry Price]]-(Tabla1[[#This Row],[Entry Price]]-Tabla1[[#This Row],[Initial Stop]])/2</f>
        <v>113.39</v>
      </c>
      <c r="I478">
        <v>10</v>
      </c>
      <c r="J478">
        <f t="shared" si="154"/>
        <v>7.5999999999999091</v>
      </c>
      <c r="K478">
        <v>1</v>
      </c>
      <c r="L478">
        <f t="shared" si="155"/>
        <v>7.5999999999999091</v>
      </c>
      <c r="M478" t="s">
        <v>72</v>
      </c>
      <c r="N478">
        <f>SUMIF(Executions!B:B,A478,Executions!H:H)</f>
        <v>-7.6999999999999602</v>
      </c>
      <c r="O478">
        <f t="shared" si="156"/>
        <v>-1.0131578947368489</v>
      </c>
      <c r="P478" s="4">
        <f>Tabla1[[#This Row],[Initial Risk $]]/Tabla1[[#This Row],[Position Size (shares)]]+Tabla1[[#This Row],[Entry Price]]</f>
        <v>114.52999999999999</v>
      </c>
      <c r="Q478" s="4">
        <f>Tabla1[[#This Row],[Initial Risk $]]/Tabla1[[#This Row],[Position Size (shares)]]*1.5+Tabla1[[#This Row],[Entry Price]]</f>
        <v>114.90999999999998</v>
      </c>
      <c r="R478" s="4">
        <f>Tabla1[[#This Row],[Initial Risk $]]/Tabla1[[#This Row],[Position Size (shares)]]*2+Tabla1[[#This Row],[Entry Price]]</f>
        <v>115.28999999999998</v>
      </c>
      <c r="S478" s="4">
        <f>Tabla1[[#This Row],[Initial Risk $]]/Tabla1[[#This Row],[Position Size (shares)]]*2.5+Tabla1[[#This Row],[Entry Price]]</f>
        <v>115.66999999999997</v>
      </c>
      <c r="T478" s="4">
        <f>Tabla1[[#This Row],[Initial Risk $]]/Tabla1[[#This Row],[Position Size (shares)]]*3+Tabla1[[#This Row],[Entry Price]]</f>
        <v>116.04999999999997</v>
      </c>
    </row>
    <row r="479" spans="1:20" customFormat="1" hidden="1" x14ac:dyDescent="0.25">
      <c r="A479" t="str">
        <f t="shared" si="153"/>
        <v>T-478</v>
      </c>
      <c r="B479" s="1">
        <v>46216</v>
      </c>
      <c r="C479" t="s">
        <v>560</v>
      </c>
      <c r="D479" t="s">
        <v>28</v>
      </c>
      <c r="E479" t="s">
        <v>58</v>
      </c>
      <c r="F479">
        <v>70.900000000000006</v>
      </c>
      <c r="G479">
        <v>70.59</v>
      </c>
      <c r="H479">
        <f>Tabla1[[#This Row],[Entry Price]]-(Tabla1[[#This Row],[Entry Price]]-Tabla1[[#This Row],[Initial Stop]])/2</f>
        <v>70.745000000000005</v>
      </c>
      <c r="I479">
        <v>20</v>
      </c>
      <c r="J479">
        <f t="shared" si="154"/>
        <v>6.2000000000000455</v>
      </c>
      <c r="K479">
        <v>1</v>
      </c>
      <c r="L479">
        <f t="shared" si="155"/>
        <v>6.2000000000000455</v>
      </c>
      <c r="M479" t="s">
        <v>72</v>
      </c>
      <c r="N479">
        <f>SUMIF(Executions!B:B,A479,Executions!H:H)</f>
        <v>-6.2000000000000455</v>
      </c>
      <c r="O479">
        <f t="shared" si="156"/>
        <v>-1</v>
      </c>
      <c r="P479" s="4">
        <f>Tabla1[[#This Row],[Initial Risk $]]/Tabla1[[#This Row],[Position Size (shares)]]+Tabla1[[#This Row],[Entry Price]]</f>
        <v>71.210000000000008</v>
      </c>
      <c r="Q479" s="4">
        <f>Tabla1[[#This Row],[Initial Risk $]]/Tabla1[[#This Row],[Position Size (shares)]]*1.5+Tabla1[[#This Row],[Entry Price]]</f>
        <v>71.365000000000009</v>
      </c>
      <c r="R479" s="4">
        <f>Tabla1[[#This Row],[Initial Risk $]]/Tabla1[[#This Row],[Position Size (shares)]]*2+Tabla1[[#This Row],[Entry Price]]</f>
        <v>71.52000000000001</v>
      </c>
      <c r="S479" s="4">
        <f>Tabla1[[#This Row],[Initial Risk $]]/Tabla1[[#This Row],[Position Size (shares)]]*2.5+Tabla1[[#This Row],[Entry Price]]</f>
        <v>71.675000000000011</v>
      </c>
      <c r="T479" s="4">
        <f>Tabla1[[#This Row],[Initial Risk $]]/Tabla1[[#This Row],[Position Size (shares)]]*3+Tabla1[[#This Row],[Entry Price]]</f>
        <v>71.830000000000013</v>
      </c>
    </row>
    <row r="480" spans="1:20" customFormat="1" hidden="1" x14ac:dyDescent="0.25">
      <c r="A480" t="str">
        <f t="shared" si="153"/>
        <v>T-479</v>
      </c>
      <c r="B480" s="1">
        <v>46217</v>
      </c>
      <c r="C480" t="s">
        <v>154</v>
      </c>
      <c r="D480" t="s">
        <v>28</v>
      </c>
      <c r="E480" t="s">
        <v>119</v>
      </c>
      <c r="F480">
        <v>351.63</v>
      </c>
      <c r="G480">
        <v>349.63</v>
      </c>
      <c r="H480">
        <f>Tabla1[[#This Row],[Entry Price]]-(Tabla1[[#This Row],[Entry Price]]-Tabla1[[#This Row],[Initial Stop]])/2</f>
        <v>350.63</v>
      </c>
      <c r="I480">
        <v>3</v>
      </c>
      <c r="J480">
        <f t="shared" si="154"/>
        <v>6</v>
      </c>
      <c r="K480">
        <v>1</v>
      </c>
      <c r="L480">
        <f t="shared" si="155"/>
        <v>6</v>
      </c>
      <c r="M480" t="s">
        <v>72</v>
      </c>
      <c r="N480">
        <f>SUMIF(Executions!B:B,A480,Executions!H:H)</f>
        <v>11.279999999999973</v>
      </c>
      <c r="O480">
        <f t="shared" si="156"/>
        <v>1.8799999999999955</v>
      </c>
      <c r="P480" s="4">
        <f>Tabla1[[#This Row],[Initial Risk $]]/Tabla1[[#This Row],[Position Size (shares)]]+Tabla1[[#This Row],[Entry Price]]</f>
        <v>353.63</v>
      </c>
      <c r="Q480" s="4">
        <f>Tabla1[[#This Row],[Initial Risk $]]/Tabla1[[#This Row],[Position Size (shares)]]*1.5+Tabla1[[#This Row],[Entry Price]]</f>
        <v>354.63</v>
      </c>
      <c r="R480" s="4">
        <f>Tabla1[[#This Row],[Initial Risk $]]/Tabla1[[#This Row],[Position Size (shares)]]*2+Tabla1[[#This Row],[Entry Price]]</f>
        <v>355.63</v>
      </c>
      <c r="S480" s="4">
        <f>Tabla1[[#This Row],[Initial Risk $]]/Tabla1[[#This Row],[Position Size (shares)]]*2.5+Tabla1[[#This Row],[Entry Price]]</f>
        <v>356.63</v>
      </c>
      <c r="T480" s="4">
        <f>Tabla1[[#This Row],[Initial Risk $]]/Tabla1[[#This Row],[Position Size (shares)]]*3+Tabla1[[#This Row],[Entry Price]]</f>
        <v>357.63</v>
      </c>
    </row>
    <row r="481" spans="1:20" customFormat="1" hidden="1" x14ac:dyDescent="0.25">
      <c r="A481" t="str">
        <f t="shared" si="153"/>
        <v>T-480</v>
      </c>
      <c r="B481" s="1">
        <v>46217</v>
      </c>
      <c r="C481" t="s">
        <v>417</v>
      </c>
      <c r="D481" t="s">
        <v>28</v>
      </c>
      <c r="E481" t="s">
        <v>58</v>
      </c>
      <c r="F481">
        <v>451</v>
      </c>
      <c r="G481">
        <v>446</v>
      </c>
      <c r="H481">
        <f>Tabla1[[#This Row],[Entry Price]]-(Tabla1[[#This Row],[Entry Price]]-Tabla1[[#This Row],[Initial Stop]])/2</f>
        <v>448.5</v>
      </c>
      <c r="I481">
        <v>3</v>
      </c>
      <c r="J481">
        <f t="shared" si="154"/>
        <v>15</v>
      </c>
      <c r="K481">
        <v>1</v>
      </c>
      <c r="L481">
        <f t="shared" si="155"/>
        <v>15</v>
      </c>
      <c r="M481" t="s">
        <v>72</v>
      </c>
      <c r="N481">
        <f>SUMIF(Executions!B:B,A481,Executions!H:H)</f>
        <v>-0.56999999999999318</v>
      </c>
      <c r="O481">
        <f t="shared" si="156"/>
        <v>-3.7999999999999548E-2</v>
      </c>
      <c r="P481" s="4">
        <f>Tabla1[[#This Row],[Initial Risk $]]/Tabla1[[#This Row],[Position Size (shares)]]+Tabla1[[#This Row],[Entry Price]]</f>
        <v>456</v>
      </c>
      <c r="Q481" s="4">
        <f>Tabla1[[#This Row],[Initial Risk $]]/Tabla1[[#This Row],[Position Size (shares)]]*1.5+Tabla1[[#This Row],[Entry Price]]</f>
        <v>458.5</v>
      </c>
      <c r="R481" s="4">
        <f>Tabla1[[#This Row],[Initial Risk $]]/Tabla1[[#This Row],[Position Size (shares)]]*2+Tabla1[[#This Row],[Entry Price]]</f>
        <v>461</v>
      </c>
      <c r="S481" s="4">
        <f>Tabla1[[#This Row],[Initial Risk $]]/Tabla1[[#This Row],[Position Size (shares)]]*2.5+Tabla1[[#This Row],[Entry Price]]</f>
        <v>463.5</v>
      </c>
      <c r="T481" s="4">
        <f>Tabla1[[#This Row],[Initial Risk $]]/Tabla1[[#This Row],[Position Size (shares)]]*3+Tabla1[[#This Row],[Entry Price]]</f>
        <v>466</v>
      </c>
    </row>
    <row r="482" spans="1:20" customFormat="1" hidden="1" x14ac:dyDescent="0.25">
      <c r="A482" t="str">
        <f t="shared" si="153"/>
        <v>T-481</v>
      </c>
      <c r="B482" s="1">
        <v>46217</v>
      </c>
      <c r="C482" t="s">
        <v>550</v>
      </c>
      <c r="D482" t="s">
        <v>28</v>
      </c>
      <c r="E482" t="s">
        <v>119</v>
      </c>
      <c r="F482">
        <v>83.29</v>
      </c>
      <c r="G482">
        <v>82.79</v>
      </c>
      <c r="H482">
        <f>Tabla1[[#This Row],[Entry Price]]-(Tabla1[[#This Row],[Entry Price]]-Tabla1[[#This Row],[Initial Stop]])/2</f>
        <v>83.04</v>
      </c>
      <c r="I482">
        <v>12</v>
      </c>
      <c r="J482">
        <f t="shared" si="154"/>
        <v>6</v>
      </c>
      <c r="K482">
        <v>1</v>
      </c>
      <c r="L482">
        <f t="shared" si="155"/>
        <v>6</v>
      </c>
      <c r="M482" t="s">
        <v>72</v>
      </c>
      <c r="N482">
        <f>SUMIF(Executions!B:B,A482,Executions!H:H)</f>
        <v>-4.9200000000001296</v>
      </c>
      <c r="O482">
        <f t="shared" si="156"/>
        <v>-0.8200000000000216</v>
      </c>
      <c r="P482" s="4">
        <f>Tabla1[[#This Row],[Initial Risk $]]/Tabla1[[#This Row],[Position Size (shares)]]+Tabla1[[#This Row],[Entry Price]]</f>
        <v>83.79</v>
      </c>
      <c r="Q482" s="4">
        <f>Tabla1[[#This Row],[Initial Risk $]]/Tabla1[[#This Row],[Position Size (shares)]]*1.5+Tabla1[[#This Row],[Entry Price]]</f>
        <v>84.04</v>
      </c>
      <c r="R482" s="4">
        <f>Tabla1[[#This Row],[Initial Risk $]]/Tabla1[[#This Row],[Position Size (shares)]]*2+Tabla1[[#This Row],[Entry Price]]</f>
        <v>84.29</v>
      </c>
      <c r="S482" s="4">
        <f>Tabla1[[#This Row],[Initial Risk $]]/Tabla1[[#This Row],[Position Size (shares)]]*2.5+Tabla1[[#This Row],[Entry Price]]</f>
        <v>84.54</v>
      </c>
      <c r="T482" s="4">
        <f>Tabla1[[#This Row],[Initial Risk $]]/Tabla1[[#This Row],[Position Size (shares)]]*3+Tabla1[[#This Row],[Entry Price]]</f>
        <v>84.79</v>
      </c>
    </row>
    <row r="483" spans="1:20" customFormat="1" hidden="1" x14ac:dyDescent="0.25">
      <c r="A483" t="str">
        <f t="shared" si="153"/>
        <v>T-482</v>
      </c>
      <c r="B483" s="1">
        <v>46217</v>
      </c>
      <c r="C483" t="s">
        <v>86</v>
      </c>
      <c r="D483" t="s">
        <v>28</v>
      </c>
      <c r="E483" t="s">
        <v>50</v>
      </c>
      <c r="F483">
        <v>142.01</v>
      </c>
      <c r="G483">
        <v>141.58000000000001</v>
      </c>
      <c r="H483">
        <f>Tabla1[[#This Row],[Entry Price]]-(Tabla1[[#This Row],[Entry Price]]-Tabla1[[#This Row],[Initial Stop]])/2</f>
        <v>141.79500000000002</v>
      </c>
      <c r="I483">
        <v>10</v>
      </c>
      <c r="J483">
        <f t="shared" si="154"/>
        <v>4.299999999999784</v>
      </c>
      <c r="K483">
        <v>1</v>
      </c>
      <c r="L483">
        <f t="shared" si="155"/>
        <v>4.299999999999784</v>
      </c>
      <c r="M483" t="s">
        <v>72</v>
      </c>
      <c r="N483">
        <f>SUMIF(Executions!B:B,A483,Executions!H:H)</f>
        <v>-3.1000000000000227</v>
      </c>
      <c r="O483">
        <f t="shared" si="156"/>
        <v>-0.72093023255818101</v>
      </c>
      <c r="P483" s="4">
        <f>Tabla1[[#This Row],[Initial Risk $]]/Tabla1[[#This Row],[Position Size (shares)]]+Tabla1[[#This Row],[Entry Price]]</f>
        <v>142.43999999999997</v>
      </c>
      <c r="Q483" s="4">
        <f>Tabla1[[#This Row],[Initial Risk $]]/Tabla1[[#This Row],[Position Size (shares)]]*1.5+Tabla1[[#This Row],[Entry Price]]</f>
        <v>142.65499999999997</v>
      </c>
      <c r="R483" s="4">
        <f>Tabla1[[#This Row],[Initial Risk $]]/Tabla1[[#This Row],[Position Size (shares)]]*2+Tabla1[[#This Row],[Entry Price]]</f>
        <v>142.86999999999995</v>
      </c>
      <c r="S483" s="4">
        <f>Tabla1[[#This Row],[Initial Risk $]]/Tabla1[[#This Row],[Position Size (shares)]]*2.5+Tabla1[[#This Row],[Entry Price]]</f>
        <v>143.08499999999992</v>
      </c>
      <c r="T483" s="4">
        <f>Tabla1[[#This Row],[Initial Risk $]]/Tabla1[[#This Row],[Position Size (shares)]]*3+Tabla1[[#This Row],[Entry Price]]</f>
        <v>143.29999999999993</v>
      </c>
    </row>
    <row r="484" spans="1:20" customFormat="1" hidden="1" x14ac:dyDescent="0.25">
      <c r="A484" t="str">
        <f t="shared" si="153"/>
        <v>T-483</v>
      </c>
      <c r="B484" s="1">
        <v>46217</v>
      </c>
      <c r="C484" t="s">
        <v>718</v>
      </c>
      <c r="D484" t="s">
        <v>28</v>
      </c>
      <c r="E484" t="s">
        <v>119</v>
      </c>
      <c r="F484">
        <v>124.89</v>
      </c>
      <c r="G484">
        <v>124.21</v>
      </c>
      <c r="H484">
        <f>Tabla1[[#This Row],[Entry Price]]-(Tabla1[[#This Row],[Entry Price]]-Tabla1[[#This Row],[Initial Stop]])/2</f>
        <v>124.55</v>
      </c>
      <c r="I484">
        <v>10</v>
      </c>
      <c r="J484">
        <f t="shared" si="154"/>
        <v>6.8000000000000682</v>
      </c>
      <c r="K484">
        <v>1</v>
      </c>
      <c r="L484">
        <f t="shared" si="155"/>
        <v>6.8000000000000682</v>
      </c>
      <c r="M484" t="s">
        <v>72</v>
      </c>
      <c r="N484">
        <f>SUMIF(Executions!B:B,A484,Executions!H:H)</f>
        <v>-7.5</v>
      </c>
      <c r="O484">
        <f t="shared" si="156"/>
        <v>-1.1029411764705772</v>
      </c>
      <c r="P484" s="4">
        <f>Tabla1[[#This Row],[Initial Risk $]]/Tabla1[[#This Row],[Position Size (shares)]]+Tabla1[[#This Row],[Entry Price]]</f>
        <v>125.57000000000001</v>
      </c>
      <c r="Q484" s="4">
        <f>Tabla1[[#This Row],[Initial Risk $]]/Tabla1[[#This Row],[Position Size (shares)]]*1.5+Tabla1[[#This Row],[Entry Price]]</f>
        <v>125.91000000000001</v>
      </c>
      <c r="R484" s="4">
        <f>Tabla1[[#This Row],[Initial Risk $]]/Tabla1[[#This Row],[Position Size (shares)]]*2+Tabla1[[#This Row],[Entry Price]]</f>
        <v>126.25000000000001</v>
      </c>
      <c r="S484" s="4">
        <f>Tabla1[[#This Row],[Initial Risk $]]/Tabla1[[#This Row],[Position Size (shares)]]*2.5+Tabla1[[#This Row],[Entry Price]]</f>
        <v>126.59000000000002</v>
      </c>
      <c r="T484" s="4">
        <f>Tabla1[[#This Row],[Initial Risk $]]/Tabla1[[#This Row],[Position Size (shares)]]*3+Tabla1[[#This Row],[Entry Price]]</f>
        <v>126.93000000000002</v>
      </c>
    </row>
    <row r="485" spans="1:20" customFormat="1" hidden="1" x14ac:dyDescent="0.25">
      <c r="A485" t="str">
        <f t="shared" si="153"/>
        <v>T-484</v>
      </c>
      <c r="B485" s="1">
        <v>46217</v>
      </c>
      <c r="C485" t="s">
        <v>417</v>
      </c>
      <c r="D485" t="s">
        <v>28</v>
      </c>
      <c r="E485" t="s">
        <v>119</v>
      </c>
      <c r="F485">
        <v>452.99</v>
      </c>
      <c r="G485">
        <v>449.99</v>
      </c>
      <c r="H485">
        <f>Tabla1[[#This Row],[Entry Price]]-(Tabla1[[#This Row],[Entry Price]]-Tabla1[[#This Row],[Initial Stop]])/2</f>
        <v>451.49</v>
      </c>
      <c r="I485">
        <v>1</v>
      </c>
      <c r="J485">
        <f t="shared" si="154"/>
        <v>3</v>
      </c>
      <c r="K485">
        <v>1</v>
      </c>
      <c r="L485">
        <f t="shared" si="155"/>
        <v>3</v>
      </c>
      <c r="M485" t="s">
        <v>72</v>
      </c>
      <c r="N485">
        <f>SUMIF(Executions!B:B,A485,Executions!H:H)</f>
        <v>-3.3100000000000023</v>
      </c>
      <c r="O485">
        <f t="shared" si="156"/>
        <v>-1.1033333333333342</v>
      </c>
      <c r="P485" s="4">
        <f>Tabla1[[#This Row],[Initial Risk $]]/Tabla1[[#This Row],[Position Size (shares)]]+Tabla1[[#This Row],[Entry Price]]</f>
        <v>455.99</v>
      </c>
      <c r="Q485" s="4">
        <f>Tabla1[[#This Row],[Initial Risk $]]/Tabla1[[#This Row],[Position Size (shares)]]*1.5+Tabla1[[#This Row],[Entry Price]]</f>
        <v>457.49</v>
      </c>
      <c r="R485" s="4">
        <f>Tabla1[[#This Row],[Initial Risk $]]/Tabla1[[#This Row],[Position Size (shares)]]*2+Tabla1[[#This Row],[Entry Price]]</f>
        <v>458.99</v>
      </c>
      <c r="S485" s="4">
        <f>Tabla1[[#This Row],[Initial Risk $]]/Tabla1[[#This Row],[Position Size (shares)]]*2.5+Tabla1[[#This Row],[Entry Price]]</f>
        <v>460.49</v>
      </c>
      <c r="T485" s="4">
        <f>Tabla1[[#This Row],[Initial Risk $]]/Tabla1[[#This Row],[Position Size (shares)]]*3+Tabla1[[#This Row],[Entry Price]]</f>
        <v>461.99</v>
      </c>
    </row>
    <row r="486" spans="1:20" customFormat="1" hidden="1" x14ac:dyDescent="0.25">
      <c r="A486" t="str">
        <f t="shared" si="153"/>
        <v>T-485</v>
      </c>
      <c r="B486" s="1">
        <v>46217</v>
      </c>
      <c r="C486" t="s">
        <v>385</v>
      </c>
      <c r="D486" t="s">
        <v>28</v>
      </c>
      <c r="E486" t="s">
        <v>27</v>
      </c>
      <c r="F486">
        <v>5.01</v>
      </c>
      <c r="G486">
        <v>4.88</v>
      </c>
      <c r="H486">
        <f>Tabla1[[#This Row],[Entry Price]]-(Tabla1[[#This Row],[Entry Price]]-Tabla1[[#This Row],[Initial Stop]])/2</f>
        <v>4.9450000000000003</v>
      </c>
      <c r="I486">
        <v>50</v>
      </c>
      <c r="J486">
        <f t="shared" si="154"/>
        <v>6.4999999999999947</v>
      </c>
      <c r="K486">
        <v>1</v>
      </c>
      <c r="L486">
        <f t="shared" si="155"/>
        <v>6.4999999999999947</v>
      </c>
      <c r="M486" t="s">
        <v>72</v>
      </c>
      <c r="N486">
        <f>SUMIF(Executions!B:B,A486,Executions!H:H)</f>
        <v>-8.9999999999999858</v>
      </c>
      <c r="O486">
        <f t="shared" si="156"/>
        <v>-1.3846153846153835</v>
      </c>
      <c r="P486" s="4">
        <f>Tabla1[[#This Row],[Initial Risk $]]/Tabla1[[#This Row],[Position Size (shares)]]+Tabla1[[#This Row],[Entry Price]]</f>
        <v>5.14</v>
      </c>
      <c r="Q486" s="4">
        <f>Tabla1[[#This Row],[Initial Risk $]]/Tabla1[[#This Row],[Position Size (shares)]]*1.5+Tabla1[[#This Row],[Entry Price]]</f>
        <v>5.2050000000000001</v>
      </c>
      <c r="R486" s="4">
        <f>Tabla1[[#This Row],[Initial Risk $]]/Tabla1[[#This Row],[Position Size (shares)]]*2+Tabla1[[#This Row],[Entry Price]]</f>
        <v>5.27</v>
      </c>
      <c r="S486" s="4">
        <f>Tabla1[[#This Row],[Initial Risk $]]/Tabla1[[#This Row],[Position Size (shares)]]*2.5+Tabla1[[#This Row],[Entry Price]]</f>
        <v>5.3349999999999991</v>
      </c>
      <c r="T486" s="4">
        <f>Tabla1[[#This Row],[Initial Risk $]]/Tabla1[[#This Row],[Position Size (shares)]]*3+Tabla1[[#This Row],[Entry Price]]</f>
        <v>5.3999999999999995</v>
      </c>
    </row>
    <row r="487" spans="1:20" customFormat="1" hidden="1" x14ac:dyDescent="0.25">
      <c r="A487" t="str">
        <f t="shared" si="153"/>
        <v>T-486</v>
      </c>
      <c r="B487" s="1">
        <v>46217</v>
      </c>
      <c r="C487" t="s">
        <v>722</v>
      </c>
      <c r="D487" t="s">
        <v>28</v>
      </c>
      <c r="E487" t="s">
        <v>119</v>
      </c>
      <c r="F487">
        <v>19.600000000000001</v>
      </c>
      <c r="G487">
        <v>18.600000000000001</v>
      </c>
      <c r="H487">
        <f>Tabla1[[#This Row],[Entry Price]]-(Tabla1[[#This Row],[Entry Price]]-Tabla1[[#This Row],[Initial Stop]])/2</f>
        <v>19.100000000000001</v>
      </c>
      <c r="I487">
        <v>5</v>
      </c>
      <c r="J487">
        <f t="shared" si="154"/>
        <v>5</v>
      </c>
      <c r="K487">
        <v>1</v>
      </c>
      <c r="L487">
        <f t="shared" si="155"/>
        <v>5</v>
      </c>
      <c r="M487" t="s">
        <v>72</v>
      </c>
      <c r="N487">
        <f>SUMIF(Executions!B:B,A487,Executions!H:H)</f>
        <v>-3.720000000000006</v>
      </c>
      <c r="O487">
        <f t="shared" si="156"/>
        <v>-0.74400000000000122</v>
      </c>
      <c r="P487" s="4">
        <f>Tabla1[[#This Row],[Initial Risk $]]/Tabla1[[#This Row],[Position Size (shares)]]+Tabla1[[#This Row],[Entry Price]]</f>
        <v>20.6</v>
      </c>
      <c r="Q487" s="4">
        <f>Tabla1[[#This Row],[Initial Risk $]]/Tabla1[[#This Row],[Position Size (shares)]]*1.5+Tabla1[[#This Row],[Entry Price]]</f>
        <v>21.1</v>
      </c>
      <c r="R487" s="4">
        <f>Tabla1[[#This Row],[Initial Risk $]]/Tabla1[[#This Row],[Position Size (shares)]]*2+Tabla1[[#This Row],[Entry Price]]</f>
        <v>21.6</v>
      </c>
      <c r="S487" s="4">
        <f>Tabla1[[#This Row],[Initial Risk $]]/Tabla1[[#This Row],[Position Size (shares)]]*2.5+Tabla1[[#This Row],[Entry Price]]</f>
        <v>22.1</v>
      </c>
      <c r="T487" s="4">
        <f>Tabla1[[#This Row],[Initial Risk $]]/Tabla1[[#This Row],[Position Size (shares)]]*3+Tabla1[[#This Row],[Entry Price]]</f>
        <v>22.6</v>
      </c>
    </row>
    <row r="488" spans="1:20" customFormat="1" hidden="1" x14ac:dyDescent="0.25">
      <c r="A488" t="str">
        <f t="shared" ref="A488:A498" si="157">"T-"&amp; TEXT(ROW()-1,"000")</f>
        <v>T-487</v>
      </c>
      <c r="B488" s="1">
        <v>46218</v>
      </c>
      <c r="C488" t="s">
        <v>417</v>
      </c>
      <c r="D488" t="s">
        <v>28</v>
      </c>
      <c r="E488" t="s">
        <v>58</v>
      </c>
      <c r="F488">
        <v>452</v>
      </c>
      <c r="G488">
        <v>446</v>
      </c>
      <c r="H488">
        <f>Tabla1[[#This Row],[Entry Price]]-(Tabla1[[#This Row],[Entry Price]]-Tabla1[[#This Row],[Initial Stop]])/2</f>
        <v>449</v>
      </c>
      <c r="I488">
        <v>4</v>
      </c>
      <c r="J488">
        <f t="shared" ref="J488:J498" si="158">IF(D488="Long",(F488-G488)*I488,(G488-F488)*0)</f>
        <v>24</v>
      </c>
      <c r="K488">
        <v>1</v>
      </c>
      <c r="L488">
        <f t="shared" ref="L488:L498" si="159">J488*K488</f>
        <v>24</v>
      </c>
      <c r="M488" t="s">
        <v>72</v>
      </c>
      <c r="N488">
        <f>SUMIF(Executions!B:B,A488,Executions!H:H)</f>
        <v>0.40000000000009095</v>
      </c>
      <c r="O488">
        <f t="shared" ref="O488:O498" si="160">N488/J488</f>
        <v>1.6666666666670455E-2</v>
      </c>
      <c r="P488" s="4">
        <f>Tabla1[[#This Row],[Initial Risk $]]/Tabla1[[#This Row],[Position Size (shares)]]+Tabla1[[#This Row],[Entry Price]]</f>
        <v>458</v>
      </c>
      <c r="Q488" s="4">
        <f>Tabla1[[#This Row],[Initial Risk $]]/Tabla1[[#This Row],[Position Size (shares)]]*1.5+Tabla1[[#This Row],[Entry Price]]</f>
        <v>461</v>
      </c>
      <c r="R488" s="4">
        <f>Tabla1[[#This Row],[Initial Risk $]]/Tabla1[[#This Row],[Position Size (shares)]]*2+Tabla1[[#This Row],[Entry Price]]</f>
        <v>464</v>
      </c>
      <c r="S488" s="4">
        <f>Tabla1[[#This Row],[Initial Risk $]]/Tabla1[[#This Row],[Position Size (shares)]]*2.5+Tabla1[[#This Row],[Entry Price]]</f>
        <v>467</v>
      </c>
      <c r="T488" s="4">
        <f>Tabla1[[#This Row],[Initial Risk $]]/Tabla1[[#This Row],[Position Size (shares)]]*3+Tabla1[[#This Row],[Entry Price]]</f>
        <v>470</v>
      </c>
    </row>
    <row r="489" spans="1:20" customFormat="1" hidden="1" x14ac:dyDescent="0.25">
      <c r="A489" t="str">
        <f t="shared" si="157"/>
        <v>T-488</v>
      </c>
      <c r="B489" s="1">
        <v>46218</v>
      </c>
      <c r="C489" t="s">
        <v>186</v>
      </c>
      <c r="D489" t="s">
        <v>28</v>
      </c>
      <c r="E489" t="s">
        <v>58</v>
      </c>
      <c r="F489">
        <v>252.21</v>
      </c>
      <c r="G489">
        <v>250.37</v>
      </c>
      <c r="H489">
        <f>Tabla1[[#This Row],[Entry Price]]-(Tabla1[[#This Row],[Entry Price]]-Tabla1[[#This Row],[Initial Stop]])/2</f>
        <v>251.29000000000002</v>
      </c>
      <c r="I489">
        <v>5</v>
      </c>
      <c r="J489">
        <f t="shared" si="158"/>
        <v>9.2000000000000171</v>
      </c>
      <c r="K489">
        <v>1</v>
      </c>
      <c r="L489">
        <f t="shared" si="159"/>
        <v>9.2000000000000171</v>
      </c>
      <c r="M489" t="s">
        <v>72</v>
      </c>
      <c r="N489">
        <f>SUMIF(Executions!B:B,A489,Executions!H:H)</f>
        <v>-7.1999999999999886</v>
      </c>
      <c r="O489">
        <f t="shared" si="160"/>
        <v>-0.78260869565217117</v>
      </c>
      <c r="P489" s="4">
        <f>Tabla1[[#This Row],[Initial Risk $]]/Tabla1[[#This Row],[Position Size (shares)]]+Tabla1[[#This Row],[Entry Price]]</f>
        <v>254.05</v>
      </c>
      <c r="Q489" s="4">
        <f>Tabla1[[#This Row],[Initial Risk $]]/Tabla1[[#This Row],[Position Size (shares)]]*1.5+Tabla1[[#This Row],[Entry Price]]</f>
        <v>254.97000000000003</v>
      </c>
      <c r="R489" s="4">
        <f>Tabla1[[#This Row],[Initial Risk $]]/Tabla1[[#This Row],[Position Size (shares)]]*2+Tabla1[[#This Row],[Entry Price]]</f>
        <v>255.89000000000001</v>
      </c>
      <c r="S489" s="4">
        <f>Tabla1[[#This Row],[Initial Risk $]]/Tabla1[[#This Row],[Position Size (shares)]]*2.5+Tabla1[[#This Row],[Entry Price]]</f>
        <v>256.81</v>
      </c>
      <c r="T489" s="4">
        <f>Tabla1[[#This Row],[Initial Risk $]]/Tabla1[[#This Row],[Position Size (shares)]]*3+Tabla1[[#This Row],[Entry Price]]</f>
        <v>257.73</v>
      </c>
    </row>
    <row r="490" spans="1:20" customFormat="1" hidden="1" x14ac:dyDescent="0.25">
      <c r="A490" t="str">
        <f t="shared" si="157"/>
        <v>T-489</v>
      </c>
      <c r="B490" s="1">
        <v>46218</v>
      </c>
      <c r="C490" t="s">
        <v>724</v>
      </c>
      <c r="D490" t="s">
        <v>28</v>
      </c>
      <c r="E490" t="s">
        <v>58</v>
      </c>
      <c r="F490">
        <v>11.08</v>
      </c>
      <c r="G490">
        <v>10.99</v>
      </c>
      <c r="H490">
        <f>Tabla1[[#This Row],[Entry Price]]-(Tabla1[[#This Row],[Entry Price]]-Tabla1[[#This Row],[Initial Stop]])/2</f>
        <v>11.035</v>
      </c>
      <c r="I490">
        <v>30</v>
      </c>
      <c r="J490">
        <f t="shared" si="158"/>
        <v>2.6999999999999957</v>
      </c>
      <c r="K490">
        <v>1</v>
      </c>
      <c r="L490">
        <f t="shared" si="159"/>
        <v>2.6999999999999957</v>
      </c>
      <c r="M490" t="s">
        <v>72</v>
      </c>
      <c r="N490">
        <f>SUMIF(Executions!B:B,A490,Executions!H:H)</f>
        <v>11.400000000000023</v>
      </c>
      <c r="O490">
        <f t="shared" si="160"/>
        <v>4.2222222222222374</v>
      </c>
      <c r="P490" s="4">
        <f>Tabla1[[#This Row],[Initial Risk $]]/Tabla1[[#This Row],[Position Size (shares)]]+Tabla1[[#This Row],[Entry Price]]</f>
        <v>11.17</v>
      </c>
      <c r="Q490" s="4">
        <f>Tabla1[[#This Row],[Initial Risk $]]/Tabla1[[#This Row],[Position Size (shares)]]*1.5+Tabla1[[#This Row],[Entry Price]]</f>
        <v>11.215</v>
      </c>
      <c r="R490" s="4">
        <f>Tabla1[[#This Row],[Initial Risk $]]/Tabla1[[#This Row],[Position Size (shares)]]*2+Tabla1[[#This Row],[Entry Price]]</f>
        <v>11.26</v>
      </c>
      <c r="S490" s="4">
        <f>Tabla1[[#This Row],[Initial Risk $]]/Tabla1[[#This Row],[Position Size (shares)]]*2.5+Tabla1[[#This Row],[Entry Price]]</f>
        <v>11.305</v>
      </c>
      <c r="T490" s="4">
        <f>Tabla1[[#This Row],[Initial Risk $]]/Tabla1[[#This Row],[Position Size (shares)]]*3+Tabla1[[#This Row],[Entry Price]]</f>
        <v>11.35</v>
      </c>
    </row>
    <row r="491" spans="1:20" customFormat="1" hidden="1" x14ac:dyDescent="0.25">
      <c r="A491" t="str">
        <f t="shared" si="157"/>
        <v>T-490</v>
      </c>
      <c r="B491" s="1">
        <v>46218</v>
      </c>
      <c r="C491" t="s">
        <v>383</v>
      </c>
      <c r="D491" t="s">
        <v>28</v>
      </c>
      <c r="E491" t="s">
        <v>119</v>
      </c>
      <c r="F491">
        <v>211.43</v>
      </c>
      <c r="G491">
        <v>210.32</v>
      </c>
      <c r="H491">
        <f>Tabla1[[#This Row],[Entry Price]]-(Tabla1[[#This Row],[Entry Price]]-Tabla1[[#This Row],[Initial Stop]])/2</f>
        <v>210.875</v>
      </c>
      <c r="I491">
        <v>5</v>
      </c>
      <c r="J491">
        <f t="shared" si="158"/>
        <v>5.5500000000000682</v>
      </c>
      <c r="K491">
        <v>1</v>
      </c>
      <c r="L491">
        <f t="shared" si="159"/>
        <v>5.5500000000000682</v>
      </c>
      <c r="M491" t="s">
        <v>72</v>
      </c>
      <c r="N491">
        <f>SUMIF(Executions!B:B,A491,Executions!H:H)</f>
        <v>-5.3499999999999659</v>
      </c>
      <c r="O491">
        <f t="shared" si="160"/>
        <v>-0.96396396396394601</v>
      </c>
      <c r="P491" s="4">
        <f>Tabla1[[#This Row],[Initial Risk $]]/Tabla1[[#This Row],[Position Size (shares)]]+Tabla1[[#This Row],[Entry Price]]</f>
        <v>212.54000000000002</v>
      </c>
      <c r="Q491" s="4">
        <f>Tabla1[[#This Row],[Initial Risk $]]/Tabla1[[#This Row],[Position Size (shares)]]*1.5+Tabla1[[#This Row],[Entry Price]]</f>
        <v>213.09500000000003</v>
      </c>
      <c r="R491" s="4">
        <f>Tabla1[[#This Row],[Initial Risk $]]/Tabla1[[#This Row],[Position Size (shares)]]*2+Tabla1[[#This Row],[Entry Price]]</f>
        <v>213.65000000000003</v>
      </c>
      <c r="S491" s="4">
        <f>Tabla1[[#This Row],[Initial Risk $]]/Tabla1[[#This Row],[Position Size (shares)]]*2.5+Tabla1[[#This Row],[Entry Price]]</f>
        <v>214.20500000000004</v>
      </c>
      <c r="T491" s="4">
        <f>Tabla1[[#This Row],[Initial Risk $]]/Tabla1[[#This Row],[Position Size (shares)]]*3+Tabla1[[#This Row],[Entry Price]]</f>
        <v>214.76000000000005</v>
      </c>
    </row>
    <row r="492" spans="1:20" customFormat="1" hidden="1" x14ac:dyDescent="0.25">
      <c r="A492" t="str">
        <f t="shared" si="157"/>
        <v>T-491</v>
      </c>
      <c r="B492" s="1">
        <v>46218</v>
      </c>
      <c r="C492" t="s">
        <v>102</v>
      </c>
      <c r="D492" t="s">
        <v>28</v>
      </c>
      <c r="E492" t="s">
        <v>50</v>
      </c>
      <c r="F492">
        <v>52.61</v>
      </c>
      <c r="G492">
        <v>51.7</v>
      </c>
      <c r="H492">
        <f>Tabla1[[#This Row],[Entry Price]]-(Tabla1[[#This Row],[Entry Price]]-Tabla1[[#This Row],[Initial Stop]])/2</f>
        <v>52.155000000000001</v>
      </c>
      <c r="I492">
        <v>10</v>
      </c>
      <c r="J492">
        <f t="shared" si="158"/>
        <v>9.0999999999999659</v>
      </c>
      <c r="K492">
        <v>1</v>
      </c>
      <c r="L492">
        <f t="shared" si="159"/>
        <v>9.0999999999999659</v>
      </c>
      <c r="M492" t="s">
        <v>72</v>
      </c>
      <c r="N492">
        <f>SUMIF(Executions!B:B,A492,Executions!H:H)</f>
        <v>-8.5999999999999943</v>
      </c>
      <c r="O492">
        <f t="shared" si="160"/>
        <v>-0.94505494505494803</v>
      </c>
      <c r="P492" s="4">
        <f>Tabla1[[#This Row],[Initial Risk $]]/Tabla1[[#This Row],[Position Size (shares)]]+Tabla1[[#This Row],[Entry Price]]</f>
        <v>53.519999999999996</v>
      </c>
      <c r="Q492" s="4">
        <f>Tabla1[[#This Row],[Initial Risk $]]/Tabla1[[#This Row],[Position Size (shares)]]*1.5+Tabla1[[#This Row],[Entry Price]]</f>
        <v>53.974999999999994</v>
      </c>
      <c r="R492" s="4">
        <f>Tabla1[[#This Row],[Initial Risk $]]/Tabla1[[#This Row],[Position Size (shares)]]*2+Tabla1[[#This Row],[Entry Price]]</f>
        <v>54.429999999999993</v>
      </c>
      <c r="S492" s="4">
        <f>Tabla1[[#This Row],[Initial Risk $]]/Tabla1[[#This Row],[Position Size (shares)]]*2.5+Tabla1[[#This Row],[Entry Price]]</f>
        <v>54.884999999999991</v>
      </c>
      <c r="T492" s="4">
        <f>Tabla1[[#This Row],[Initial Risk $]]/Tabla1[[#This Row],[Position Size (shares)]]*3+Tabla1[[#This Row],[Entry Price]]</f>
        <v>55.339999999999989</v>
      </c>
    </row>
    <row r="493" spans="1:20" customFormat="1" hidden="1" x14ac:dyDescent="0.25">
      <c r="A493" t="str">
        <f t="shared" si="157"/>
        <v>T-492</v>
      </c>
      <c r="B493" s="1">
        <v>46219</v>
      </c>
      <c r="C493" t="s">
        <v>561</v>
      </c>
      <c r="D493" t="s">
        <v>28</v>
      </c>
      <c r="E493" t="s">
        <v>50</v>
      </c>
      <c r="F493">
        <v>150.16999999999999</v>
      </c>
      <c r="G493">
        <v>149.52000000000001</v>
      </c>
      <c r="H493">
        <f>Tabla1[[#This Row],[Entry Price]]-(Tabla1[[#This Row],[Entry Price]]-Tabla1[[#This Row],[Initial Stop]])/2</f>
        <v>149.845</v>
      </c>
      <c r="I493">
        <v>10</v>
      </c>
      <c r="J493">
        <f t="shared" si="158"/>
        <v>6.4999999999997726</v>
      </c>
      <c r="K493">
        <v>1</v>
      </c>
      <c r="L493">
        <f t="shared" si="159"/>
        <v>6.4999999999997726</v>
      </c>
      <c r="M493" t="s">
        <v>72</v>
      </c>
      <c r="N493">
        <f>SUMIF(Executions!B:B,A493,Executions!H:H)</f>
        <v>-6.6999999999998749</v>
      </c>
      <c r="O493">
        <f t="shared" si="160"/>
        <v>-1.0307692307692475</v>
      </c>
      <c r="P493" s="4">
        <f>Tabla1[[#This Row],[Initial Risk $]]/Tabla1[[#This Row],[Position Size (shares)]]+Tabla1[[#This Row],[Entry Price]]</f>
        <v>150.81999999999996</v>
      </c>
      <c r="Q493" s="4">
        <f>Tabla1[[#This Row],[Initial Risk $]]/Tabla1[[#This Row],[Position Size (shares)]]*1.5+Tabla1[[#This Row],[Entry Price]]</f>
        <v>151.14499999999995</v>
      </c>
      <c r="R493" s="4">
        <f>Tabla1[[#This Row],[Initial Risk $]]/Tabla1[[#This Row],[Position Size (shares)]]*2+Tabla1[[#This Row],[Entry Price]]</f>
        <v>151.46999999999994</v>
      </c>
      <c r="S493" s="4">
        <f>Tabla1[[#This Row],[Initial Risk $]]/Tabla1[[#This Row],[Position Size (shares)]]*2.5+Tabla1[[#This Row],[Entry Price]]</f>
        <v>151.79499999999993</v>
      </c>
      <c r="T493" s="4">
        <f>Tabla1[[#This Row],[Initial Risk $]]/Tabla1[[#This Row],[Position Size (shares)]]*3+Tabla1[[#This Row],[Entry Price]]</f>
        <v>152.11999999999992</v>
      </c>
    </row>
    <row r="494" spans="1:20" customFormat="1" hidden="1" x14ac:dyDescent="0.25">
      <c r="A494" t="str">
        <f t="shared" si="157"/>
        <v>T-493</v>
      </c>
      <c r="B494" s="1">
        <v>46219</v>
      </c>
      <c r="C494" t="s">
        <v>187</v>
      </c>
      <c r="D494" t="s">
        <v>28</v>
      </c>
      <c r="E494" t="s">
        <v>50</v>
      </c>
      <c r="F494">
        <v>98.04</v>
      </c>
      <c r="G494">
        <v>97.36</v>
      </c>
      <c r="H494">
        <f>Tabla1[[#This Row],[Entry Price]]-(Tabla1[[#This Row],[Entry Price]]-Tabla1[[#This Row],[Initial Stop]])/2</f>
        <v>97.7</v>
      </c>
      <c r="I494">
        <v>10</v>
      </c>
      <c r="J494">
        <f t="shared" si="158"/>
        <v>6.8000000000000682</v>
      </c>
      <c r="K494">
        <v>1</v>
      </c>
      <c r="L494">
        <f t="shared" si="159"/>
        <v>6.8000000000000682</v>
      </c>
      <c r="M494" t="s">
        <v>72</v>
      </c>
      <c r="N494">
        <f>SUMIF(Executions!B:B,A494,Executions!H:H)</f>
        <v>-7.4000000000000909</v>
      </c>
      <c r="O494">
        <f t="shared" si="160"/>
        <v>-1.0882352941176494</v>
      </c>
      <c r="P494" s="4">
        <f>Tabla1[[#This Row],[Initial Risk $]]/Tabla1[[#This Row],[Position Size (shares)]]+Tabla1[[#This Row],[Entry Price]]</f>
        <v>98.720000000000013</v>
      </c>
      <c r="Q494" s="4">
        <f>Tabla1[[#This Row],[Initial Risk $]]/Tabla1[[#This Row],[Position Size (shares)]]*1.5+Tabla1[[#This Row],[Entry Price]]</f>
        <v>99.060000000000016</v>
      </c>
      <c r="R494" s="4">
        <f>Tabla1[[#This Row],[Initial Risk $]]/Tabla1[[#This Row],[Position Size (shares)]]*2+Tabla1[[#This Row],[Entry Price]]</f>
        <v>99.40000000000002</v>
      </c>
      <c r="S494" s="4">
        <f>Tabla1[[#This Row],[Initial Risk $]]/Tabla1[[#This Row],[Position Size (shares)]]*2.5+Tabla1[[#This Row],[Entry Price]]</f>
        <v>99.740000000000023</v>
      </c>
      <c r="T494" s="4">
        <f>Tabla1[[#This Row],[Initial Risk $]]/Tabla1[[#This Row],[Position Size (shares)]]*3+Tabla1[[#This Row],[Entry Price]]</f>
        <v>100.08000000000003</v>
      </c>
    </row>
    <row r="495" spans="1:20" customFormat="1" hidden="1" x14ac:dyDescent="0.25">
      <c r="A495" t="str">
        <f t="shared" si="157"/>
        <v>T-494</v>
      </c>
      <c r="B495" s="1">
        <v>46219</v>
      </c>
      <c r="C495" t="s">
        <v>186</v>
      </c>
      <c r="D495" t="s">
        <v>28</v>
      </c>
      <c r="E495" t="s">
        <v>119</v>
      </c>
      <c r="F495">
        <v>254.51</v>
      </c>
      <c r="G495">
        <v>253.42</v>
      </c>
      <c r="H495">
        <f>Tabla1[[#This Row],[Entry Price]]-(Tabla1[[#This Row],[Entry Price]]-Tabla1[[#This Row],[Initial Stop]])/2</f>
        <v>253.96499999999997</v>
      </c>
      <c r="I495">
        <v>5</v>
      </c>
      <c r="J495">
        <f t="shared" si="158"/>
        <v>5.4500000000000171</v>
      </c>
      <c r="K495">
        <v>1</v>
      </c>
      <c r="L495">
        <f t="shared" si="159"/>
        <v>5.4500000000000171</v>
      </c>
      <c r="M495" t="s">
        <v>72</v>
      </c>
      <c r="N495">
        <f>SUMIF(Executions!B:B,A495,Executions!H:H)</f>
        <v>-5.5499999999999261</v>
      </c>
      <c r="O495">
        <f t="shared" si="160"/>
        <v>-1.0183486238531942</v>
      </c>
      <c r="P495" s="4">
        <f>Tabla1[[#This Row],[Initial Risk $]]/Tabla1[[#This Row],[Position Size (shares)]]+Tabla1[[#This Row],[Entry Price]]</f>
        <v>255.6</v>
      </c>
      <c r="Q495" s="4">
        <f>Tabla1[[#This Row],[Initial Risk $]]/Tabla1[[#This Row],[Position Size (shares)]]*1.5+Tabla1[[#This Row],[Entry Price]]</f>
        <v>256.14499999999998</v>
      </c>
      <c r="R495" s="4">
        <f>Tabla1[[#This Row],[Initial Risk $]]/Tabla1[[#This Row],[Position Size (shares)]]*2+Tabla1[[#This Row],[Entry Price]]</f>
        <v>256.69</v>
      </c>
      <c r="S495" s="4">
        <f>Tabla1[[#This Row],[Initial Risk $]]/Tabla1[[#This Row],[Position Size (shares)]]*2.5+Tabla1[[#This Row],[Entry Price]]</f>
        <v>257.23500000000001</v>
      </c>
      <c r="T495" s="4">
        <f>Tabla1[[#This Row],[Initial Risk $]]/Tabla1[[#This Row],[Position Size (shares)]]*3+Tabla1[[#This Row],[Entry Price]]</f>
        <v>257.77999999999997</v>
      </c>
    </row>
    <row r="496" spans="1:20" customFormat="1" hidden="1" x14ac:dyDescent="0.25">
      <c r="A496" t="str">
        <f t="shared" si="157"/>
        <v>T-495</v>
      </c>
      <c r="B496" s="1">
        <v>46219</v>
      </c>
      <c r="C496" t="s">
        <v>494</v>
      </c>
      <c r="D496" t="s">
        <v>28</v>
      </c>
      <c r="E496" t="s">
        <v>119</v>
      </c>
      <c r="F496">
        <v>670.61</v>
      </c>
      <c r="G496">
        <v>665</v>
      </c>
      <c r="H496">
        <f>Tabla1[[#This Row],[Entry Price]]-(Tabla1[[#This Row],[Entry Price]]-Tabla1[[#This Row],[Initial Stop]])/2</f>
        <v>667.80500000000006</v>
      </c>
      <c r="I496">
        <v>2</v>
      </c>
      <c r="J496">
        <f t="shared" si="158"/>
        <v>11.220000000000027</v>
      </c>
      <c r="K496">
        <v>1</v>
      </c>
      <c r="L496">
        <f t="shared" si="159"/>
        <v>11.220000000000027</v>
      </c>
      <c r="M496" t="s">
        <v>72</v>
      </c>
      <c r="N496">
        <f>SUMIF(Executions!B:B,A496,Executions!H:H)</f>
        <v>-0.10000000000013642</v>
      </c>
      <c r="O496">
        <f t="shared" si="160"/>
        <v>-8.9126559714916391E-3</v>
      </c>
      <c r="P496" s="4">
        <f>Tabla1[[#This Row],[Initial Risk $]]/Tabla1[[#This Row],[Position Size (shares)]]+Tabla1[[#This Row],[Entry Price]]</f>
        <v>676.22</v>
      </c>
      <c r="Q496" s="4">
        <f>Tabla1[[#This Row],[Initial Risk $]]/Tabla1[[#This Row],[Position Size (shares)]]*1.5+Tabla1[[#This Row],[Entry Price]]</f>
        <v>679.02500000000009</v>
      </c>
      <c r="R496" s="4">
        <f>Tabla1[[#This Row],[Initial Risk $]]/Tabla1[[#This Row],[Position Size (shares)]]*2+Tabla1[[#This Row],[Entry Price]]</f>
        <v>681.83</v>
      </c>
      <c r="S496" s="4">
        <f>Tabla1[[#This Row],[Initial Risk $]]/Tabla1[[#This Row],[Position Size (shares)]]*2.5+Tabla1[[#This Row],[Entry Price]]</f>
        <v>684.63499999999999</v>
      </c>
      <c r="T496" s="4">
        <f>Tabla1[[#This Row],[Initial Risk $]]/Tabla1[[#This Row],[Position Size (shares)]]*3+Tabla1[[#This Row],[Entry Price]]</f>
        <v>687.44</v>
      </c>
    </row>
    <row r="497" spans="1:20" customFormat="1" hidden="1" x14ac:dyDescent="0.25">
      <c r="A497" t="str">
        <f t="shared" si="157"/>
        <v>T-496</v>
      </c>
      <c r="B497" s="1">
        <v>46219</v>
      </c>
      <c r="C497" t="s">
        <v>417</v>
      </c>
      <c r="D497" t="s">
        <v>28</v>
      </c>
      <c r="E497" t="s">
        <v>119</v>
      </c>
      <c r="F497">
        <v>435.73</v>
      </c>
      <c r="G497">
        <v>432</v>
      </c>
      <c r="H497">
        <f>Tabla1[[#This Row],[Entry Price]]-(Tabla1[[#This Row],[Entry Price]]-Tabla1[[#This Row],[Initial Stop]])/2</f>
        <v>433.86500000000001</v>
      </c>
      <c r="I497">
        <v>2</v>
      </c>
      <c r="J497">
        <f t="shared" si="158"/>
        <v>7.4600000000000364</v>
      </c>
      <c r="K497">
        <v>1</v>
      </c>
      <c r="L497">
        <f t="shared" si="159"/>
        <v>7.4600000000000364</v>
      </c>
      <c r="M497" t="s">
        <v>72</v>
      </c>
      <c r="N497">
        <f>SUMIF(Executions!B:B,A497,Executions!H:H)</f>
        <v>6.5399999999999636</v>
      </c>
      <c r="O497">
        <f t="shared" si="160"/>
        <v>0.87667560321714899</v>
      </c>
      <c r="P497" s="4">
        <f>Tabla1[[#This Row],[Initial Risk $]]/Tabla1[[#This Row],[Position Size (shares)]]+Tabla1[[#This Row],[Entry Price]]</f>
        <v>439.46000000000004</v>
      </c>
      <c r="Q497" s="4">
        <f>Tabla1[[#This Row],[Initial Risk $]]/Tabla1[[#This Row],[Position Size (shares)]]*1.5+Tabla1[[#This Row],[Entry Price]]</f>
        <v>441.32500000000005</v>
      </c>
      <c r="R497" s="4">
        <f>Tabla1[[#This Row],[Initial Risk $]]/Tabla1[[#This Row],[Position Size (shares)]]*2+Tabla1[[#This Row],[Entry Price]]</f>
        <v>443.19000000000005</v>
      </c>
      <c r="S497" s="4">
        <f>Tabla1[[#This Row],[Initial Risk $]]/Tabla1[[#This Row],[Position Size (shares)]]*2.5+Tabla1[[#This Row],[Entry Price]]</f>
        <v>445.05500000000006</v>
      </c>
      <c r="T497" s="4">
        <f>Tabla1[[#This Row],[Initial Risk $]]/Tabla1[[#This Row],[Position Size (shares)]]*3+Tabla1[[#This Row],[Entry Price]]</f>
        <v>446.92000000000007</v>
      </c>
    </row>
    <row r="498" spans="1:20" customFormat="1" hidden="1" x14ac:dyDescent="0.25">
      <c r="A498" t="str">
        <f t="shared" si="157"/>
        <v>T-497</v>
      </c>
      <c r="B498" s="1">
        <v>46219</v>
      </c>
      <c r="C498" t="s">
        <v>181</v>
      </c>
      <c r="D498" t="s">
        <v>28</v>
      </c>
      <c r="E498" t="s">
        <v>58</v>
      </c>
      <c r="F498">
        <v>11.74</v>
      </c>
      <c r="G498">
        <v>11.57</v>
      </c>
      <c r="H498">
        <f>Tabla1[[#This Row],[Entry Price]]-(Tabla1[[#This Row],[Entry Price]]-Tabla1[[#This Row],[Initial Stop]])/2</f>
        <v>11.655000000000001</v>
      </c>
      <c r="I498">
        <v>30</v>
      </c>
      <c r="J498">
        <f t="shared" si="158"/>
        <v>5.0999999999999979</v>
      </c>
      <c r="K498">
        <v>1</v>
      </c>
      <c r="L498">
        <f t="shared" si="159"/>
        <v>5.0999999999999979</v>
      </c>
      <c r="M498" t="s">
        <v>72</v>
      </c>
      <c r="N498">
        <f>SUMIF(Executions!B:B,A498,Executions!H:H)</f>
        <v>11.39999999999997</v>
      </c>
      <c r="O498">
        <f t="shared" si="160"/>
        <v>2.235294117647054</v>
      </c>
      <c r="P498" s="4">
        <f>Tabla1[[#This Row],[Initial Risk $]]/Tabla1[[#This Row],[Position Size (shares)]]+Tabla1[[#This Row],[Entry Price]]</f>
        <v>11.91</v>
      </c>
      <c r="Q498" s="4">
        <f>Tabla1[[#This Row],[Initial Risk $]]/Tabla1[[#This Row],[Position Size (shares)]]*1.5+Tabla1[[#This Row],[Entry Price]]</f>
        <v>11.995000000000001</v>
      </c>
      <c r="R498" s="4">
        <f>Tabla1[[#This Row],[Initial Risk $]]/Tabla1[[#This Row],[Position Size (shares)]]*2+Tabla1[[#This Row],[Entry Price]]</f>
        <v>12.08</v>
      </c>
      <c r="S498" s="4">
        <f>Tabla1[[#This Row],[Initial Risk $]]/Tabla1[[#This Row],[Position Size (shares)]]*2.5+Tabla1[[#This Row],[Entry Price]]</f>
        <v>12.164999999999999</v>
      </c>
      <c r="T498" s="4">
        <f>Tabla1[[#This Row],[Initial Risk $]]/Tabla1[[#This Row],[Position Size (shares)]]*3+Tabla1[[#This Row],[Entry Price]]</f>
        <v>12.25</v>
      </c>
    </row>
    <row r="499" spans="1:20" customFormat="1" hidden="1" x14ac:dyDescent="0.25">
      <c r="A499" t="str">
        <f t="shared" ref="A499:A509" si="161">"T-"&amp; TEXT(ROW()-1,"000")</f>
        <v>T-498</v>
      </c>
      <c r="B499" s="1">
        <v>46220</v>
      </c>
      <c r="C499" t="s">
        <v>737</v>
      </c>
      <c r="D499" t="s">
        <v>28</v>
      </c>
      <c r="E499" t="s">
        <v>58</v>
      </c>
      <c r="F499">
        <v>101.38</v>
      </c>
      <c r="G499">
        <v>100.38</v>
      </c>
      <c r="H499">
        <f>Tabla1[[#This Row],[Entry Price]]-(Tabla1[[#This Row],[Entry Price]]-Tabla1[[#This Row],[Initial Stop]])/2</f>
        <v>100.88</v>
      </c>
      <c r="I499">
        <v>10</v>
      </c>
      <c r="J499">
        <f t="shared" ref="J499:J509" si="162">IF(D499="Long",(F499-G499)*I499,(G499-F499)*0)</f>
        <v>10</v>
      </c>
      <c r="K499">
        <v>1</v>
      </c>
      <c r="L499">
        <f t="shared" ref="L499:L509" si="163">J499*K499</f>
        <v>10</v>
      </c>
      <c r="M499" t="s">
        <v>72</v>
      </c>
      <c r="N499">
        <f>SUMIF(Executions!B:B,A499,Executions!H:H)</f>
        <v>-13.299999999999983</v>
      </c>
      <c r="O499">
        <f t="shared" ref="O499:O509" si="164">N499/J499</f>
        <v>-1.3299999999999983</v>
      </c>
      <c r="P499" s="4">
        <f>Tabla1[[#This Row],[Initial Risk $]]/Tabla1[[#This Row],[Position Size (shares)]]+Tabla1[[#This Row],[Entry Price]]</f>
        <v>102.38</v>
      </c>
      <c r="Q499" s="4">
        <f>Tabla1[[#This Row],[Initial Risk $]]/Tabla1[[#This Row],[Position Size (shares)]]*1.5+Tabla1[[#This Row],[Entry Price]]</f>
        <v>102.88</v>
      </c>
      <c r="R499" s="4">
        <f>Tabla1[[#This Row],[Initial Risk $]]/Tabla1[[#This Row],[Position Size (shares)]]*2+Tabla1[[#This Row],[Entry Price]]</f>
        <v>103.38</v>
      </c>
      <c r="S499" s="4">
        <f>Tabla1[[#This Row],[Initial Risk $]]/Tabla1[[#This Row],[Position Size (shares)]]*2.5+Tabla1[[#This Row],[Entry Price]]</f>
        <v>103.88</v>
      </c>
      <c r="T499" s="4">
        <f>Tabla1[[#This Row],[Initial Risk $]]/Tabla1[[#This Row],[Position Size (shares)]]*3+Tabla1[[#This Row],[Entry Price]]</f>
        <v>104.38</v>
      </c>
    </row>
    <row r="500" spans="1:20" customFormat="1" hidden="1" x14ac:dyDescent="0.25">
      <c r="A500" t="str">
        <f t="shared" si="161"/>
        <v>T-499</v>
      </c>
      <c r="B500" s="1">
        <v>46220</v>
      </c>
      <c r="C500" t="s">
        <v>255</v>
      </c>
      <c r="D500" t="s">
        <v>28</v>
      </c>
      <c r="E500" t="s">
        <v>58</v>
      </c>
      <c r="F500">
        <v>334.42</v>
      </c>
      <c r="G500">
        <v>332.7</v>
      </c>
      <c r="H500">
        <f>Tabla1[[#This Row],[Entry Price]]-(Tabla1[[#This Row],[Entry Price]]-Tabla1[[#This Row],[Initial Stop]])/2</f>
        <v>333.56</v>
      </c>
      <c r="I500">
        <v>3</v>
      </c>
      <c r="J500">
        <f t="shared" si="162"/>
        <v>5.1600000000000819</v>
      </c>
      <c r="K500">
        <v>1</v>
      </c>
      <c r="L500">
        <f t="shared" si="163"/>
        <v>5.1600000000000819</v>
      </c>
      <c r="M500" t="s">
        <v>72</v>
      </c>
      <c r="N500">
        <f>SUMIF(Executions!B:B,A500,Executions!H:H)</f>
        <v>-5.1600000000000819</v>
      </c>
      <c r="O500">
        <f t="shared" si="164"/>
        <v>-1</v>
      </c>
      <c r="P500" s="4">
        <f>Tabla1[[#This Row],[Initial Risk $]]/Tabla1[[#This Row],[Position Size (shares)]]+Tabla1[[#This Row],[Entry Price]]</f>
        <v>336.14000000000004</v>
      </c>
      <c r="Q500" s="4">
        <f>Tabla1[[#This Row],[Initial Risk $]]/Tabla1[[#This Row],[Position Size (shares)]]*1.5+Tabla1[[#This Row],[Entry Price]]</f>
        <v>337.00000000000006</v>
      </c>
      <c r="R500" s="4">
        <f>Tabla1[[#This Row],[Initial Risk $]]/Tabla1[[#This Row],[Position Size (shares)]]*2+Tabla1[[#This Row],[Entry Price]]</f>
        <v>337.86000000000007</v>
      </c>
      <c r="S500" s="4">
        <f>Tabla1[[#This Row],[Initial Risk $]]/Tabla1[[#This Row],[Position Size (shares)]]*2.5+Tabla1[[#This Row],[Entry Price]]</f>
        <v>338.72000000000008</v>
      </c>
      <c r="T500" s="4">
        <f>Tabla1[[#This Row],[Initial Risk $]]/Tabla1[[#This Row],[Position Size (shares)]]*3+Tabla1[[#This Row],[Entry Price]]</f>
        <v>339.5800000000001</v>
      </c>
    </row>
    <row r="501" spans="1:20" customFormat="1" hidden="1" x14ac:dyDescent="0.25">
      <c r="A501" t="str">
        <f t="shared" si="161"/>
        <v>T-500</v>
      </c>
      <c r="B501" s="1">
        <v>46220</v>
      </c>
      <c r="C501" t="s">
        <v>417</v>
      </c>
      <c r="D501" t="s">
        <v>28</v>
      </c>
      <c r="E501" t="s">
        <v>119</v>
      </c>
      <c r="F501">
        <v>423.33</v>
      </c>
      <c r="G501">
        <v>416</v>
      </c>
      <c r="H501">
        <f>Tabla1[[#This Row],[Entry Price]]-(Tabla1[[#This Row],[Entry Price]]-Tabla1[[#This Row],[Initial Stop]])/2</f>
        <v>419.66499999999996</v>
      </c>
      <c r="I501">
        <v>6</v>
      </c>
      <c r="J501">
        <f t="shared" si="162"/>
        <v>43.979999999999905</v>
      </c>
      <c r="K501">
        <v>1</v>
      </c>
      <c r="L501">
        <f t="shared" si="163"/>
        <v>43.979999999999905</v>
      </c>
      <c r="M501" t="s">
        <v>72</v>
      </c>
      <c r="N501">
        <f>SUMIF(Executions!B:B,A501,Executions!H:H)</f>
        <v>42.480000000000246</v>
      </c>
      <c r="O501">
        <f t="shared" si="164"/>
        <v>0.96589358799455061</v>
      </c>
      <c r="P501" s="4">
        <f>Tabla1[[#This Row],[Initial Risk $]]/Tabla1[[#This Row],[Position Size (shares)]]+Tabla1[[#This Row],[Entry Price]]</f>
        <v>430.65999999999997</v>
      </c>
      <c r="Q501" s="4">
        <f>Tabla1[[#This Row],[Initial Risk $]]/Tabla1[[#This Row],[Position Size (shares)]]*1.5+Tabla1[[#This Row],[Entry Price]]</f>
        <v>434.32499999999993</v>
      </c>
      <c r="R501" s="4">
        <f>Tabla1[[#This Row],[Initial Risk $]]/Tabla1[[#This Row],[Position Size (shares)]]*2+Tabla1[[#This Row],[Entry Price]]</f>
        <v>437.98999999999995</v>
      </c>
      <c r="S501" s="4">
        <f>Tabla1[[#This Row],[Initial Risk $]]/Tabla1[[#This Row],[Position Size (shares)]]*2.5+Tabla1[[#This Row],[Entry Price]]</f>
        <v>441.65499999999997</v>
      </c>
      <c r="T501" s="4">
        <f>Tabla1[[#This Row],[Initial Risk $]]/Tabla1[[#This Row],[Position Size (shares)]]*3+Tabla1[[#This Row],[Entry Price]]</f>
        <v>445.31999999999994</v>
      </c>
    </row>
    <row r="502" spans="1:20" customFormat="1" hidden="1" x14ac:dyDescent="0.25">
      <c r="A502" t="str">
        <f t="shared" si="161"/>
        <v>T-501</v>
      </c>
      <c r="B502" s="1">
        <v>46220</v>
      </c>
      <c r="C502" t="s">
        <v>739</v>
      </c>
      <c r="D502" t="s">
        <v>28</v>
      </c>
      <c r="E502" t="s">
        <v>119</v>
      </c>
      <c r="F502">
        <v>54.84</v>
      </c>
      <c r="G502">
        <v>54.24</v>
      </c>
      <c r="H502">
        <f>Tabla1[[#This Row],[Entry Price]]-(Tabla1[[#This Row],[Entry Price]]-Tabla1[[#This Row],[Initial Stop]])/2</f>
        <v>54.540000000000006</v>
      </c>
      <c r="I502">
        <v>10</v>
      </c>
      <c r="J502">
        <f t="shared" si="162"/>
        <v>6.0000000000000142</v>
      </c>
      <c r="L502">
        <f t="shared" si="163"/>
        <v>0</v>
      </c>
      <c r="M502" t="s">
        <v>72</v>
      </c>
      <c r="N502">
        <f>SUMIF(Executions!B:B,A502,Executions!H:H)</f>
        <v>-6.6000000000000369</v>
      </c>
      <c r="O502">
        <f t="shared" si="164"/>
        <v>-1.1000000000000036</v>
      </c>
      <c r="P502" s="4">
        <f>Tabla1[[#This Row],[Initial Risk $]]/Tabla1[[#This Row],[Position Size (shares)]]+Tabla1[[#This Row],[Entry Price]]</f>
        <v>55.440000000000005</v>
      </c>
      <c r="Q502" s="4">
        <f>Tabla1[[#This Row],[Initial Risk $]]/Tabla1[[#This Row],[Position Size (shares)]]*1.5+Tabla1[[#This Row],[Entry Price]]</f>
        <v>55.740000000000009</v>
      </c>
      <c r="R502" s="4">
        <f>Tabla1[[#This Row],[Initial Risk $]]/Tabla1[[#This Row],[Position Size (shares)]]*2+Tabla1[[#This Row],[Entry Price]]</f>
        <v>56.040000000000006</v>
      </c>
      <c r="S502" s="4">
        <f>Tabla1[[#This Row],[Initial Risk $]]/Tabla1[[#This Row],[Position Size (shares)]]*2.5+Tabla1[[#This Row],[Entry Price]]</f>
        <v>56.34</v>
      </c>
      <c r="T502" s="4">
        <f>Tabla1[[#This Row],[Initial Risk $]]/Tabla1[[#This Row],[Position Size (shares)]]*3+Tabla1[[#This Row],[Entry Price]]</f>
        <v>56.640000000000008</v>
      </c>
    </row>
    <row r="503" spans="1:20" customFormat="1" hidden="1" x14ac:dyDescent="0.25">
      <c r="A503" t="str">
        <f t="shared" si="161"/>
        <v>T-502</v>
      </c>
      <c r="B503" s="1">
        <v>46220</v>
      </c>
      <c r="C503" t="s">
        <v>279</v>
      </c>
      <c r="D503" t="s">
        <v>28</v>
      </c>
      <c r="E503" t="s">
        <v>119</v>
      </c>
      <c r="F503">
        <v>854.48</v>
      </c>
      <c r="G503">
        <v>846</v>
      </c>
      <c r="H503">
        <f>Tabla1[[#This Row],[Entry Price]]-(Tabla1[[#This Row],[Entry Price]]-Tabla1[[#This Row],[Initial Stop]])/2</f>
        <v>850.24</v>
      </c>
      <c r="I503">
        <v>1</v>
      </c>
      <c r="J503">
        <f t="shared" si="162"/>
        <v>8.4800000000000182</v>
      </c>
      <c r="K503">
        <v>1</v>
      </c>
      <c r="L503">
        <f t="shared" si="163"/>
        <v>8.4800000000000182</v>
      </c>
      <c r="M503" t="s">
        <v>72</v>
      </c>
      <c r="N503">
        <f>SUMIF(Executions!B:B,A503,Executions!H:H)</f>
        <v>33.210000000000036</v>
      </c>
      <c r="O503">
        <f t="shared" si="164"/>
        <v>3.9162735849056562</v>
      </c>
      <c r="P503" s="4">
        <f>Tabla1[[#This Row],[Initial Risk $]]/Tabla1[[#This Row],[Position Size (shares)]]+Tabla1[[#This Row],[Entry Price]]</f>
        <v>862.96</v>
      </c>
      <c r="Q503" s="4">
        <f>Tabla1[[#This Row],[Initial Risk $]]/Tabla1[[#This Row],[Position Size (shares)]]*1.5+Tabla1[[#This Row],[Entry Price]]</f>
        <v>867.2</v>
      </c>
      <c r="R503" s="4">
        <f>Tabla1[[#This Row],[Initial Risk $]]/Tabla1[[#This Row],[Position Size (shares)]]*2+Tabla1[[#This Row],[Entry Price]]</f>
        <v>871.44</v>
      </c>
      <c r="S503" s="4">
        <f>Tabla1[[#This Row],[Initial Risk $]]/Tabla1[[#This Row],[Position Size (shares)]]*2.5+Tabla1[[#This Row],[Entry Price]]</f>
        <v>875.68000000000006</v>
      </c>
      <c r="T503" s="4">
        <f>Tabla1[[#This Row],[Initial Risk $]]/Tabla1[[#This Row],[Position Size (shares)]]*3+Tabla1[[#This Row],[Entry Price]]</f>
        <v>879.92000000000007</v>
      </c>
    </row>
    <row r="504" spans="1:20" customFormat="1" hidden="1" x14ac:dyDescent="0.25">
      <c r="A504" t="str">
        <f t="shared" si="161"/>
        <v>T-503</v>
      </c>
      <c r="B504" s="1">
        <v>46223</v>
      </c>
      <c r="C504" t="s">
        <v>186</v>
      </c>
      <c r="D504" t="s">
        <v>28</v>
      </c>
      <c r="E504" t="s">
        <v>58</v>
      </c>
      <c r="F504">
        <v>249.36</v>
      </c>
      <c r="G504">
        <v>248</v>
      </c>
      <c r="H504">
        <f>Tabla1[[#This Row],[Entry Price]]-(Tabla1[[#This Row],[Entry Price]]-Tabla1[[#This Row],[Initial Stop]])/2</f>
        <v>248.68</v>
      </c>
      <c r="I504">
        <v>5</v>
      </c>
      <c r="J504">
        <f t="shared" si="162"/>
        <v>6.8000000000000682</v>
      </c>
      <c r="K504">
        <v>1</v>
      </c>
      <c r="L504">
        <f t="shared" si="163"/>
        <v>6.8000000000000682</v>
      </c>
      <c r="M504" t="s">
        <v>72</v>
      </c>
      <c r="N504">
        <f>SUMIF(Executions!B:B,A504,Executions!H:H)</f>
        <v>13.049999999999926</v>
      </c>
      <c r="O504">
        <f t="shared" si="164"/>
        <v>1.9191176470587934</v>
      </c>
      <c r="P504" s="4">
        <f>Tabla1[[#This Row],[Initial Risk $]]/Tabla1[[#This Row],[Position Size (shares)]]+Tabla1[[#This Row],[Entry Price]]</f>
        <v>250.72000000000003</v>
      </c>
      <c r="Q504" s="4">
        <f>Tabla1[[#This Row],[Initial Risk $]]/Tabla1[[#This Row],[Position Size (shares)]]*1.5+Tabla1[[#This Row],[Entry Price]]</f>
        <v>251.40000000000003</v>
      </c>
      <c r="R504" s="4">
        <f>Tabla1[[#This Row],[Initial Risk $]]/Tabla1[[#This Row],[Position Size (shares)]]*2+Tabla1[[#This Row],[Entry Price]]</f>
        <v>252.08000000000004</v>
      </c>
      <c r="S504" s="4">
        <f>Tabla1[[#This Row],[Initial Risk $]]/Tabla1[[#This Row],[Position Size (shares)]]*2.5+Tabla1[[#This Row],[Entry Price]]</f>
        <v>252.76000000000005</v>
      </c>
      <c r="T504" s="4">
        <f>Tabla1[[#This Row],[Initial Risk $]]/Tabla1[[#This Row],[Position Size (shares)]]*3+Tabla1[[#This Row],[Entry Price]]</f>
        <v>253.44000000000005</v>
      </c>
    </row>
    <row r="505" spans="1:20" customFormat="1" hidden="1" x14ac:dyDescent="0.25">
      <c r="A505" t="str">
        <f t="shared" si="161"/>
        <v>T-504</v>
      </c>
      <c r="B505" s="1">
        <v>46223</v>
      </c>
      <c r="C505" t="s">
        <v>370</v>
      </c>
      <c r="D505" t="s">
        <v>28</v>
      </c>
      <c r="E505" t="s">
        <v>58</v>
      </c>
      <c r="F505">
        <v>32.57</v>
      </c>
      <c r="G505">
        <v>31.75</v>
      </c>
      <c r="H505">
        <f>Tabla1[[#This Row],[Entry Price]]-(Tabla1[[#This Row],[Entry Price]]-Tabla1[[#This Row],[Initial Stop]])/2</f>
        <v>32.159999999999997</v>
      </c>
      <c r="I505">
        <v>10</v>
      </c>
      <c r="J505">
        <f t="shared" si="162"/>
        <v>8.2000000000000028</v>
      </c>
      <c r="K505">
        <v>1</v>
      </c>
      <c r="L505">
        <f t="shared" si="163"/>
        <v>8.2000000000000028</v>
      </c>
      <c r="M505" t="s">
        <v>72</v>
      </c>
      <c r="N505">
        <f>SUMIF(Executions!B:B,A505,Executions!H:H)</f>
        <v>8.5000000000000142</v>
      </c>
      <c r="O505">
        <f t="shared" si="164"/>
        <v>1.0365853658536599</v>
      </c>
      <c r="P505" s="4">
        <f>Tabla1[[#This Row],[Initial Risk $]]/Tabla1[[#This Row],[Position Size (shares)]]+Tabla1[[#This Row],[Entry Price]]</f>
        <v>33.39</v>
      </c>
      <c r="Q505" s="4">
        <f>Tabla1[[#This Row],[Initial Risk $]]/Tabla1[[#This Row],[Position Size (shares)]]*1.5+Tabla1[[#This Row],[Entry Price]]</f>
        <v>33.799999999999997</v>
      </c>
      <c r="R505" s="4">
        <f>Tabla1[[#This Row],[Initial Risk $]]/Tabla1[[#This Row],[Position Size (shares)]]*2+Tabla1[[#This Row],[Entry Price]]</f>
        <v>34.21</v>
      </c>
      <c r="S505" s="4">
        <f>Tabla1[[#This Row],[Initial Risk $]]/Tabla1[[#This Row],[Position Size (shares)]]*2.5+Tabla1[[#This Row],[Entry Price]]</f>
        <v>34.620000000000005</v>
      </c>
      <c r="T505" s="4">
        <f>Tabla1[[#This Row],[Initial Risk $]]/Tabla1[[#This Row],[Position Size (shares)]]*3+Tabla1[[#This Row],[Entry Price]]</f>
        <v>35.03</v>
      </c>
    </row>
    <row r="506" spans="1:20" customFormat="1" hidden="1" x14ac:dyDescent="0.25">
      <c r="A506" t="str">
        <f t="shared" si="161"/>
        <v>T-505</v>
      </c>
      <c r="B506" s="1">
        <v>46223</v>
      </c>
      <c r="C506" t="s">
        <v>130</v>
      </c>
      <c r="D506" t="s">
        <v>28</v>
      </c>
      <c r="E506" t="s">
        <v>58</v>
      </c>
      <c r="F506">
        <v>515.80999999999995</v>
      </c>
      <c r="G506">
        <v>510</v>
      </c>
      <c r="H506">
        <f>Tabla1[[#This Row],[Entry Price]]-(Tabla1[[#This Row],[Entry Price]]-Tabla1[[#This Row],[Initial Stop]])/2</f>
        <v>512.90499999999997</v>
      </c>
      <c r="I506">
        <v>4</v>
      </c>
      <c r="J506">
        <f t="shared" si="162"/>
        <v>23.239999999999782</v>
      </c>
      <c r="K506">
        <v>1</v>
      </c>
      <c r="L506">
        <f t="shared" si="163"/>
        <v>23.239999999999782</v>
      </c>
      <c r="M506" t="s">
        <v>72</v>
      </c>
      <c r="N506">
        <f>SUMIF(Executions!B:B,A506,Executions!H:H)</f>
        <v>-7.0399999999999636</v>
      </c>
      <c r="O506">
        <f t="shared" si="164"/>
        <v>-0.3029259896729789</v>
      </c>
      <c r="P506" s="4">
        <f>Tabla1[[#This Row],[Initial Risk $]]/Tabla1[[#This Row],[Position Size (shares)]]+Tabla1[[#This Row],[Entry Price]]</f>
        <v>521.61999999999989</v>
      </c>
      <c r="Q506" s="4">
        <f>Tabla1[[#This Row],[Initial Risk $]]/Tabla1[[#This Row],[Position Size (shares)]]*1.5+Tabla1[[#This Row],[Entry Price]]</f>
        <v>524.52499999999986</v>
      </c>
      <c r="R506" s="4">
        <f>Tabla1[[#This Row],[Initial Risk $]]/Tabla1[[#This Row],[Position Size (shares)]]*2+Tabla1[[#This Row],[Entry Price]]</f>
        <v>527.42999999999984</v>
      </c>
      <c r="S506" s="4">
        <f>Tabla1[[#This Row],[Initial Risk $]]/Tabla1[[#This Row],[Position Size (shares)]]*2.5+Tabla1[[#This Row],[Entry Price]]</f>
        <v>530.33499999999981</v>
      </c>
      <c r="T506" s="4">
        <f>Tabla1[[#This Row],[Initial Risk $]]/Tabla1[[#This Row],[Position Size (shares)]]*3+Tabla1[[#This Row],[Entry Price]]</f>
        <v>533.23999999999978</v>
      </c>
    </row>
    <row r="507" spans="1:20" customFormat="1" hidden="1" x14ac:dyDescent="0.25">
      <c r="A507" t="str">
        <f t="shared" si="161"/>
        <v>T-506</v>
      </c>
      <c r="B507" s="1">
        <v>46223</v>
      </c>
      <c r="C507" t="s">
        <v>399</v>
      </c>
      <c r="D507" t="s">
        <v>28</v>
      </c>
      <c r="E507" t="s">
        <v>58</v>
      </c>
      <c r="F507">
        <v>24.32</v>
      </c>
      <c r="G507">
        <v>24.15</v>
      </c>
      <c r="H507">
        <f>Tabla1[[#This Row],[Entry Price]]-(Tabla1[[#This Row],[Entry Price]]-Tabla1[[#This Row],[Initial Stop]])/2</f>
        <v>24.234999999999999</v>
      </c>
      <c r="I507">
        <v>40</v>
      </c>
      <c r="J507">
        <f t="shared" si="162"/>
        <v>6.8000000000000682</v>
      </c>
      <c r="K507">
        <v>1</v>
      </c>
      <c r="L507">
        <f t="shared" si="163"/>
        <v>6.8000000000000682</v>
      </c>
      <c r="M507" t="s">
        <v>72</v>
      </c>
      <c r="N507">
        <f>SUMIF(Executions!B:B,A507,Executions!H:H)</f>
        <v>-4.8000000000000398</v>
      </c>
      <c r="O507">
        <f t="shared" si="164"/>
        <v>-0.7058823529411753</v>
      </c>
      <c r="P507" s="4">
        <f>Tabla1[[#This Row],[Initial Risk $]]/Tabla1[[#This Row],[Position Size (shares)]]+Tabla1[[#This Row],[Entry Price]]</f>
        <v>24.490000000000002</v>
      </c>
      <c r="Q507" s="4">
        <f>Tabla1[[#This Row],[Initial Risk $]]/Tabla1[[#This Row],[Position Size (shares)]]*1.5+Tabla1[[#This Row],[Entry Price]]</f>
        <v>24.575000000000003</v>
      </c>
      <c r="R507" s="4">
        <f>Tabla1[[#This Row],[Initial Risk $]]/Tabla1[[#This Row],[Position Size (shares)]]*2+Tabla1[[#This Row],[Entry Price]]</f>
        <v>24.660000000000004</v>
      </c>
      <c r="S507" s="4">
        <f>Tabla1[[#This Row],[Initial Risk $]]/Tabla1[[#This Row],[Position Size (shares)]]*2.5+Tabla1[[#This Row],[Entry Price]]</f>
        <v>24.745000000000005</v>
      </c>
      <c r="T507" s="4">
        <f>Tabla1[[#This Row],[Initial Risk $]]/Tabla1[[#This Row],[Position Size (shares)]]*3+Tabla1[[#This Row],[Entry Price]]</f>
        <v>24.830000000000005</v>
      </c>
    </row>
    <row r="508" spans="1:20" customFormat="1" hidden="1" x14ac:dyDescent="0.25">
      <c r="A508" t="str">
        <f t="shared" si="161"/>
        <v>T-507</v>
      </c>
      <c r="B508" s="1">
        <v>46223</v>
      </c>
      <c r="C508" t="s">
        <v>494</v>
      </c>
      <c r="D508" t="s">
        <v>28</v>
      </c>
      <c r="E508" t="s">
        <v>119</v>
      </c>
      <c r="F508">
        <v>642.66999999999996</v>
      </c>
      <c r="G508">
        <v>638</v>
      </c>
      <c r="H508">
        <f>Tabla1[[#This Row],[Entry Price]]-(Tabla1[[#This Row],[Entry Price]]-Tabla1[[#This Row],[Initial Stop]])/2</f>
        <v>640.33500000000004</v>
      </c>
      <c r="I508">
        <v>2</v>
      </c>
      <c r="J508">
        <f t="shared" si="162"/>
        <v>9.3399999999999181</v>
      </c>
      <c r="K508">
        <v>1</v>
      </c>
      <c r="L508">
        <f t="shared" si="163"/>
        <v>9.3399999999999181</v>
      </c>
      <c r="M508" t="s">
        <v>72</v>
      </c>
      <c r="N508">
        <f>SUMIF(Executions!B:B,A508,Executions!H:H)</f>
        <v>10.040000000000191</v>
      </c>
      <c r="O508">
        <f t="shared" si="164"/>
        <v>1.0749464668094517</v>
      </c>
      <c r="P508" s="4">
        <f>Tabla1[[#This Row],[Initial Risk $]]/Tabla1[[#This Row],[Position Size (shares)]]+Tabla1[[#This Row],[Entry Price]]</f>
        <v>647.33999999999992</v>
      </c>
      <c r="Q508" s="4">
        <f>Tabla1[[#This Row],[Initial Risk $]]/Tabla1[[#This Row],[Position Size (shares)]]*1.5+Tabla1[[#This Row],[Entry Price]]</f>
        <v>649.67499999999995</v>
      </c>
      <c r="R508" s="4">
        <f>Tabla1[[#This Row],[Initial Risk $]]/Tabla1[[#This Row],[Position Size (shares)]]*2+Tabla1[[#This Row],[Entry Price]]</f>
        <v>652.00999999999988</v>
      </c>
      <c r="S508" s="4">
        <f>Tabla1[[#This Row],[Initial Risk $]]/Tabla1[[#This Row],[Position Size (shares)]]*2.5+Tabla1[[#This Row],[Entry Price]]</f>
        <v>654.3449999999998</v>
      </c>
      <c r="T508" s="4">
        <f>Tabla1[[#This Row],[Initial Risk $]]/Tabla1[[#This Row],[Position Size (shares)]]*3+Tabla1[[#This Row],[Entry Price]]</f>
        <v>656.67999999999984</v>
      </c>
    </row>
    <row r="509" spans="1:20" customFormat="1" hidden="1" x14ac:dyDescent="0.25">
      <c r="A509" t="str">
        <f t="shared" si="161"/>
        <v>T-508</v>
      </c>
      <c r="B509" s="1">
        <v>46223</v>
      </c>
      <c r="C509" t="s">
        <v>279</v>
      </c>
      <c r="D509" t="s">
        <v>28</v>
      </c>
      <c r="E509" t="s">
        <v>27</v>
      </c>
      <c r="F509">
        <v>878</v>
      </c>
      <c r="G509">
        <v>870</v>
      </c>
      <c r="H509">
        <f>Tabla1[[#This Row],[Entry Price]]-(Tabla1[[#This Row],[Entry Price]]-Tabla1[[#This Row],[Initial Stop]])/2</f>
        <v>874</v>
      </c>
      <c r="I509">
        <v>1</v>
      </c>
      <c r="J509">
        <f t="shared" si="162"/>
        <v>8</v>
      </c>
      <c r="K509">
        <v>1</v>
      </c>
      <c r="L509">
        <f t="shared" si="163"/>
        <v>8</v>
      </c>
      <c r="M509" t="s">
        <v>72</v>
      </c>
      <c r="N509">
        <f>SUMIF(Executions!B:B,A509,Executions!H:H)</f>
        <v>18.029999999999973</v>
      </c>
      <c r="O509">
        <f t="shared" si="164"/>
        <v>2.2537499999999966</v>
      </c>
      <c r="P509" s="4">
        <f>Tabla1[[#This Row],[Initial Risk $]]/Tabla1[[#This Row],[Position Size (shares)]]+Tabla1[[#This Row],[Entry Price]]</f>
        <v>886</v>
      </c>
      <c r="Q509" s="4">
        <f>Tabla1[[#This Row],[Initial Risk $]]/Tabla1[[#This Row],[Position Size (shares)]]*1.5+Tabla1[[#This Row],[Entry Price]]</f>
        <v>890</v>
      </c>
      <c r="R509" s="4">
        <f>Tabla1[[#This Row],[Initial Risk $]]/Tabla1[[#This Row],[Position Size (shares)]]*2+Tabla1[[#This Row],[Entry Price]]</f>
        <v>894</v>
      </c>
      <c r="S509" s="4">
        <f>Tabla1[[#This Row],[Initial Risk $]]/Tabla1[[#This Row],[Position Size (shares)]]*2.5+Tabla1[[#This Row],[Entry Price]]</f>
        <v>898</v>
      </c>
      <c r="T509" s="4">
        <f>Tabla1[[#This Row],[Initial Risk $]]/Tabla1[[#This Row],[Position Size (shares)]]*3+Tabla1[[#This Row],[Entry Price]]</f>
        <v>902</v>
      </c>
    </row>
    <row r="510" spans="1:20" customFormat="1" hidden="1" x14ac:dyDescent="0.25">
      <c r="A510" t="str">
        <f t="shared" ref="A510:A518" si="165">"T-"&amp; TEXT(ROW()-1,"000")</f>
        <v>T-509</v>
      </c>
      <c r="B510" s="1">
        <v>46224</v>
      </c>
      <c r="C510" t="s">
        <v>181</v>
      </c>
      <c r="D510" t="s">
        <v>28</v>
      </c>
      <c r="E510" t="s">
        <v>58</v>
      </c>
      <c r="F510">
        <v>12.46</v>
      </c>
      <c r="G510">
        <v>12.15</v>
      </c>
      <c r="H510">
        <f>Tabla1[[#This Row],[Entry Price]]-(Tabla1[[#This Row],[Entry Price]]-Tabla1[[#This Row],[Initial Stop]])/2</f>
        <v>12.305</v>
      </c>
      <c r="I510">
        <v>30</v>
      </c>
      <c r="J510">
        <f t="shared" ref="J510:J518" si="166">IF(D510="Long",(F510-G510)*I510,(G510-F510)*0)</f>
        <v>9.3000000000000149</v>
      </c>
      <c r="K510">
        <v>1</v>
      </c>
      <c r="L510">
        <f t="shared" ref="L510:L518" si="167">J510*K510</f>
        <v>9.3000000000000149</v>
      </c>
      <c r="M510" t="s">
        <v>72</v>
      </c>
      <c r="N510">
        <f>SUMIF(Executions!B:B,A510,Executions!H:H)</f>
        <v>-9.3000000000000149</v>
      </c>
      <c r="O510">
        <f t="shared" ref="O510:O518" si="168">N510/J510</f>
        <v>-1</v>
      </c>
      <c r="P510" s="4">
        <f>Tabla1[[#This Row],[Initial Risk $]]/Tabla1[[#This Row],[Position Size (shares)]]+Tabla1[[#This Row],[Entry Price]]</f>
        <v>12.770000000000001</v>
      </c>
      <c r="Q510" s="4">
        <f>Tabla1[[#This Row],[Initial Risk $]]/Tabla1[[#This Row],[Position Size (shares)]]*1.5+Tabla1[[#This Row],[Entry Price]]</f>
        <v>12.925000000000001</v>
      </c>
      <c r="R510" s="4">
        <f>Tabla1[[#This Row],[Initial Risk $]]/Tabla1[[#This Row],[Position Size (shares)]]*2+Tabla1[[#This Row],[Entry Price]]</f>
        <v>13.080000000000002</v>
      </c>
      <c r="S510" s="4">
        <f>Tabla1[[#This Row],[Initial Risk $]]/Tabla1[[#This Row],[Position Size (shares)]]*2.5+Tabla1[[#This Row],[Entry Price]]</f>
        <v>13.235000000000003</v>
      </c>
      <c r="T510" s="4">
        <f>Tabla1[[#This Row],[Initial Risk $]]/Tabla1[[#This Row],[Position Size (shares)]]*3+Tabla1[[#This Row],[Entry Price]]</f>
        <v>13.390000000000002</v>
      </c>
    </row>
    <row r="511" spans="1:20" customFormat="1" hidden="1" x14ac:dyDescent="0.25">
      <c r="A511" t="str">
        <f t="shared" si="165"/>
        <v>T-510</v>
      </c>
      <c r="B511" s="1">
        <v>46224</v>
      </c>
      <c r="C511" t="s">
        <v>130</v>
      </c>
      <c r="D511" t="s">
        <v>28</v>
      </c>
      <c r="E511" t="s">
        <v>58</v>
      </c>
      <c r="F511">
        <v>528.54</v>
      </c>
      <c r="G511">
        <v>523.54</v>
      </c>
      <c r="H511">
        <f>Tabla1[[#This Row],[Entry Price]]-(Tabla1[[#This Row],[Entry Price]]-Tabla1[[#This Row],[Initial Stop]])/2</f>
        <v>526.04</v>
      </c>
      <c r="I511">
        <v>2</v>
      </c>
      <c r="J511">
        <f t="shared" si="166"/>
        <v>10</v>
      </c>
      <c r="K511">
        <v>1</v>
      </c>
      <c r="L511">
        <f t="shared" si="167"/>
        <v>10</v>
      </c>
      <c r="M511" t="s">
        <v>72</v>
      </c>
      <c r="N511">
        <f>SUMIF(Executions!B:B,A511,Executions!H:H)</f>
        <v>-10.059999999999945</v>
      </c>
      <c r="O511">
        <f t="shared" si="168"/>
        <v>-1.0059999999999945</v>
      </c>
      <c r="P511" s="4">
        <f>Tabla1[[#This Row],[Initial Risk $]]/Tabla1[[#This Row],[Position Size (shares)]]+Tabla1[[#This Row],[Entry Price]]</f>
        <v>533.54</v>
      </c>
      <c r="Q511" s="4">
        <f>Tabla1[[#This Row],[Initial Risk $]]/Tabla1[[#This Row],[Position Size (shares)]]*1.5+Tabla1[[#This Row],[Entry Price]]</f>
        <v>536.04</v>
      </c>
      <c r="R511" s="4">
        <f>Tabla1[[#This Row],[Initial Risk $]]/Tabla1[[#This Row],[Position Size (shares)]]*2+Tabla1[[#This Row],[Entry Price]]</f>
        <v>538.54</v>
      </c>
      <c r="S511" s="4">
        <f>Tabla1[[#This Row],[Initial Risk $]]/Tabla1[[#This Row],[Position Size (shares)]]*2.5+Tabla1[[#This Row],[Entry Price]]</f>
        <v>541.04</v>
      </c>
      <c r="T511" s="4">
        <f>Tabla1[[#This Row],[Initial Risk $]]/Tabla1[[#This Row],[Position Size (shares)]]*3+Tabla1[[#This Row],[Entry Price]]</f>
        <v>543.54</v>
      </c>
    </row>
    <row r="512" spans="1:20" customFormat="1" hidden="1" x14ac:dyDescent="0.25">
      <c r="A512" t="str">
        <f t="shared" si="165"/>
        <v>T-511</v>
      </c>
      <c r="B512" s="1">
        <v>46224</v>
      </c>
      <c r="C512" t="s">
        <v>750</v>
      </c>
      <c r="D512" t="s">
        <v>28</v>
      </c>
      <c r="E512" t="s">
        <v>119</v>
      </c>
      <c r="F512">
        <v>56.27</v>
      </c>
      <c r="G512">
        <v>55.81</v>
      </c>
      <c r="H512">
        <f>Tabla1[[#This Row],[Entry Price]]-(Tabla1[[#This Row],[Entry Price]]-Tabla1[[#This Row],[Initial Stop]])/2</f>
        <v>56.040000000000006</v>
      </c>
      <c r="I512">
        <v>10</v>
      </c>
      <c r="J512">
        <f t="shared" si="166"/>
        <v>4.6000000000000085</v>
      </c>
      <c r="K512">
        <v>1</v>
      </c>
      <c r="L512">
        <f t="shared" si="167"/>
        <v>4.6000000000000085</v>
      </c>
      <c r="M512" t="s">
        <v>72</v>
      </c>
      <c r="N512">
        <f>SUMIF(Executions!B:B,A512,Executions!H:H)</f>
        <v>-4.6000000000000085</v>
      </c>
      <c r="O512">
        <f t="shared" si="168"/>
        <v>-1</v>
      </c>
      <c r="P512" s="4">
        <f>Tabla1[[#This Row],[Initial Risk $]]/Tabla1[[#This Row],[Position Size (shares)]]+Tabla1[[#This Row],[Entry Price]]</f>
        <v>56.730000000000004</v>
      </c>
      <c r="Q512" s="4">
        <f>Tabla1[[#This Row],[Initial Risk $]]/Tabla1[[#This Row],[Position Size (shares)]]*1.5+Tabla1[[#This Row],[Entry Price]]</f>
        <v>56.960000000000008</v>
      </c>
      <c r="R512" s="4">
        <f>Tabla1[[#This Row],[Initial Risk $]]/Tabla1[[#This Row],[Position Size (shares)]]*2+Tabla1[[#This Row],[Entry Price]]</f>
        <v>57.190000000000005</v>
      </c>
      <c r="S512" s="4">
        <f>Tabla1[[#This Row],[Initial Risk $]]/Tabla1[[#This Row],[Position Size (shares)]]*2.5+Tabla1[[#This Row],[Entry Price]]</f>
        <v>57.42</v>
      </c>
      <c r="T512" s="4">
        <f>Tabla1[[#This Row],[Initial Risk $]]/Tabla1[[#This Row],[Position Size (shares)]]*3+Tabla1[[#This Row],[Entry Price]]</f>
        <v>57.650000000000006</v>
      </c>
    </row>
    <row r="513" spans="1:20" customFormat="1" hidden="1" x14ac:dyDescent="0.25">
      <c r="A513" t="str">
        <f t="shared" si="165"/>
        <v>T-512</v>
      </c>
      <c r="B513" s="1">
        <v>46224</v>
      </c>
      <c r="C513" t="s">
        <v>255</v>
      </c>
      <c r="D513" t="s">
        <v>28</v>
      </c>
      <c r="E513" t="s">
        <v>119</v>
      </c>
      <c r="F513">
        <v>324.51</v>
      </c>
      <c r="G513">
        <v>322.51</v>
      </c>
      <c r="H513">
        <f>Tabla1[[#This Row],[Entry Price]]-(Tabla1[[#This Row],[Entry Price]]-Tabla1[[#This Row],[Initial Stop]])/2</f>
        <v>323.51</v>
      </c>
      <c r="I513">
        <v>3</v>
      </c>
      <c r="J513">
        <f t="shared" si="166"/>
        <v>6</v>
      </c>
      <c r="K513">
        <v>1</v>
      </c>
      <c r="L513">
        <f t="shared" si="167"/>
        <v>6</v>
      </c>
      <c r="M513" t="s">
        <v>72</v>
      </c>
      <c r="N513">
        <f>SUMIF(Executions!B:B,A513,Executions!H:H)</f>
        <v>6.9000000000000341</v>
      </c>
      <c r="O513">
        <f t="shared" si="168"/>
        <v>1.1500000000000057</v>
      </c>
      <c r="P513" s="4">
        <f>Tabla1[[#This Row],[Initial Risk $]]/Tabla1[[#This Row],[Position Size (shares)]]+Tabla1[[#This Row],[Entry Price]]</f>
        <v>326.51</v>
      </c>
      <c r="Q513" s="4">
        <f>Tabla1[[#This Row],[Initial Risk $]]/Tabla1[[#This Row],[Position Size (shares)]]*1.5+Tabla1[[#This Row],[Entry Price]]</f>
        <v>327.51</v>
      </c>
      <c r="R513" s="4">
        <f>Tabla1[[#This Row],[Initial Risk $]]/Tabla1[[#This Row],[Position Size (shares)]]*2+Tabla1[[#This Row],[Entry Price]]</f>
        <v>328.51</v>
      </c>
      <c r="S513" s="4">
        <f>Tabla1[[#This Row],[Initial Risk $]]/Tabla1[[#This Row],[Position Size (shares)]]*2.5+Tabla1[[#This Row],[Entry Price]]</f>
        <v>329.51</v>
      </c>
      <c r="T513" s="4">
        <f>Tabla1[[#This Row],[Initial Risk $]]/Tabla1[[#This Row],[Position Size (shares)]]*3+Tabla1[[#This Row],[Entry Price]]</f>
        <v>330.51</v>
      </c>
    </row>
    <row r="514" spans="1:20" customFormat="1" hidden="1" x14ac:dyDescent="0.25">
      <c r="A514" t="str">
        <f t="shared" si="165"/>
        <v>T-513</v>
      </c>
      <c r="B514" s="1">
        <v>46224</v>
      </c>
      <c r="C514" t="s">
        <v>130</v>
      </c>
      <c r="D514" t="s">
        <v>28</v>
      </c>
      <c r="E514" t="s">
        <v>119</v>
      </c>
      <c r="F514">
        <v>528.91</v>
      </c>
      <c r="G514">
        <v>523</v>
      </c>
      <c r="H514">
        <f>Tabla1[[#This Row],[Entry Price]]-(Tabla1[[#This Row],[Entry Price]]-Tabla1[[#This Row],[Initial Stop]])/2</f>
        <v>525.95499999999993</v>
      </c>
      <c r="I514">
        <v>2</v>
      </c>
      <c r="J514">
        <f t="shared" si="166"/>
        <v>11.819999999999936</v>
      </c>
      <c r="K514">
        <v>1</v>
      </c>
      <c r="L514">
        <f t="shared" si="167"/>
        <v>11.819999999999936</v>
      </c>
      <c r="M514" t="s">
        <v>72</v>
      </c>
      <c r="N514">
        <f>SUMIF(Executions!B:B,A514,Executions!H:H)</f>
        <v>23.6400000000001</v>
      </c>
      <c r="O514">
        <f t="shared" si="168"/>
        <v>2.0000000000000191</v>
      </c>
      <c r="P514" s="4">
        <f>Tabla1[[#This Row],[Initial Risk $]]/Tabla1[[#This Row],[Position Size (shares)]]+Tabla1[[#This Row],[Entry Price]]</f>
        <v>534.81999999999994</v>
      </c>
      <c r="Q514" s="4">
        <f>Tabla1[[#This Row],[Initial Risk $]]/Tabla1[[#This Row],[Position Size (shares)]]*1.5+Tabla1[[#This Row],[Entry Price]]</f>
        <v>537.77499999999986</v>
      </c>
      <c r="R514" s="4">
        <f>Tabla1[[#This Row],[Initial Risk $]]/Tabla1[[#This Row],[Position Size (shares)]]*2+Tabla1[[#This Row],[Entry Price]]</f>
        <v>540.7299999999999</v>
      </c>
      <c r="S514" s="4">
        <f>Tabla1[[#This Row],[Initial Risk $]]/Tabla1[[#This Row],[Position Size (shares)]]*2.5+Tabla1[[#This Row],[Entry Price]]</f>
        <v>543.68499999999995</v>
      </c>
      <c r="T514" s="4">
        <f>Tabla1[[#This Row],[Initial Risk $]]/Tabla1[[#This Row],[Position Size (shares)]]*3+Tabla1[[#This Row],[Entry Price]]</f>
        <v>546.63999999999987</v>
      </c>
    </row>
    <row r="515" spans="1:20" customFormat="1" hidden="1" x14ac:dyDescent="0.25">
      <c r="A515" t="str">
        <f t="shared" si="165"/>
        <v>T-514</v>
      </c>
      <c r="B515" s="1">
        <v>46224</v>
      </c>
      <c r="C515" t="s">
        <v>164</v>
      </c>
      <c r="D515" t="s">
        <v>28</v>
      </c>
      <c r="E515" t="s">
        <v>53</v>
      </c>
      <c r="F515">
        <v>205.52</v>
      </c>
      <c r="G515">
        <v>203.99</v>
      </c>
      <c r="H515">
        <f>Tabla1[[#This Row],[Entry Price]]-(Tabla1[[#This Row],[Entry Price]]-Tabla1[[#This Row],[Initial Stop]])/2</f>
        <v>204.755</v>
      </c>
      <c r="I515">
        <v>5</v>
      </c>
      <c r="J515">
        <f t="shared" si="166"/>
        <v>7.6500000000000057</v>
      </c>
      <c r="K515">
        <v>1</v>
      </c>
      <c r="L515">
        <f t="shared" si="167"/>
        <v>7.6500000000000057</v>
      </c>
      <c r="M515" t="s">
        <v>72</v>
      </c>
      <c r="N515">
        <f>SUMIF(Executions!B:B,A515,Executions!H:H)</f>
        <v>7.6500000000000057</v>
      </c>
      <c r="O515">
        <f t="shared" si="168"/>
        <v>1</v>
      </c>
      <c r="P515" s="4">
        <f>Tabla1[[#This Row],[Initial Risk $]]/Tabla1[[#This Row],[Position Size (shares)]]+Tabla1[[#This Row],[Entry Price]]</f>
        <v>207.05</v>
      </c>
      <c r="Q515" s="4">
        <f>Tabla1[[#This Row],[Initial Risk $]]/Tabla1[[#This Row],[Position Size (shares)]]*1.5+Tabla1[[#This Row],[Entry Price]]</f>
        <v>207.815</v>
      </c>
      <c r="R515" s="4">
        <f>Tabla1[[#This Row],[Initial Risk $]]/Tabla1[[#This Row],[Position Size (shares)]]*2+Tabla1[[#This Row],[Entry Price]]</f>
        <v>208.58</v>
      </c>
      <c r="S515" s="4">
        <f>Tabla1[[#This Row],[Initial Risk $]]/Tabla1[[#This Row],[Position Size (shares)]]*2.5+Tabla1[[#This Row],[Entry Price]]</f>
        <v>209.34500000000003</v>
      </c>
      <c r="T515" s="4">
        <f>Tabla1[[#This Row],[Initial Risk $]]/Tabla1[[#This Row],[Position Size (shares)]]*3+Tabla1[[#This Row],[Entry Price]]</f>
        <v>210.11</v>
      </c>
    </row>
    <row r="516" spans="1:20" customFormat="1" hidden="1" x14ac:dyDescent="0.25">
      <c r="A516" t="str">
        <f t="shared" si="165"/>
        <v>T-515</v>
      </c>
      <c r="B516" s="1">
        <v>46224</v>
      </c>
      <c r="C516" t="s">
        <v>279</v>
      </c>
      <c r="D516" t="s">
        <v>28</v>
      </c>
      <c r="E516" t="s">
        <v>27</v>
      </c>
      <c r="F516">
        <v>931.88</v>
      </c>
      <c r="G516">
        <v>921</v>
      </c>
      <c r="H516">
        <f>Tabla1[[#This Row],[Entry Price]]-(Tabla1[[#This Row],[Entry Price]]-Tabla1[[#This Row],[Initial Stop]])/2</f>
        <v>926.44</v>
      </c>
      <c r="I516">
        <v>1</v>
      </c>
      <c r="J516">
        <f t="shared" si="166"/>
        <v>10.879999999999995</v>
      </c>
      <c r="K516">
        <v>1</v>
      </c>
      <c r="L516">
        <f t="shared" si="167"/>
        <v>10.879999999999995</v>
      </c>
      <c r="M516" t="s">
        <v>72</v>
      </c>
      <c r="N516">
        <f>SUMIF(Executions!B:B,A516,Executions!H:H)</f>
        <v>23.810000000000059</v>
      </c>
      <c r="O516">
        <f t="shared" si="168"/>
        <v>2.1884191176470651</v>
      </c>
      <c r="P516" s="4">
        <f>Tabla1[[#This Row],[Initial Risk $]]/Tabla1[[#This Row],[Position Size (shares)]]+Tabla1[[#This Row],[Entry Price]]</f>
        <v>942.76</v>
      </c>
      <c r="Q516" s="4">
        <f>Tabla1[[#This Row],[Initial Risk $]]/Tabla1[[#This Row],[Position Size (shares)]]*1.5+Tabla1[[#This Row],[Entry Price]]</f>
        <v>948.2</v>
      </c>
      <c r="R516" s="4">
        <f>Tabla1[[#This Row],[Initial Risk $]]/Tabla1[[#This Row],[Position Size (shares)]]*2+Tabla1[[#This Row],[Entry Price]]</f>
        <v>953.64</v>
      </c>
      <c r="S516" s="4">
        <f>Tabla1[[#This Row],[Initial Risk $]]/Tabla1[[#This Row],[Position Size (shares)]]*2.5+Tabla1[[#This Row],[Entry Price]]</f>
        <v>959.07999999999993</v>
      </c>
      <c r="T516" s="4">
        <f>Tabla1[[#This Row],[Initial Risk $]]/Tabla1[[#This Row],[Position Size (shares)]]*3+Tabla1[[#This Row],[Entry Price]]</f>
        <v>964.52</v>
      </c>
    </row>
    <row r="517" spans="1:20" customFormat="1" hidden="1" x14ac:dyDescent="0.25">
      <c r="A517" t="str">
        <f t="shared" si="165"/>
        <v>T-516</v>
      </c>
      <c r="B517" s="1">
        <v>46224</v>
      </c>
      <c r="C517" t="s">
        <v>758</v>
      </c>
      <c r="D517" t="s">
        <v>28</v>
      </c>
      <c r="E517" t="s">
        <v>51</v>
      </c>
      <c r="F517">
        <v>88.27</v>
      </c>
      <c r="G517">
        <v>87.47</v>
      </c>
      <c r="H517">
        <f>Tabla1[[#This Row],[Entry Price]]-(Tabla1[[#This Row],[Entry Price]]-Tabla1[[#This Row],[Initial Stop]])/2</f>
        <v>87.87</v>
      </c>
      <c r="I517">
        <v>6</v>
      </c>
      <c r="J517">
        <f t="shared" si="166"/>
        <v>4.7999999999999829</v>
      </c>
      <c r="K517">
        <v>1</v>
      </c>
      <c r="L517">
        <f t="shared" si="167"/>
        <v>4.7999999999999829</v>
      </c>
      <c r="M517" t="s">
        <v>72</v>
      </c>
      <c r="N517">
        <f>SUMIF(Executions!B:B,A517,Executions!H:H)</f>
        <v>1.6800000000000068</v>
      </c>
      <c r="O517">
        <f t="shared" si="168"/>
        <v>0.35000000000000264</v>
      </c>
      <c r="P517" s="4">
        <f>Tabla1[[#This Row],[Initial Risk $]]/Tabla1[[#This Row],[Position Size (shares)]]+Tabla1[[#This Row],[Entry Price]]</f>
        <v>89.07</v>
      </c>
      <c r="Q517" s="4">
        <f>Tabla1[[#This Row],[Initial Risk $]]/Tabla1[[#This Row],[Position Size (shares)]]*1.5+Tabla1[[#This Row],[Entry Price]]</f>
        <v>89.47</v>
      </c>
      <c r="R517" s="4">
        <f>Tabla1[[#This Row],[Initial Risk $]]/Tabla1[[#This Row],[Position Size (shares)]]*2+Tabla1[[#This Row],[Entry Price]]</f>
        <v>89.86999999999999</v>
      </c>
      <c r="S517" s="4">
        <f>Tabla1[[#This Row],[Initial Risk $]]/Tabla1[[#This Row],[Position Size (shares)]]*2.5+Tabla1[[#This Row],[Entry Price]]</f>
        <v>90.269999999999982</v>
      </c>
      <c r="T517" s="4">
        <f>Tabla1[[#This Row],[Initial Risk $]]/Tabla1[[#This Row],[Position Size (shares)]]*3+Tabla1[[#This Row],[Entry Price]]</f>
        <v>90.669999999999987</v>
      </c>
    </row>
    <row r="518" spans="1:20" customFormat="1" hidden="1" x14ac:dyDescent="0.25">
      <c r="A518" t="str">
        <f t="shared" si="165"/>
        <v>T-517</v>
      </c>
      <c r="B518" s="1">
        <v>46224</v>
      </c>
      <c r="C518" t="s">
        <v>181</v>
      </c>
      <c r="D518" t="s">
        <v>28</v>
      </c>
      <c r="E518" t="s">
        <v>53</v>
      </c>
      <c r="F518">
        <v>11.99</v>
      </c>
      <c r="G518">
        <v>11.79</v>
      </c>
      <c r="H518">
        <f>Tabla1[[#This Row],[Entry Price]]-(Tabla1[[#This Row],[Entry Price]]-Tabla1[[#This Row],[Initial Stop]])/2</f>
        <v>11.89</v>
      </c>
      <c r="I518">
        <v>30</v>
      </c>
      <c r="J518">
        <f t="shared" si="166"/>
        <v>6.000000000000032</v>
      </c>
      <c r="K518">
        <v>1</v>
      </c>
      <c r="L518">
        <f t="shared" si="167"/>
        <v>6.000000000000032</v>
      </c>
      <c r="M518" t="s">
        <v>72</v>
      </c>
      <c r="N518">
        <f>SUMIF(Executions!B:B,A518,Executions!H:H)</f>
        <v>-2.6999999999999957</v>
      </c>
      <c r="O518">
        <f t="shared" si="168"/>
        <v>-0.4499999999999969</v>
      </c>
      <c r="P518" s="4">
        <f>Tabla1[[#This Row],[Initial Risk $]]/Tabla1[[#This Row],[Position Size (shares)]]+Tabla1[[#This Row],[Entry Price]]</f>
        <v>12.190000000000001</v>
      </c>
      <c r="Q518" s="4">
        <f>Tabla1[[#This Row],[Initial Risk $]]/Tabla1[[#This Row],[Position Size (shares)]]*1.5+Tabla1[[#This Row],[Entry Price]]</f>
        <v>12.290000000000003</v>
      </c>
      <c r="R518" s="4">
        <f>Tabla1[[#This Row],[Initial Risk $]]/Tabla1[[#This Row],[Position Size (shares)]]*2+Tabla1[[#This Row],[Entry Price]]</f>
        <v>12.390000000000002</v>
      </c>
      <c r="S518" s="4">
        <f>Tabla1[[#This Row],[Initial Risk $]]/Tabla1[[#This Row],[Position Size (shares)]]*2.5+Tabla1[[#This Row],[Entry Price]]</f>
        <v>12.490000000000002</v>
      </c>
      <c r="T518" s="4">
        <f>Tabla1[[#This Row],[Initial Risk $]]/Tabla1[[#This Row],[Position Size (shares)]]*3+Tabla1[[#This Row],[Entry Price]]</f>
        <v>12.590000000000003</v>
      </c>
    </row>
    <row r="519" spans="1:20" customFormat="1" hidden="1" x14ac:dyDescent="0.25">
      <c r="A519" t="str">
        <f t="shared" ref="A519:A525" si="169">"T-"&amp; TEXT(ROW()-1,"000")</f>
        <v>T-518</v>
      </c>
      <c r="B519" s="1">
        <v>46225</v>
      </c>
      <c r="C519" t="s">
        <v>279</v>
      </c>
      <c r="D519" t="s">
        <v>28</v>
      </c>
      <c r="E519" t="s">
        <v>58</v>
      </c>
      <c r="F519">
        <v>960</v>
      </c>
      <c r="G519">
        <v>450</v>
      </c>
      <c r="H519">
        <f>Tabla1[[#This Row],[Entry Price]]-(Tabla1[[#This Row],[Entry Price]]-Tabla1[[#This Row],[Initial Stop]])/2</f>
        <v>705</v>
      </c>
      <c r="I519">
        <v>1</v>
      </c>
      <c r="J519">
        <f t="shared" ref="J519:J525" si="170">IF(D519="Long",(F519-G519)*I519,(G519-F519)*0)</f>
        <v>510</v>
      </c>
      <c r="K519">
        <v>1</v>
      </c>
      <c r="L519">
        <f t="shared" ref="L519:L525" si="171">J519*K519</f>
        <v>510</v>
      </c>
      <c r="M519" t="s">
        <v>72</v>
      </c>
      <c r="N519">
        <f>SUMIF(Executions!B:B,A519,Executions!H:H)</f>
        <v>9.8099999999999454</v>
      </c>
      <c r="O519">
        <f t="shared" ref="O519:O525" si="172">N519/J519</f>
        <v>1.9235294117646951E-2</v>
      </c>
      <c r="P519" s="4">
        <f>Tabla1[[#This Row],[Initial Risk $]]/Tabla1[[#This Row],[Position Size (shares)]]+Tabla1[[#This Row],[Entry Price]]</f>
        <v>1470</v>
      </c>
      <c r="Q519" s="4">
        <f>Tabla1[[#This Row],[Initial Risk $]]/Tabla1[[#This Row],[Position Size (shares)]]*1.5+Tabla1[[#This Row],[Entry Price]]</f>
        <v>1725</v>
      </c>
      <c r="R519" s="4">
        <f>Tabla1[[#This Row],[Initial Risk $]]/Tabla1[[#This Row],[Position Size (shares)]]*2+Tabla1[[#This Row],[Entry Price]]</f>
        <v>1980</v>
      </c>
      <c r="S519" s="4">
        <f>Tabla1[[#This Row],[Initial Risk $]]/Tabla1[[#This Row],[Position Size (shares)]]*2.5+Tabla1[[#This Row],[Entry Price]]</f>
        <v>2235</v>
      </c>
      <c r="T519" s="4">
        <f>Tabla1[[#This Row],[Initial Risk $]]/Tabla1[[#This Row],[Position Size (shares)]]*3+Tabla1[[#This Row],[Entry Price]]</f>
        <v>2490</v>
      </c>
    </row>
    <row r="520" spans="1:20" customFormat="1" hidden="1" x14ac:dyDescent="0.25">
      <c r="A520" t="str">
        <f t="shared" si="169"/>
        <v>T-519</v>
      </c>
      <c r="B520" s="1">
        <v>46225</v>
      </c>
      <c r="C520" t="s">
        <v>529</v>
      </c>
      <c r="D520" t="s">
        <v>28</v>
      </c>
      <c r="E520" t="s">
        <v>58</v>
      </c>
      <c r="F520">
        <v>117.43</v>
      </c>
      <c r="G520">
        <v>116.43</v>
      </c>
      <c r="H520">
        <f>Tabla1[[#This Row],[Entry Price]]-(Tabla1[[#This Row],[Entry Price]]-Tabla1[[#This Row],[Initial Stop]])/2</f>
        <v>116.93</v>
      </c>
      <c r="I520">
        <v>10</v>
      </c>
      <c r="J520">
        <f t="shared" si="170"/>
        <v>10</v>
      </c>
      <c r="K520">
        <v>1</v>
      </c>
      <c r="L520">
        <f t="shared" si="171"/>
        <v>10</v>
      </c>
      <c r="M520" t="s">
        <v>72</v>
      </c>
      <c r="N520">
        <f>SUMIF(Executions!B:B,A520,Executions!H:H)</f>
        <v>-4.4000000000001194</v>
      </c>
      <c r="O520">
        <f t="shared" si="172"/>
        <v>-0.44000000000001194</v>
      </c>
      <c r="P520" s="4">
        <f>Tabla1[[#This Row],[Initial Risk $]]/Tabla1[[#This Row],[Position Size (shares)]]+Tabla1[[#This Row],[Entry Price]]</f>
        <v>118.43</v>
      </c>
      <c r="Q520" s="4">
        <f>Tabla1[[#This Row],[Initial Risk $]]/Tabla1[[#This Row],[Position Size (shares)]]*1.5+Tabla1[[#This Row],[Entry Price]]</f>
        <v>118.93</v>
      </c>
      <c r="R520" s="4">
        <f>Tabla1[[#This Row],[Initial Risk $]]/Tabla1[[#This Row],[Position Size (shares)]]*2+Tabla1[[#This Row],[Entry Price]]</f>
        <v>119.43</v>
      </c>
      <c r="S520" s="4">
        <f>Tabla1[[#This Row],[Initial Risk $]]/Tabla1[[#This Row],[Position Size (shares)]]*2.5+Tabla1[[#This Row],[Entry Price]]</f>
        <v>119.93</v>
      </c>
      <c r="T520" s="4">
        <f>Tabla1[[#This Row],[Initial Risk $]]/Tabla1[[#This Row],[Position Size (shares)]]*3+Tabla1[[#This Row],[Entry Price]]</f>
        <v>120.43</v>
      </c>
    </row>
    <row r="521" spans="1:20" customFormat="1" hidden="1" x14ac:dyDescent="0.25">
      <c r="A521" t="str">
        <f t="shared" si="169"/>
        <v>T-520</v>
      </c>
      <c r="B521" s="1">
        <v>46225</v>
      </c>
      <c r="C521" t="s">
        <v>186</v>
      </c>
      <c r="D521" t="s">
        <v>28</v>
      </c>
      <c r="E521" t="s">
        <v>27</v>
      </c>
      <c r="F521">
        <v>244.31</v>
      </c>
      <c r="G521">
        <v>243.56</v>
      </c>
      <c r="H521">
        <f>Tabla1[[#This Row],[Entry Price]]-(Tabla1[[#This Row],[Entry Price]]-Tabla1[[#This Row],[Initial Stop]])/2</f>
        <v>243.935</v>
      </c>
      <c r="I521">
        <v>10</v>
      </c>
      <c r="J521">
        <f t="shared" si="170"/>
        <v>7.5</v>
      </c>
      <c r="K521">
        <v>1</v>
      </c>
      <c r="L521">
        <f t="shared" si="171"/>
        <v>7.5</v>
      </c>
      <c r="M521" t="s">
        <v>72</v>
      </c>
      <c r="N521">
        <f>SUMIF(Executions!B:B,A521,Executions!H:H)</f>
        <v>-8.1000000000000227</v>
      </c>
      <c r="O521">
        <f t="shared" si="172"/>
        <v>-1.080000000000003</v>
      </c>
      <c r="P521" s="4">
        <f>Tabla1[[#This Row],[Initial Risk $]]/Tabla1[[#This Row],[Position Size (shares)]]+Tabla1[[#This Row],[Entry Price]]</f>
        <v>245.06</v>
      </c>
      <c r="Q521" s="4">
        <f>Tabla1[[#This Row],[Initial Risk $]]/Tabla1[[#This Row],[Position Size (shares)]]*1.5+Tabla1[[#This Row],[Entry Price]]</f>
        <v>245.435</v>
      </c>
      <c r="R521" s="4">
        <f>Tabla1[[#This Row],[Initial Risk $]]/Tabla1[[#This Row],[Position Size (shares)]]*2+Tabla1[[#This Row],[Entry Price]]</f>
        <v>245.81</v>
      </c>
      <c r="S521" s="4">
        <f>Tabla1[[#This Row],[Initial Risk $]]/Tabla1[[#This Row],[Position Size (shares)]]*2.5+Tabla1[[#This Row],[Entry Price]]</f>
        <v>246.185</v>
      </c>
      <c r="T521" s="4">
        <f>Tabla1[[#This Row],[Initial Risk $]]/Tabla1[[#This Row],[Position Size (shares)]]*3+Tabla1[[#This Row],[Entry Price]]</f>
        <v>246.56</v>
      </c>
    </row>
    <row r="522" spans="1:20" customFormat="1" hidden="1" x14ac:dyDescent="0.25">
      <c r="A522" t="str">
        <f t="shared" si="169"/>
        <v>T-521</v>
      </c>
      <c r="B522" s="1">
        <v>46225</v>
      </c>
      <c r="C522" t="s">
        <v>370</v>
      </c>
      <c r="D522" t="s">
        <v>28</v>
      </c>
      <c r="E522" t="s">
        <v>27</v>
      </c>
      <c r="F522">
        <v>31.61</v>
      </c>
      <c r="G522">
        <v>31.36</v>
      </c>
      <c r="H522">
        <f>Tabla1[[#This Row],[Entry Price]]-(Tabla1[[#This Row],[Entry Price]]-Tabla1[[#This Row],[Initial Stop]])/2</f>
        <v>31.484999999999999</v>
      </c>
      <c r="I522">
        <v>20</v>
      </c>
      <c r="J522">
        <f t="shared" si="170"/>
        <v>5</v>
      </c>
      <c r="K522">
        <v>1</v>
      </c>
      <c r="L522">
        <f t="shared" si="171"/>
        <v>5</v>
      </c>
      <c r="M522" t="s">
        <v>72</v>
      </c>
      <c r="N522">
        <f>SUMIF(Executions!B:B,A522,Executions!H:H)</f>
        <v>-5.1999999999999602</v>
      </c>
      <c r="O522">
        <f t="shared" si="172"/>
        <v>-1.039999999999992</v>
      </c>
      <c r="P522" s="4">
        <f>Tabla1[[#This Row],[Initial Risk $]]/Tabla1[[#This Row],[Position Size (shares)]]+Tabla1[[#This Row],[Entry Price]]</f>
        <v>31.86</v>
      </c>
      <c r="Q522" s="4">
        <f>Tabla1[[#This Row],[Initial Risk $]]/Tabla1[[#This Row],[Position Size (shares)]]*1.5+Tabla1[[#This Row],[Entry Price]]</f>
        <v>31.984999999999999</v>
      </c>
      <c r="R522" s="4">
        <f>Tabla1[[#This Row],[Initial Risk $]]/Tabla1[[#This Row],[Position Size (shares)]]*2+Tabla1[[#This Row],[Entry Price]]</f>
        <v>32.11</v>
      </c>
      <c r="S522" s="4">
        <f>Tabla1[[#This Row],[Initial Risk $]]/Tabla1[[#This Row],[Position Size (shares)]]*2.5+Tabla1[[#This Row],[Entry Price]]</f>
        <v>32.234999999999999</v>
      </c>
      <c r="T522" s="4">
        <f>Tabla1[[#This Row],[Initial Risk $]]/Tabla1[[#This Row],[Position Size (shares)]]*3+Tabla1[[#This Row],[Entry Price]]</f>
        <v>32.36</v>
      </c>
    </row>
    <row r="523" spans="1:20" customFormat="1" hidden="1" x14ac:dyDescent="0.25">
      <c r="A523" t="str">
        <f t="shared" si="169"/>
        <v>T-522</v>
      </c>
      <c r="B523" s="1">
        <v>46225</v>
      </c>
      <c r="C523" t="s">
        <v>370</v>
      </c>
      <c r="D523" t="s">
        <v>28</v>
      </c>
      <c r="E523" t="s">
        <v>27</v>
      </c>
      <c r="F523">
        <v>31.34</v>
      </c>
      <c r="G523">
        <v>31.17</v>
      </c>
      <c r="H523">
        <f>Tabla1[[#This Row],[Entry Price]]-(Tabla1[[#This Row],[Entry Price]]-Tabla1[[#This Row],[Initial Stop]])/2</f>
        <v>31.255000000000003</v>
      </c>
      <c r="I523">
        <v>20</v>
      </c>
      <c r="J523">
        <f t="shared" si="170"/>
        <v>3.3999999999999631</v>
      </c>
      <c r="K523">
        <v>1</v>
      </c>
      <c r="L523">
        <f t="shared" si="171"/>
        <v>3.3999999999999631</v>
      </c>
      <c r="M523" t="s">
        <v>72</v>
      </c>
      <c r="N523">
        <f>SUMIF(Executions!B:B,A523,Executions!H:H)</f>
        <v>3.2000000000000028</v>
      </c>
      <c r="O523">
        <f t="shared" si="172"/>
        <v>0.94117647058824638</v>
      </c>
      <c r="P523" s="4">
        <f>Tabla1[[#This Row],[Initial Risk $]]/Tabla1[[#This Row],[Position Size (shares)]]+Tabla1[[#This Row],[Entry Price]]</f>
        <v>31.509999999999998</v>
      </c>
      <c r="Q523" s="4">
        <f>Tabla1[[#This Row],[Initial Risk $]]/Tabla1[[#This Row],[Position Size (shares)]]*1.5+Tabla1[[#This Row],[Entry Price]]</f>
        <v>31.594999999999999</v>
      </c>
      <c r="R523" s="4">
        <f>Tabla1[[#This Row],[Initial Risk $]]/Tabla1[[#This Row],[Position Size (shares)]]*2+Tabla1[[#This Row],[Entry Price]]</f>
        <v>31.679999999999996</v>
      </c>
      <c r="S523" s="4">
        <f>Tabla1[[#This Row],[Initial Risk $]]/Tabla1[[#This Row],[Position Size (shares)]]*2.5+Tabla1[[#This Row],[Entry Price]]</f>
        <v>31.764999999999993</v>
      </c>
      <c r="T523" s="4">
        <f>Tabla1[[#This Row],[Initial Risk $]]/Tabla1[[#This Row],[Position Size (shares)]]*3+Tabla1[[#This Row],[Entry Price]]</f>
        <v>31.849999999999994</v>
      </c>
    </row>
    <row r="524" spans="1:20" customFormat="1" hidden="1" x14ac:dyDescent="0.25">
      <c r="A524" t="str">
        <f t="shared" si="169"/>
        <v>T-523</v>
      </c>
      <c r="B524" s="1">
        <v>46225</v>
      </c>
      <c r="C524" t="s">
        <v>529</v>
      </c>
      <c r="D524" t="s">
        <v>28</v>
      </c>
      <c r="E524" t="s">
        <v>50</v>
      </c>
      <c r="F524">
        <v>116.75</v>
      </c>
      <c r="G524">
        <v>116.34</v>
      </c>
      <c r="H524">
        <f>Tabla1[[#This Row],[Entry Price]]-(Tabla1[[#This Row],[Entry Price]]-Tabla1[[#This Row],[Initial Stop]])/2</f>
        <v>116.545</v>
      </c>
      <c r="I524">
        <v>10</v>
      </c>
      <c r="J524">
        <f t="shared" si="170"/>
        <v>4.0999999999999659</v>
      </c>
      <c r="K524">
        <v>1</v>
      </c>
      <c r="L524">
        <f t="shared" si="171"/>
        <v>4.0999999999999659</v>
      </c>
      <c r="M524" t="s">
        <v>72</v>
      </c>
      <c r="N524">
        <f>SUMIF(Executions!B:B,A524,Executions!H:H)</f>
        <v>-4.2000000000000171</v>
      </c>
      <c r="O524">
        <f t="shared" si="172"/>
        <v>-1.0243902439024517</v>
      </c>
      <c r="P524" s="4">
        <f>Tabla1[[#This Row],[Initial Risk $]]/Tabla1[[#This Row],[Position Size (shares)]]+Tabla1[[#This Row],[Entry Price]]</f>
        <v>117.16</v>
      </c>
      <c r="Q524" s="4">
        <f>Tabla1[[#This Row],[Initial Risk $]]/Tabla1[[#This Row],[Position Size (shares)]]*1.5+Tabla1[[#This Row],[Entry Price]]</f>
        <v>117.36499999999999</v>
      </c>
      <c r="R524" s="4">
        <f>Tabla1[[#This Row],[Initial Risk $]]/Tabla1[[#This Row],[Position Size (shares)]]*2+Tabla1[[#This Row],[Entry Price]]</f>
        <v>117.57</v>
      </c>
      <c r="S524" s="4">
        <f>Tabla1[[#This Row],[Initial Risk $]]/Tabla1[[#This Row],[Position Size (shares)]]*2.5+Tabla1[[#This Row],[Entry Price]]</f>
        <v>117.77499999999999</v>
      </c>
      <c r="T524" s="4">
        <f>Tabla1[[#This Row],[Initial Risk $]]/Tabla1[[#This Row],[Position Size (shares)]]*3+Tabla1[[#This Row],[Entry Price]]</f>
        <v>117.97999999999999</v>
      </c>
    </row>
    <row r="525" spans="1:20" customFormat="1" hidden="1" x14ac:dyDescent="0.25">
      <c r="A525" t="str">
        <f t="shared" si="169"/>
        <v>T-524</v>
      </c>
      <c r="B525" s="1">
        <v>46225</v>
      </c>
      <c r="C525" t="s">
        <v>154</v>
      </c>
      <c r="D525" t="s">
        <v>28</v>
      </c>
      <c r="E525" t="s">
        <v>58</v>
      </c>
      <c r="F525">
        <v>347.37</v>
      </c>
      <c r="G525">
        <v>346.41</v>
      </c>
      <c r="H525">
        <f>Tabla1[[#This Row],[Entry Price]]-(Tabla1[[#This Row],[Entry Price]]-Tabla1[[#This Row],[Initial Stop]])/2</f>
        <v>346.89</v>
      </c>
      <c r="I525">
        <v>3</v>
      </c>
      <c r="J525">
        <f t="shared" si="170"/>
        <v>2.8799999999999386</v>
      </c>
      <c r="K525">
        <v>1</v>
      </c>
      <c r="L525">
        <f t="shared" si="171"/>
        <v>2.8799999999999386</v>
      </c>
      <c r="M525" t="s">
        <v>72</v>
      </c>
      <c r="N525">
        <f>SUMIF(Executions!B:B,A525,Executions!H:H)</f>
        <v>-2.9100000000000819</v>
      </c>
      <c r="O525">
        <f t="shared" si="172"/>
        <v>-1.0104166666667167</v>
      </c>
      <c r="P525" s="4">
        <f>Tabla1[[#This Row],[Initial Risk $]]/Tabla1[[#This Row],[Position Size (shares)]]+Tabla1[[#This Row],[Entry Price]]</f>
        <v>348.33</v>
      </c>
      <c r="Q525" s="4">
        <f>Tabla1[[#This Row],[Initial Risk $]]/Tabla1[[#This Row],[Position Size (shares)]]*1.5+Tabla1[[#This Row],[Entry Price]]</f>
        <v>348.80999999999995</v>
      </c>
      <c r="R525" s="4">
        <f>Tabla1[[#This Row],[Initial Risk $]]/Tabla1[[#This Row],[Position Size (shares)]]*2+Tabla1[[#This Row],[Entry Price]]</f>
        <v>349.28999999999996</v>
      </c>
      <c r="S525" s="4">
        <f>Tabla1[[#This Row],[Initial Risk $]]/Tabla1[[#This Row],[Position Size (shares)]]*2.5+Tabla1[[#This Row],[Entry Price]]</f>
        <v>349.77</v>
      </c>
      <c r="T525" s="4">
        <f>Tabla1[[#This Row],[Initial Risk $]]/Tabla1[[#This Row],[Position Size (shares)]]*3+Tabla1[[#This Row],[Entry Price]]</f>
        <v>350.24999999999994</v>
      </c>
    </row>
    <row r="526" spans="1:20" customFormat="1" hidden="1" x14ac:dyDescent="0.25">
      <c r="A526" t="str">
        <f t="shared" ref="A526:A534" si="173">"T-"&amp; TEXT(ROW()-1,"000")</f>
        <v>T-525</v>
      </c>
      <c r="B526" s="1">
        <v>46226</v>
      </c>
      <c r="C526" t="s">
        <v>462</v>
      </c>
      <c r="D526" t="s">
        <v>28</v>
      </c>
      <c r="E526" t="s">
        <v>58</v>
      </c>
      <c r="F526">
        <v>24.15</v>
      </c>
      <c r="G526">
        <v>23.83</v>
      </c>
      <c r="H526">
        <f>Tabla1[[#This Row],[Entry Price]]-(Tabla1[[#This Row],[Entry Price]]-Tabla1[[#This Row],[Initial Stop]])/2</f>
        <v>23.99</v>
      </c>
      <c r="I526">
        <v>30</v>
      </c>
      <c r="J526">
        <f t="shared" ref="J526:J534" si="174">IF(D526="Long",(F526-G526)*I526,(G526-F526)*0)</f>
        <v>9.6000000000000085</v>
      </c>
      <c r="K526">
        <v>1</v>
      </c>
      <c r="L526">
        <f t="shared" ref="L526:L534" si="175">J526*K526</f>
        <v>9.6000000000000085</v>
      </c>
      <c r="M526" t="s">
        <v>72</v>
      </c>
      <c r="N526">
        <f>SUMIF(Executions!B:B,A526,Executions!H:H)</f>
        <v>24.000000000000021</v>
      </c>
      <c r="O526">
        <f t="shared" ref="O526:O534" si="176">N526/J526</f>
        <v>2.5</v>
      </c>
      <c r="P526" s="4">
        <f>Tabla1[[#This Row],[Initial Risk $]]/Tabla1[[#This Row],[Position Size (shares)]]+Tabla1[[#This Row],[Entry Price]]</f>
        <v>24.47</v>
      </c>
      <c r="Q526" s="4">
        <f>Tabla1[[#This Row],[Initial Risk $]]/Tabla1[[#This Row],[Position Size (shares)]]*1.5+Tabla1[[#This Row],[Entry Price]]</f>
        <v>24.63</v>
      </c>
      <c r="R526" s="4">
        <f>Tabla1[[#This Row],[Initial Risk $]]/Tabla1[[#This Row],[Position Size (shares)]]*2+Tabla1[[#This Row],[Entry Price]]</f>
        <v>24.79</v>
      </c>
      <c r="S526" s="4">
        <f>Tabla1[[#This Row],[Initial Risk $]]/Tabla1[[#This Row],[Position Size (shares)]]*2.5+Tabla1[[#This Row],[Entry Price]]</f>
        <v>24.95</v>
      </c>
      <c r="T526" s="4">
        <f>Tabla1[[#This Row],[Initial Risk $]]/Tabla1[[#This Row],[Position Size (shares)]]*3+Tabla1[[#This Row],[Entry Price]]</f>
        <v>25.11</v>
      </c>
    </row>
    <row r="527" spans="1:20" customFormat="1" hidden="1" x14ac:dyDescent="0.25">
      <c r="A527" t="str">
        <f t="shared" si="173"/>
        <v>T-526</v>
      </c>
      <c r="B527" s="1">
        <v>46226</v>
      </c>
      <c r="C527" t="s">
        <v>207</v>
      </c>
      <c r="D527" t="s">
        <v>28</v>
      </c>
      <c r="E527" t="s">
        <v>58</v>
      </c>
      <c r="F527">
        <v>31.34</v>
      </c>
      <c r="G527">
        <v>30.9</v>
      </c>
      <c r="H527">
        <f>Tabla1[[#This Row],[Entry Price]]-(Tabla1[[#This Row],[Entry Price]]-Tabla1[[#This Row],[Initial Stop]])/2</f>
        <v>31.119999999999997</v>
      </c>
      <c r="I527">
        <v>10</v>
      </c>
      <c r="J527">
        <f t="shared" si="174"/>
        <v>4.4000000000000128</v>
      </c>
      <c r="K527">
        <v>1</v>
      </c>
      <c r="L527">
        <f t="shared" si="175"/>
        <v>4.4000000000000128</v>
      </c>
      <c r="M527" t="s">
        <v>72</v>
      </c>
      <c r="N527">
        <f>SUMIF(Executions!B:B,A527,Executions!H:H)</f>
        <v>1.2999999999999901</v>
      </c>
      <c r="O527">
        <f t="shared" si="176"/>
        <v>0.29545454545454236</v>
      </c>
      <c r="P527" s="4">
        <f>Tabla1[[#This Row],[Initial Risk $]]/Tabla1[[#This Row],[Position Size (shares)]]+Tabla1[[#This Row],[Entry Price]]</f>
        <v>31.78</v>
      </c>
      <c r="Q527" s="4">
        <f>Tabla1[[#This Row],[Initial Risk $]]/Tabla1[[#This Row],[Position Size (shares)]]*1.5+Tabla1[[#This Row],[Entry Price]]</f>
        <v>32</v>
      </c>
      <c r="R527" s="4">
        <f>Tabla1[[#This Row],[Initial Risk $]]/Tabla1[[#This Row],[Position Size (shares)]]*2+Tabla1[[#This Row],[Entry Price]]</f>
        <v>32.22</v>
      </c>
      <c r="S527" s="4">
        <f>Tabla1[[#This Row],[Initial Risk $]]/Tabla1[[#This Row],[Position Size (shares)]]*2.5+Tabla1[[#This Row],[Entry Price]]</f>
        <v>32.440000000000005</v>
      </c>
      <c r="T527" s="4">
        <f>Tabla1[[#This Row],[Initial Risk $]]/Tabla1[[#This Row],[Position Size (shares)]]*3+Tabla1[[#This Row],[Entry Price]]</f>
        <v>32.660000000000004</v>
      </c>
    </row>
    <row r="528" spans="1:20" customFormat="1" hidden="1" x14ac:dyDescent="0.25">
      <c r="A528" t="str">
        <f t="shared" si="173"/>
        <v>T-527</v>
      </c>
      <c r="B528" s="1">
        <v>46226</v>
      </c>
      <c r="C528" t="s">
        <v>771</v>
      </c>
      <c r="D528" t="s">
        <v>28</v>
      </c>
      <c r="E528" t="s">
        <v>119</v>
      </c>
      <c r="F528">
        <v>64.040000000000006</v>
      </c>
      <c r="G528">
        <v>63.45</v>
      </c>
      <c r="H528">
        <f>Tabla1[[#This Row],[Entry Price]]-(Tabla1[[#This Row],[Entry Price]]-Tabla1[[#This Row],[Initial Stop]])/2</f>
        <v>63.745000000000005</v>
      </c>
      <c r="I528">
        <v>12</v>
      </c>
      <c r="J528">
        <f t="shared" si="174"/>
        <v>7.0800000000000409</v>
      </c>
      <c r="K528">
        <v>1</v>
      </c>
      <c r="L528">
        <f t="shared" si="175"/>
        <v>7.0800000000000409</v>
      </c>
      <c r="M528" t="s">
        <v>72</v>
      </c>
      <c r="N528">
        <f>SUMIF(Executions!B:B,A528,Executions!H:H)</f>
        <v>-7.3200000000000784</v>
      </c>
      <c r="O528">
        <f t="shared" si="176"/>
        <v>-1.0338983050847508</v>
      </c>
      <c r="P528" s="4">
        <f>Tabla1[[#This Row],[Initial Risk $]]/Tabla1[[#This Row],[Position Size (shares)]]+Tabla1[[#This Row],[Entry Price]]</f>
        <v>64.63000000000001</v>
      </c>
      <c r="Q528" s="4">
        <f>Tabla1[[#This Row],[Initial Risk $]]/Tabla1[[#This Row],[Position Size (shares)]]*1.5+Tabla1[[#This Row],[Entry Price]]</f>
        <v>64.925000000000011</v>
      </c>
      <c r="R528" s="4">
        <f>Tabla1[[#This Row],[Initial Risk $]]/Tabla1[[#This Row],[Position Size (shares)]]*2+Tabla1[[#This Row],[Entry Price]]</f>
        <v>65.220000000000013</v>
      </c>
      <c r="S528" s="4">
        <f>Tabla1[[#This Row],[Initial Risk $]]/Tabla1[[#This Row],[Position Size (shares)]]*2.5+Tabla1[[#This Row],[Entry Price]]</f>
        <v>65.515000000000015</v>
      </c>
      <c r="T528" s="4">
        <f>Tabla1[[#This Row],[Initial Risk $]]/Tabla1[[#This Row],[Position Size (shares)]]*3+Tabla1[[#This Row],[Entry Price]]</f>
        <v>65.810000000000016</v>
      </c>
    </row>
    <row r="529" spans="1:20" customFormat="1" hidden="1" x14ac:dyDescent="0.25">
      <c r="A529" t="str">
        <f t="shared" si="173"/>
        <v>T-528</v>
      </c>
      <c r="B529" s="1">
        <v>46226</v>
      </c>
      <c r="C529" t="s">
        <v>130</v>
      </c>
      <c r="D529" t="s">
        <v>28</v>
      </c>
      <c r="E529" t="s">
        <v>50</v>
      </c>
      <c r="F529">
        <v>551</v>
      </c>
      <c r="G529">
        <v>548</v>
      </c>
      <c r="H529">
        <f>Tabla1[[#This Row],[Entry Price]]-(Tabla1[[#This Row],[Entry Price]]-Tabla1[[#This Row],[Initial Stop]])/2</f>
        <v>549.5</v>
      </c>
      <c r="I529">
        <v>2</v>
      </c>
      <c r="J529">
        <f t="shared" si="174"/>
        <v>6</v>
      </c>
      <c r="K529">
        <v>1</v>
      </c>
      <c r="L529">
        <f t="shared" si="175"/>
        <v>6</v>
      </c>
      <c r="M529" t="s">
        <v>72</v>
      </c>
      <c r="N529">
        <f>SUMIF(Executions!B:B,A529,Executions!H:H)</f>
        <v>-6.1800000000000637</v>
      </c>
      <c r="O529">
        <f t="shared" si="176"/>
        <v>-1.0300000000000107</v>
      </c>
      <c r="P529" s="4">
        <f>Tabla1[[#This Row],[Initial Risk $]]/Tabla1[[#This Row],[Position Size (shares)]]+Tabla1[[#This Row],[Entry Price]]</f>
        <v>554</v>
      </c>
      <c r="Q529" s="4">
        <f>Tabla1[[#This Row],[Initial Risk $]]/Tabla1[[#This Row],[Position Size (shares)]]*1.5+Tabla1[[#This Row],[Entry Price]]</f>
        <v>555.5</v>
      </c>
      <c r="R529" s="4">
        <f>Tabla1[[#This Row],[Initial Risk $]]/Tabla1[[#This Row],[Position Size (shares)]]*2+Tabla1[[#This Row],[Entry Price]]</f>
        <v>557</v>
      </c>
      <c r="S529" s="4">
        <f>Tabla1[[#This Row],[Initial Risk $]]/Tabla1[[#This Row],[Position Size (shares)]]*2.5+Tabla1[[#This Row],[Entry Price]]</f>
        <v>558.5</v>
      </c>
      <c r="T529" s="4">
        <f>Tabla1[[#This Row],[Initial Risk $]]/Tabla1[[#This Row],[Position Size (shares)]]*3+Tabla1[[#This Row],[Entry Price]]</f>
        <v>560</v>
      </c>
    </row>
    <row r="530" spans="1:20" customFormat="1" hidden="1" x14ac:dyDescent="0.25">
      <c r="A530" t="str">
        <f t="shared" si="173"/>
        <v>T-529</v>
      </c>
      <c r="B530" s="1">
        <v>46226</v>
      </c>
      <c r="C530" t="s">
        <v>462</v>
      </c>
      <c r="D530" t="s">
        <v>28</v>
      </c>
      <c r="E530" t="s">
        <v>119</v>
      </c>
      <c r="F530">
        <v>24.58</v>
      </c>
      <c r="G530">
        <v>24.43</v>
      </c>
      <c r="H530">
        <f>Tabla1[[#This Row],[Entry Price]]-(Tabla1[[#This Row],[Entry Price]]-Tabla1[[#This Row],[Initial Stop]])/2</f>
        <v>24.504999999999999</v>
      </c>
      <c r="I530">
        <v>40</v>
      </c>
      <c r="J530">
        <f t="shared" si="174"/>
        <v>5.9999999999999432</v>
      </c>
      <c r="K530">
        <v>1</v>
      </c>
      <c r="L530">
        <f t="shared" si="175"/>
        <v>5.9999999999999432</v>
      </c>
      <c r="M530" t="s">
        <v>72</v>
      </c>
      <c r="N530">
        <f>SUMIF(Executions!B:B,A530,Executions!H:H)</f>
        <v>-6.7999999999999261</v>
      </c>
      <c r="O530">
        <f t="shared" si="176"/>
        <v>-1.1333333333333317</v>
      </c>
      <c r="P530" s="4">
        <f>Tabla1[[#This Row],[Initial Risk $]]/Tabla1[[#This Row],[Position Size (shares)]]+Tabla1[[#This Row],[Entry Price]]</f>
        <v>24.729999999999997</v>
      </c>
      <c r="Q530" s="4">
        <f>Tabla1[[#This Row],[Initial Risk $]]/Tabla1[[#This Row],[Position Size (shares)]]*1.5+Tabla1[[#This Row],[Entry Price]]</f>
        <v>24.804999999999996</v>
      </c>
      <c r="R530" s="4">
        <f>Tabla1[[#This Row],[Initial Risk $]]/Tabla1[[#This Row],[Position Size (shares)]]*2+Tabla1[[#This Row],[Entry Price]]</f>
        <v>24.879999999999995</v>
      </c>
      <c r="S530" s="4">
        <f>Tabla1[[#This Row],[Initial Risk $]]/Tabla1[[#This Row],[Position Size (shares)]]*2.5+Tabla1[[#This Row],[Entry Price]]</f>
        <v>24.954999999999995</v>
      </c>
      <c r="T530" s="4">
        <f>Tabla1[[#This Row],[Initial Risk $]]/Tabla1[[#This Row],[Position Size (shares)]]*3+Tabla1[[#This Row],[Entry Price]]</f>
        <v>25.029999999999994</v>
      </c>
    </row>
    <row r="531" spans="1:20" customFormat="1" hidden="1" x14ac:dyDescent="0.25">
      <c r="A531" t="str">
        <f t="shared" si="173"/>
        <v>T-530</v>
      </c>
      <c r="B531" s="1">
        <v>46226</v>
      </c>
      <c r="C531" t="s">
        <v>128</v>
      </c>
      <c r="D531" t="s">
        <v>28</v>
      </c>
      <c r="E531" t="s">
        <v>58</v>
      </c>
      <c r="F531">
        <v>235.72</v>
      </c>
      <c r="G531">
        <v>234.89</v>
      </c>
      <c r="H531">
        <f>Tabla1[[#This Row],[Entry Price]]-(Tabla1[[#This Row],[Entry Price]]-Tabla1[[#This Row],[Initial Stop]])/2</f>
        <v>235.30500000000001</v>
      </c>
      <c r="I531">
        <v>5</v>
      </c>
      <c r="J531">
        <f t="shared" si="174"/>
        <v>4.1500000000000625</v>
      </c>
      <c r="K531">
        <v>1</v>
      </c>
      <c r="L531">
        <f t="shared" si="175"/>
        <v>4.1500000000000625</v>
      </c>
      <c r="M531" t="s">
        <v>72</v>
      </c>
      <c r="N531">
        <f>SUMIF(Executions!B:B,A531,Executions!H:H)</f>
        <v>-4.1500000000000625</v>
      </c>
      <c r="O531">
        <f t="shared" si="176"/>
        <v>-1</v>
      </c>
      <c r="P531" s="4">
        <f>Tabla1[[#This Row],[Initial Risk $]]/Tabla1[[#This Row],[Position Size (shares)]]+Tabla1[[#This Row],[Entry Price]]</f>
        <v>236.55</v>
      </c>
      <c r="Q531" s="4">
        <f>Tabla1[[#This Row],[Initial Risk $]]/Tabla1[[#This Row],[Position Size (shares)]]*1.5+Tabla1[[#This Row],[Entry Price]]</f>
        <v>236.96500000000003</v>
      </c>
      <c r="R531" s="4">
        <f>Tabla1[[#This Row],[Initial Risk $]]/Tabla1[[#This Row],[Position Size (shares)]]*2+Tabla1[[#This Row],[Entry Price]]</f>
        <v>237.38000000000002</v>
      </c>
      <c r="S531" s="4">
        <f>Tabla1[[#This Row],[Initial Risk $]]/Tabla1[[#This Row],[Position Size (shares)]]*2.5+Tabla1[[#This Row],[Entry Price]]</f>
        <v>237.79500000000002</v>
      </c>
      <c r="T531" s="4">
        <f>Tabla1[[#This Row],[Initial Risk $]]/Tabla1[[#This Row],[Position Size (shares)]]*3+Tabla1[[#This Row],[Entry Price]]</f>
        <v>238.21000000000004</v>
      </c>
    </row>
    <row r="532" spans="1:20" customFormat="1" hidden="1" x14ac:dyDescent="0.25">
      <c r="A532" t="str">
        <f t="shared" si="173"/>
        <v>T-531</v>
      </c>
      <c r="B532" s="1">
        <v>46226</v>
      </c>
      <c r="C532" t="s">
        <v>462</v>
      </c>
      <c r="D532" t="s">
        <v>28</v>
      </c>
      <c r="E532" t="s">
        <v>27</v>
      </c>
      <c r="F532">
        <v>24.25</v>
      </c>
      <c r="G532">
        <v>23.95</v>
      </c>
      <c r="H532">
        <f>Tabla1[[#This Row],[Entry Price]]-(Tabla1[[#This Row],[Entry Price]]-Tabla1[[#This Row],[Initial Stop]])/2</f>
        <v>24.1</v>
      </c>
      <c r="I532">
        <v>60</v>
      </c>
      <c r="J532">
        <f t="shared" si="174"/>
        <v>18.000000000000043</v>
      </c>
      <c r="K532">
        <v>1</v>
      </c>
      <c r="L532">
        <f t="shared" si="175"/>
        <v>18.000000000000043</v>
      </c>
      <c r="M532" t="s">
        <v>72</v>
      </c>
      <c r="N532">
        <f>SUMIF(Executions!B:B,A532,Executions!H:H)</f>
        <v>-18.000000000000043</v>
      </c>
      <c r="O532">
        <f t="shared" si="176"/>
        <v>-1</v>
      </c>
      <c r="P532" s="4">
        <f>Tabla1[[#This Row],[Initial Risk $]]/Tabla1[[#This Row],[Position Size (shares)]]+Tabla1[[#This Row],[Entry Price]]</f>
        <v>24.55</v>
      </c>
      <c r="Q532" s="4">
        <f>Tabla1[[#This Row],[Initial Risk $]]/Tabla1[[#This Row],[Position Size (shares)]]*1.5+Tabla1[[#This Row],[Entry Price]]</f>
        <v>24.700000000000003</v>
      </c>
      <c r="R532" s="4">
        <f>Tabla1[[#This Row],[Initial Risk $]]/Tabla1[[#This Row],[Position Size (shares)]]*2+Tabla1[[#This Row],[Entry Price]]</f>
        <v>24.85</v>
      </c>
      <c r="S532" s="4">
        <f>Tabla1[[#This Row],[Initial Risk $]]/Tabla1[[#This Row],[Position Size (shares)]]*2.5+Tabla1[[#This Row],[Entry Price]]</f>
        <v>25</v>
      </c>
      <c r="T532" s="4">
        <f>Tabla1[[#This Row],[Initial Risk $]]/Tabla1[[#This Row],[Position Size (shares)]]*3+Tabla1[[#This Row],[Entry Price]]</f>
        <v>25.150000000000002</v>
      </c>
    </row>
    <row r="533" spans="1:20" customFormat="1" hidden="1" x14ac:dyDescent="0.25">
      <c r="A533" t="str">
        <f t="shared" si="173"/>
        <v>T-532</v>
      </c>
      <c r="B533" s="1">
        <v>46226</v>
      </c>
      <c r="C533" t="s">
        <v>279</v>
      </c>
      <c r="D533" t="s">
        <v>28</v>
      </c>
      <c r="E533" t="s">
        <v>119</v>
      </c>
      <c r="F533">
        <v>992.76</v>
      </c>
      <c r="G533">
        <v>983</v>
      </c>
      <c r="H533">
        <f>Tabla1[[#This Row],[Entry Price]]-(Tabla1[[#This Row],[Entry Price]]-Tabla1[[#This Row],[Initial Stop]])/2</f>
        <v>987.88</v>
      </c>
      <c r="I533">
        <v>1</v>
      </c>
      <c r="J533">
        <f t="shared" si="174"/>
        <v>9.7599999999999909</v>
      </c>
      <c r="K533">
        <v>1</v>
      </c>
      <c r="L533">
        <f t="shared" si="175"/>
        <v>9.7599999999999909</v>
      </c>
      <c r="M533" t="s">
        <v>72</v>
      </c>
      <c r="N533">
        <f>SUMIF(Executions!B:B,A533,Executions!H:H)</f>
        <v>-5.9199999999999591</v>
      </c>
      <c r="O533">
        <f t="shared" si="176"/>
        <v>-0.60655737704917667</v>
      </c>
      <c r="P533" s="4">
        <f>Tabla1[[#This Row],[Initial Risk $]]/Tabla1[[#This Row],[Position Size (shares)]]+Tabla1[[#This Row],[Entry Price]]</f>
        <v>1002.52</v>
      </c>
      <c r="Q533" s="4">
        <f>Tabla1[[#This Row],[Initial Risk $]]/Tabla1[[#This Row],[Position Size (shares)]]*1.5+Tabla1[[#This Row],[Entry Price]]</f>
        <v>1007.4</v>
      </c>
      <c r="R533" s="4">
        <f>Tabla1[[#This Row],[Initial Risk $]]/Tabla1[[#This Row],[Position Size (shares)]]*2+Tabla1[[#This Row],[Entry Price]]</f>
        <v>1012.28</v>
      </c>
      <c r="S533" s="4">
        <f>Tabla1[[#This Row],[Initial Risk $]]/Tabla1[[#This Row],[Position Size (shares)]]*2.5+Tabla1[[#This Row],[Entry Price]]</f>
        <v>1017.16</v>
      </c>
      <c r="T533" s="4">
        <f>Tabla1[[#This Row],[Initial Risk $]]/Tabla1[[#This Row],[Position Size (shares)]]*3+Tabla1[[#This Row],[Entry Price]]</f>
        <v>1022.04</v>
      </c>
    </row>
    <row r="534" spans="1:20" customFormat="1" hidden="1" x14ac:dyDescent="0.25">
      <c r="A534" t="str">
        <f t="shared" si="173"/>
        <v>T-533</v>
      </c>
      <c r="B534" s="1">
        <v>46226</v>
      </c>
      <c r="C534" t="s">
        <v>776</v>
      </c>
      <c r="D534" t="s">
        <v>28</v>
      </c>
      <c r="E534" t="s">
        <v>27</v>
      </c>
      <c r="F534">
        <v>70.38</v>
      </c>
      <c r="G534">
        <v>69.58</v>
      </c>
      <c r="H534">
        <f>Tabla1[[#This Row],[Entry Price]]-(Tabla1[[#This Row],[Entry Price]]-Tabla1[[#This Row],[Initial Stop]])/2</f>
        <v>69.97999999999999</v>
      </c>
      <c r="I534">
        <v>8</v>
      </c>
      <c r="J534">
        <f t="shared" si="174"/>
        <v>6.3999999999999773</v>
      </c>
      <c r="K534">
        <v>1</v>
      </c>
      <c r="L534">
        <f t="shared" si="175"/>
        <v>6.3999999999999773</v>
      </c>
      <c r="M534" t="s">
        <v>72</v>
      </c>
      <c r="N534">
        <f>SUMIF(Executions!B:B,A534,Executions!H:H)</f>
        <v>-5.67999999999995</v>
      </c>
      <c r="O534">
        <f t="shared" si="176"/>
        <v>-0.88749999999999529</v>
      </c>
      <c r="P534" s="4">
        <f>Tabla1[[#This Row],[Initial Risk $]]/Tabla1[[#This Row],[Position Size (shares)]]+Tabla1[[#This Row],[Entry Price]]</f>
        <v>71.179999999999993</v>
      </c>
      <c r="Q534" s="4">
        <f>Tabla1[[#This Row],[Initial Risk $]]/Tabla1[[#This Row],[Position Size (shares)]]*1.5+Tabla1[[#This Row],[Entry Price]]</f>
        <v>71.579999999999984</v>
      </c>
      <c r="R534" s="4">
        <f>Tabla1[[#This Row],[Initial Risk $]]/Tabla1[[#This Row],[Position Size (shares)]]*2+Tabla1[[#This Row],[Entry Price]]</f>
        <v>71.97999999999999</v>
      </c>
      <c r="S534" s="4">
        <f>Tabla1[[#This Row],[Initial Risk $]]/Tabla1[[#This Row],[Position Size (shares)]]*2.5+Tabla1[[#This Row],[Entry Price]]</f>
        <v>72.38</v>
      </c>
      <c r="T534" s="4">
        <f>Tabla1[[#This Row],[Initial Risk $]]/Tabla1[[#This Row],[Position Size (shares)]]*3+Tabla1[[#This Row],[Entry Price]]</f>
        <v>72.779999999999987</v>
      </c>
    </row>
    <row r="535" spans="1:20" customFormat="1" hidden="1" x14ac:dyDescent="0.25">
      <c r="A535" t="str">
        <f t="shared" ref="A535:A543" si="177">"T-"&amp; TEXT(ROW()-1,"000")</f>
        <v>T-534</v>
      </c>
      <c r="B535" s="1">
        <v>46227</v>
      </c>
      <c r="C535" t="s">
        <v>279</v>
      </c>
      <c r="D535" t="s">
        <v>28</v>
      </c>
      <c r="E535" t="s">
        <v>119</v>
      </c>
      <c r="F535">
        <v>955</v>
      </c>
      <c r="G535">
        <v>945</v>
      </c>
      <c r="H535">
        <f>Tabla1[[#This Row],[Entry Price]]-(Tabla1[[#This Row],[Entry Price]]-Tabla1[[#This Row],[Initial Stop]])/2</f>
        <v>950</v>
      </c>
      <c r="I535">
        <v>1</v>
      </c>
      <c r="J535">
        <f t="shared" ref="J535:J543" si="178">IF(D535="Long",(F535-G535)*I535,(G535-F535)*0)</f>
        <v>10</v>
      </c>
      <c r="K535">
        <v>1</v>
      </c>
      <c r="L535">
        <f t="shared" ref="L535:L543" si="179">J535*K535</f>
        <v>10</v>
      </c>
      <c r="M535" t="s">
        <v>72</v>
      </c>
      <c r="N535">
        <f>SUMIF(Executions!B:B,A535,Executions!H:H)</f>
        <v>-6</v>
      </c>
      <c r="O535">
        <f t="shared" ref="O535:O543" si="180">N535/J535</f>
        <v>-0.6</v>
      </c>
      <c r="P535" s="4">
        <f>Tabla1[[#This Row],[Initial Risk $]]/Tabla1[[#This Row],[Position Size (shares)]]+Tabla1[[#This Row],[Entry Price]]</f>
        <v>965</v>
      </c>
      <c r="Q535" s="4">
        <f>Tabla1[[#This Row],[Initial Risk $]]/Tabla1[[#This Row],[Position Size (shares)]]*1.5+Tabla1[[#This Row],[Entry Price]]</f>
        <v>970</v>
      </c>
      <c r="R535" s="4">
        <f>Tabla1[[#This Row],[Initial Risk $]]/Tabla1[[#This Row],[Position Size (shares)]]*2+Tabla1[[#This Row],[Entry Price]]</f>
        <v>975</v>
      </c>
      <c r="S535" s="4">
        <f>Tabla1[[#This Row],[Initial Risk $]]/Tabla1[[#This Row],[Position Size (shares)]]*2.5+Tabla1[[#This Row],[Entry Price]]</f>
        <v>980</v>
      </c>
      <c r="T535" s="4">
        <f>Tabla1[[#This Row],[Initial Risk $]]/Tabla1[[#This Row],[Position Size (shares)]]*3+Tabla1[[#This Row],[Entry Price]]</f>
        <v>985</v>
      </c>
    </row>
    <row r="536" spans="1:20" customFormat="1" hidden="1" x14ac:dyDescent="0.25">
      <c r="A536" t="str">
        <f t="shared" si="177"/>
        <v>T-535</v>
      </c>
      <c r="B536" s="1">
        <v>46227</v>
      </c>
      <c r="C536" t="s">
        <v>784</v>
      </c>
      <c r="D536" t="s">
        <v>28</v>
      </c>
      <c r="E536" t="s">
        <v>58</v>
      </c>
      <c r="F536">
        <v>72.569999999999993</v>
      </c>
      <c r="G536">
        <v>71.569999999999993</v>
      </c>
      <c r="H536">
        <f>Tabla1[[#This Row],[Entry Price]]-(Tabla1[[#This Row],[Entry Price]]-Tabla1[[#This Row],[Initial Stop]])/2</f>
        <v>72.069999999999993</v>
      </c>
      <c r="I536">
        <v>10</v>
      </c>
      <c r="J536">
        <f t="shared" si="178"/>
        <v>10</v>
      </c>
      <c r="K536">
        <v>1</v>
      </c>
      <c r="L536">
        <f t="shared" si="179"/>
        <v>10</v>
      </c>
      <c r="M536" t="s">
        <v>72</v>
      </c>
      <c r="N536">
        <f>SUMIF(Executions!B:B,A536,Executions!H:H)</f>
        <v>-0.49999999999997158</v>
      </c>
      <c r="O536">
        <f t="shared" si="180"/>
        <v>-4.9999999999997158E-2</v>
      </c>
      <c r="P536" s="4">
        <f>Tabla1[[#This Row],[Initial Risk $]]/Tabla1[[#This Row],[Position Size (shares)]]+Tabla1[[#This Row],[Entry Price]]</f>
        <v>73.569999999999993</v>
      </c>
      <c r="Q536" s="4">
        <f>Tabla1[[#This Row],[Initial Risk $]]/Tabla1[[#This Row],[Position Size (shares)]]*1.5+Tabla1[[#This Row],[Entry Price]]</f>
        <v>74.069999999999993</v>
      </c>
      <c r="R536" s="4">
        <f>Tabla1[[#This Row],[Initial Risk $]]/Tabla1[[#This Row],[Position Size (shares)]]*2+Tabla1[[#This Row],[Entry Price]]</f>
        <v>74.569999999999993</v>
      </c>
      <c r="S536" s="4">
        <f>Tabla1[[#This Row],[Initial Risk $]]/Tabla1[[#This Row],[Position Size (shares)]]*2.5+Tabla1[[#This Row],[Entry Price]]</f>
        <v>75.069999999999993</v>
      </c>
      <c r="T536" s="4">
        <f>Tabla1[[#This Row],[Initial Risk $]]/Tabla1[[#This Row],[Position Size (shares)]]*3+Tabla1[[#This Row],[Entry Price]]</f>
        <v>75.569999999999993</v>
      </c>
    </row>
    <row r="537" spans="1:20" customFormat="1" hidden="1" x14ac:dyDescent="0.25">
      <c r="A537" t="str">
        <f t="shared" si="177"/>
        <v>T-536</v>
      </c>
      <c r="B537" s="1">
        <v>46227</v>
      </c>
      <c r="C537" t="s">
        <v>785</v>
      </c>
      <c r="D537" t="s">
        <v>28</v>
      </c>
      <c r="E537" t="s">
        <v>58</v>
      </c>
      <c r="F537">
        <v>61.96</v>
      </c>
      <c r="G537">
        <v>61.6</v>
      </c>
      <c r="H537">
        <f>Tabla1[[#This Row],[Entry Price]]-(Tabla1[[#This Row],[Entry Price]]-Tabla1[[#This Row],[Initial Stop]])/2</f>
        <v>61.78</v>
      </c>
      <c r="I537">
        <v>20</v>
      </c>
      <c r="J537">
        <f t="shared" si="178"/>
        <v>7.1999999999999886</v>
      </c>
      <c r="K537">
        <v>1</v>
      </c>
      <c r="L537">
        <f t="shared" si="179"/>
        <v>7.1999999999999886</v>
      </c>
      <c r="M537" t="s">
        <v>72</v>
      </c>
      <c r="N537">
        <f>SUMIF(Executions!B:B,A537,Executions!H:H)</f>
        <v>1.2000000000000455</v>
      </c>
      <c r="O537">
        <f t="shared" si="180"/>
        <v>0.16666666666667324</v>
      </c>
      <c r="P537" s="4">
        <f>Tabla1[[#This Row],[Initial Risk $]]/Tabla1[[#This Row],[Position Size (shares)]]+Tabla1[[#This Row],[Entry Price]]</f>
        <v>62.32</v>
      </c>
      <c r="Q537" s="4">
        <f>Tabla1[[#This Row],[Initial Risk $]]/Tabla1[[#This Row],[Position Size (shares)]]*1.5+Tabla1[[#This Row],[Entry Price]]</f>
        <v>62.5</v>
      </c>
      <c r="R537" s="4">
        <f>Tabla1[[#This Row],[Initial Risk $]]/Tabla1[[#This Row],[Position Size (shares)]]*2+Tabla1[[#This Row],[Entry Price]]</f>
        <v>62.68</v>
      </c>
      <c r="S537" s="4">
        <f>Tabla1[[#This Row],[Initial Risk $]]/Tabla1[[#This Row],[Position Size (shares)]]*2.5+Tabla1[[#This Row],[Entry Price]]</f>
        <v>62.86</v>
      </c>
      <c r="T537" s="4">
        <f>Tabla1[[#This Row],[Initial Risk $]]/Tabla1[[#This Row],[Position Size (shares)]]*3+Tabla1[[#This Row],[Entry Price]]</f>
        <v>63.04</v>
      </c>
    </row>
    <row r="538" spans="1:20" customFormat="1" hidden="1" x14ac:dyDescent="0.25">
      <c r="A538" t="str">
        <f t="shared" si="177"/>
        <v>T-537</v>
      </c>
      <c r="B538" s="1">
        <v>46227</v>
      </c>
      <c r="C538" t="s">
        <v>399</v>
      </c>
      <c r="D538" t="s">
        <v>28</v>
      </c>
      <c r="E538" t="s">
        <v>58</v>
      </c>
      <c r="F538">
        <v>25.19</v>
      </c>
      <c r="G538">
        <v>24.94</v>
      </c>
      <c r="H538">
        <f>Tabla1[[#This Row],[Entry Price]]-(Tabla1[[#This Row],[Entry Price]]-Tabla1[[#This Row],[Initial Stop]])/2</f>
        <v>25.065000000000001</v>
      </c>
      <c r="I538">
        <v>20</v>
      </c>
      <c r="J538">
        <f t="shared" si="178"/>
        <v>5</v>
      </c>
      <c r="K538">
        <v>1</v>
      </c>
      <c r="L538">
        <f t="shared" si="179"/>
        <v>5</v>
      </c>
      <c r="M538" t="s">
        <v>72</v>
      </c>
      <c r="N538">
        <f>SUMIF(Executions!B:B,A538,Executions!H:H)</f>
        <v>11.599999999999966</v>
      </c>
      <c r="O538">
        <f t="shared" si="180"/>
        <v>2.3199999999999932</v>
      </c>
      <c r="P538" s="4">
        <f>Tabla1[[#This Row],[Initial Risk $]]/Tabla1[[#This Row],[Position Size (shares)]]+Tabla1[[#This Row],[Entry Price]]</f>
        <v>25.44</v>
      </c>
      <c r="Q538" s="4">
        <f>Tabla1[[#This Row],[Initial Risk $]]/Tabla1[[#This Row],[Position Size (shares)]]*1.5+Tabla1[[#This Row],[Entry Price]]</f>
        <v>25.565000000000001</v>
      </c>
      <c r="R538" s="4">
        <f>Tabla1[[#This Row],[Initial Risk $]]/Tabla1[[#This Row],[Position Size (shares)]]*2+Tabla1[[#This Row],[Entry Price]]</f>
        <v>25.69</v>
      </c>
      <c r="S538" s="4">
        <f>Tabla1[[#This Row],[Initial Risk $]]/Tabla1[[#This Row],[Position Size (shares)]]*2.5+Tabla1[[#This Row],[Entry Price]]</f>
        <v>25.815000000000001</v>
      </c>
      <c r="T538" s="4">
        <f>Tabla1[[#This Row],[Initial Risk $]]/Tabla1[[#This Row],[Position Size (shares)]]*3+Tabla1[[#This Row],[Entry Price]]</f>
        <v>25.94</v>
      </c>
    </row>
    <row r="539" spans="1:20" customFormat="1" hidden="1" x14ac:dyDescent="0.25">
      <c r="A539" t="str">
        <f t="shared" si="177"/>
        <v>T-538</v>
      </c>
      <c r="B539" s="1">
        <v>46227</v>
      </c>
      <c r="C539" t="s">
        <v>279</v>
      </c>
      <c r="D539" t="s">
        <v>28</v>
      </c>
      <c r="E539" t="s">
        <v>27</v>
      </c>
      <c r="F539">
        <v>936</v>
      </c>
      <c r="G539">
        <v>925</v>
      </c>
      <c r="H539">
        <f>Tabla1[[#This Row],[Entry Price]]-(Tabla1[[#This Row],[Entry Price]]-Tabla1[[#This Row],[Initial Stop]])/2</f>
        <v>930.5</v>
      </c>
      <c r="I539">
        <v>1</v>
      </c>
      <c r="J539">
        <f t="shared" si="178"/>
        <v>11</v>
      </c>
      <c r="K539">
        <v>1</v>
      </c>
      <c r="L539">
        <f t="shared" si="179"/>
        <v>11</v>
      </c>
      <c r="M539" t="s">
        <v>72</v>
      </c>
      <c r="N539">
        <f>SUMIF(Executions!B:B,A539,Executions!H:H)</f>
        <v>-11.309999999999945</v>
      </c>
      <c r="O539">
        <f t="shared" si="180"/>
        <v>-1.0281818181818132</v>
      </c>
      <c r="P539" s="4">
        <f>Tabla1[[#This Row],[Initial Risk $]]/Tabla1[[#This Row],[Position Size (shares)]]+Tabla1[[#This Row],[Entry Price]]</f>
        <v>947</v>
      </c>
      <c r="Q539" s="4">
        <f>Tabla1[[#This Row],[Initial Risk $]]/Tabla1[[#This Row],[Position Size (shares)]]*1.5+Tabla1[[#This Row],[Entry Price]]</f>
        <v>952.5</v>
      </c>
      <c r="R539" s="4">
        <f>Tabla1[[#This Row],[Initial Risk $]]/Tabla1[[#This Row],[Position Size (shares)]]*2+Tabla1[[#This Row],[Entry Price]]</f>
        <v>958</v>
      </c>
      <c r="S539" s="4">
        <f>Tabla1[[#This Row],[Initial Risk $]]/Tabla1[[#This Row],[Position Size (shares)]]*2.5+Tabla1[[#This Row],[Entry Price]]</f>
        <v>963.5</v>
      </c>
      <c r="T539" s="4">
        <f>Tabla1[[#This Row],[Initial Risk $]]/Tabla1[[#This Row],[Position Size (shares)]]*3+Tabla1[[#This Row],[Entry Price]]</f>
        <v>969</v>
      </c>
    </row>
    <row r="540" spans="1:20" customFormat="1" hidden="1" x14ac:dyDescent="0.25">
      <c r="A540" t="str">
        <f t="shared" si="177"/>
        <v>T-539</v>
      </c>
      <c r="B540" s="1">
        <v>46227</v>
      </c>
      <c r="C540" t="s">
        <v>164</v>
      </c>
      <c r="D540" t="s">
        <v>28</v>
      </c>
      <c r="E540" t="s">
        <v>27</v>
      </c>
      <c r="F540">
        <v>208.02</v>
      </c>
      <c r="G540">
        <v>206.48</v>
      </c>
      <c r="H540">
        <f>Tabla1[[#This Row],[Entry Price]]-(Tabla1[[#This Row],[Entry Price]]-Tabla1[[#This Row],[Initial Stop]])/2</f>
        <v>207.25</v>
      </c>
      <c r="I540">
        <v>5</v>
      </c>
      <c r="J540">
        <f t="shared" si="178"/>
        <v>7.7000000000001023</v>
      </c>
      <c r="K540">
        <v>1</v>
      </c>
      <c r="L540">
        <f t="shared" si="179"/>
        <v>7.7000000000001023</v>
      </c>
      <c r="M540" t="s">
        <v>72</v>
      </c>
      <c r="N540">
        <f>SUMIF(Executions!B:B,A540,Executions!H:H)</f>
        <v>7.7499999999999147</v>
      </c>
      <c r="O540">
        <f t="shared" si="180"/>
        <v>1.0064935064934821</v>
      </c>
      <c r="P540" s="4">
        <f>Tabla1[[#This Row],[Initial Risk $]]/Tabla1[[#This Row],[Position Size (shares)]]+Tabla1[[#This Row],[Entry Price]]</f>
        <v>209.56000000000003</v>
      </c>
      <c r="Q540" s="4">
        <f>Tabla1[[#This Row],[Initial Risk $]]/Tabla1[[#This Row],[Position Size (shares)]]*1.5+Tabla1[[#This Row],[Entry Price]]</f>
        <v>210.33000000000004</v>
      </c>
      <c r="R540" s="4">
        <f>Tabla1[[#This Row],[Initial Risk $]]/Tabla1[[#This Row],[Position Size (shares)]]*2+Tabla1[[#This Row],[Entry Price]]</f>
        <v>211.10000000000005</v>
      </c>
      <c r="S540" s="4">
        <f>Tabla1[[#This Row],[Initial Risk $]]/Tabla1[[#This Row],[Position Size (shares)]]*2.5+Tabla1[[#This Row],[Entry Price]]</f>
        <v>211.87000000000006</v>
      </c>
      <c r="T540" s="4">
        <f>Tabla1[[#This Row],[Initial Risk $]]/Tabla1[[#This Row],[Position Size (shares)]]*3+Tabla1[[#This Row],[Entry Price]]</f>
        <v>212.64000000000007</v>
      </c>
    </row>
    <row r="541" spans="1:20" customFormat="1" hidden="1" x14ac:dyDescent="0.25">
      <c r="A541" t="str">
        <f t="shared" si="177"/>
        <v>T-540</v>
      </c>
      <c r="B541" s="1">
        <v>46227</v>
      </c>
      <c r="C541" t="s">
        <v>417</v>
      </c>
      <c r="D541" t="s">
        <v>28</v>
      </c>
      <c r="E541" t="s">
        <v>27</v>
      </c>
      <c r="F541">
        <v>391.89</v>
      </c>
      <c r="G541">
        <v>387</v>
      </c>
      <c r="H541">
        <f>Tabla1[[#This Row],[Entry Price]]-(Tabla1[[#This Row],[Entry Price]]-Tabla1[[#This Row],[Initial Stop]])/2</f>
        <v>389.44499999999999</v>
      </c>
      <c r="I541">
        <v>3</v>
      </c>
      <c r="J541">
        <f t="shared" si="178"/>
        <v>14.669999999999959</v>
      </c>
      <c r="K541">
        <v>1</v>
      </c>
      <c r="L541">
        <f t="shared" si="179"/>
        <v>14.669999999999959</v>
      </c>
      <c r="M541" t="s">
        <v>72</v>
      </c>
      <c r="N541">
        <f>SUMIF(Executions!B:B,A541,Executions!H:H)</f>
        <v>14.849999999999966</v>
      </c>
      <c r="O541">
        <f t="shared" si="180"/>
        <v>1.0122699386503073</v>
      </c>
      <c r="P541" s="4">
        <f>Tabla1[[#This Row],[Initial Risk $]]/Tabla1[[#This Row],[Position Size (shares)]]+Tabla1[[#This Row],[Entry Price]]</f>
        <v>396.78</v>
      </c>
      <c r="Q541" s="4">
        <f>Tabla1[[#This Row],[Initial Risk $]]/Tabla1[[#This Row],[Position Size (shares)]]*1.5+Tabla1[[#This Row],[Entry Price]]</f>
        <v>399.22499999999997</v>
      </c>
      <c r="R541" s="4">
        <f>Tabla1[[#This Row],[Initial Risk $]]/Tabla1[[#This Row],[Position Size (shares)]]*2+Tabla1[[#This Row],[Entry Price]]</f>
        <v>401.66999999999996</v>
      </c>
      <c r="S541" s="4">
        <f>Tabla1[[#This Row],[Initial Risk $]]/Tabla1[[#This Row],[Position Size (shares)]]*2.5+Tabla1[[#This Row],[Entry Price]]</f>
        <v>404.11499999999995</v>
      </c>
      <c r="T541" s="4">
        <f>Tabla1[[#This Row],[Initial Risk $]]/Tabla1[[#This Row],[Position Size (shares)]]*3+Tabla1[[#This Row],[Entry Price]]</f>
        <v>406.55999999999995</v>
      </c>
    </row>
    <row r="542" spans="1:20" customFormat="1" hidden="1" x14ac:dyDescent="0.25">
      <c r="A542" t="str">
        <f t="shared" si="177"/>
        <v>T-541</v>
      </c>
      <c r="B542" s="1">
        <v>46227</v>
      </c>
      <c r="C542" t="s">
        <v>130</v>
      </c>
      <c r="D542" t="s">
        <v>28</v>
      </c>
      <c r="E542" t="s">
        <v>27</v>
      </c>
      <c r="F542">
        <v>534</v>
      </c>
      <c r="G542">
        <v>529</v>
      </c>
      <c r="H542">
        <f>Tabla1[[#This Row],[Entry Price]]-(Tabla1[[#This Row],[Entry Price]]-Tabla1[[#This Row],[Initial Stop]])/2</f>
        <v>531.5</v>
      </c>
      <c r="I542">
        <v>2</v>
      </c>
      <c r="J542">
        <f t="shared" si="178"/>
        <v>10</v>
      </c>
      <c r="K542">
        <v>1</v>
      </c>
      <c r="L542">
        <f t="shared" si="179"/>
        <v>10</v>
      </c>
      <c r="M542" t="s">
        <v>72</v>
      </c>
      <c r="N542">
        <f>SUMIF(Executions!B:B,A542,Executions!H:H)</f>
        <v>-10</v>
      </c>
      <c r="O542">
        <f t="shared" si="180"/>
        <v>-1</v>
      </c>
      <c r="P542" s="4">
        <f>Tabla1[[#This Row],[Initial Risk $]]/Tabla1[[#This Row],[Position Size (shares)]]+Tabla1[[#This Row],[Entry Price]]</f>
        <v>539</v>
      </c>
      <c r="Q542" s="4">
        <f>Tabla1[[#This Row],[Initial Risk $]]/Tabla1[[#This Row],[Position Size (shares)]]*1.5+Tabla1[[#This Row],[Entry Price]]</f>
        <v>541.5</v>
      </c>
      <c r="R542" s="4">
        <f>Tabla1[[#This Row],[Initial Risk $]]/Tabla1[[#This Row],[Position Size (shares)]]*2+Tabla1[[#This Row],[Entry Price]]</f>
        <v>544</v>
      </c>
      <c r="S542" s="4">
        <f>Tabla1[[#This Row],[Initial Risk $]]/Tabla1[[#This Row],[Position Size (shares)]]*2.5+Tabla1[[#This Row],[Entry Price]]</f>
        <v>546.5</v>
      </c>
      <c r="T542" s="4">
        <f>Tabla1[[#This Row],[Initial Risk $]]/Tabla1[[#This Row],[Position Size (shares)]]*3+Tabla1[[#This Row],[Entry Price]]</f>
        <v>549</v>
      </c>
    </row>
    <row r="543" spans="1:20" customFormat="1" hidden="1" x14ac:dyDescent="0.25">
      <c r="A543" t="str">
        <f t="shared" si="177"/>
        <v>T-542</v>
      </c>
      <c r="B543" s="1">
        <v>46227</v>
      </c>
      <c r="C543" t="s">
        <v>207</v>
      </c>
      <c r="D543" t="s">
        <v>28</v>
      </c>
      <c r="E543" t="s">
        <v>27</v>
      </c>
      <c r="F543">
        <v>30.36</v>
      </c>
      <c r="G543">
        <v>29.95</v>
      </c>
      <c r="H543">
        <f>Tabla1[[#This Row],[Entry Price]]-(Tabla1[[#This Row],[Entry Price]]-Tabla1[[#This Row],[Initial Stop]])/2</f>
        <v>30.155000000000001</v>
      </c>
      <c r="I543">
        <v>14</v>
      </c>
      <c r="J543">
        <f t="shared" si="178"/>
        <v>5.740000000000002</v>
      </c>
      <c r="K543">
        <v>1</v>
      </c>
      <c r="L543">
        <f t="shared" si="179"/>
        <v>5.740000000000002</v>
      </c>
      <c r="M543" t="s">
        <v>72</v>
      </c>
      <c r="N543">
        <f>SUMIF(Executions!B:B,A543,Executions!H:H)</f>
        <v>11.480000000000004</v>
      </c>
      <c r="O543">
        <f t="shared" si="180"/>
        <v>2</v>
      </c>
      <c r="P543" s="4">
        <f>Tabla1[[#This Row],[Initial Risk $]]/Tabla1[[#This Row],[Position Size (shares)]]+Tabla1[[#This Row],[Entry Price]]</f>
        <v>30.77</v>
      </c>
      <c r="Q543" s="4">
        <f>Tabla1[[#This Row],[Initial Risk $]]/Tabla1[[#This Row],[Position Size (shares)]]*1.5+Tabla1[[#This Row],[Entry Price]]</f>
        <v>30.975000000000001</v>
      </c>
      <c r="R543" s="4">
        <f>Tabla1[[#This Row],[Initial Risk $]]/Tabla1[[#This Row],[Position Size (shares)]]*2+Tabla1[[#This Row],[Entry Price]]</f>
        <v>31.18</v>
      </c>
      <c r="S543" s="4">
        <f>Tabla1[[#This Row],[Initial Risk $]]/Tabla1[[#This Row],[Position Size (shares)]]*2.5+Tabla1[[#This Row],[Entry Price]]</f>
        <v>31.384999999999998</v>
      </c>
      <c r="T543" s="4">
        <f>Tabla1[[#This Row],[Initial Risk $]]/Tabla1[[#This Row],[Position Size (shares)]]*3+Tabla1[[#This Row],[Entry Price]]</f>
        <v>31.59</v>
      </c>
    </row>
    <row r="544" spans="1:20" customFormat="1" hidden="1" x14ac:dyDescent="0.25">
      <c r="A544" t="str">
        <f t="shared" ref="A544:A549" si="181">"T-"&amp; TEXT(ROW()-1,"000")</f>
        <v>T-543</v>
      </c>
      <c r="B544" s="1">
        <v>46230</v>
      </c>
      <c r="C544" t="s">
        <v>120</v>
      </c>
      <c r="D544" t="s">
        <v>28</v>
      </c>
      <c r="E544" t="s">
        <v>58</v>
      </c>
      <c r="F544">
        <v>18.61</v>
      </c>
      <c r="G544">
        <v>18.100000000000001</v>
      </c>
      <c r="H544">
        <f>Tabla1[[#This Row],[Entry Price]]-(Tabla1[[#This Row],[Entry Price]]-Tabla1[[#This Row],[Initial Stop]])/2</f>
        <v>18.355</v>
      </c>
      <c r="I544">
        <v>10</v>
      </c>
      <c r="J544">
        <f t="shared" ref="J544:J549" si="182">IF(D544="Long",(F544-G544)*I544,(G544-F544)*0)</f>
        <v>5.0999999999999801</v>
      </c>
      <c r="K544">
        <v>1</v>
      </c>
      <c r="L544">
        <f t="shared" ref="L544:L549" si="183">J544*K544</f>
        <v>5.0999999999999801</v>
      </c>
      <c r="M544" t="s">
        <v>72</v>
      </c>
      <c r="N544">
        <f>SUMIF(Executions!B:B,A544,Executions!H:H)</f>
        <v>-1.2999999999999901</v>
      </c>
      <c r="O544">
        <f t="shared" ref="O544:O549" si="184">N544/J544</f>
        <v>-0.25490196078431276</v>
      </c>
      <c r="P544" s="4">
        <f>Tabla1[[#This Row],[Initial Risk $]]/Tabla1[[#This Row],[Position Size (shares)]]+Tabla1[[#This Row],[Entry Price]]</f>
        <v>19.119999999999997</v>
      </c>
      <c r="Q544" s="4">
        <f>Tabla1[[#This Row],[Initial Risk $]]/Tabla1[[#This Row],[Position Size (shares)]]*1.5+Tabla1[[#This Row],[Entry Price]]</f>
        <v>19.374999999999996</v>
      </c>
      <c r="R544" s="4">
        <f>Tabla1[[#This Row],[Initial Risk $]]/Tabla1[[#This Row],[Position Size (shares)]]*2+Tabla1[[#This Row],[Entry Price]]</f>
        <v>19.629999999999995</v>
      </c>
      <c r="S544" s="4">
        <f>Tabla1[[#This Row],[Initial Risk $]]/Tabla1[[#This Row],[Position Size (shares)]]*2.5+Tabla1[[#This Row],[Entry Price]]</f>
        <v>19.884999999999994</v>
      </c>
      <c r="T544" s="4">
        <f>Tabla1[[#This Row],[Initial Risk $]]/Tabla1[[#This Row],[Position Size (shares)]]*3+Tabla1[[#This Row],[Entry Price]]</f>
        <v>20.139999999999993</v>
      </c>
    </row>
    <row r="545" spans="1:20" customFormat="1" hidden="1" x14ac:dyDescent="0.25">
      <c r="A545" t="str">
        <f t="shared" si="181"/>
        <v>T-544</v>
      </c>
      <c r="B545" s="1">
        <v>46230</v>
      </c>
      <c r="C545" t="s">
        <v>417</v>
      </c>
      <c r="D545" t="s">
        <v>28</v>
      </c>
      <c r="E545" t="s">
        <v>58</v>
      </c>
      <c r="F545">
        <v>413.11</v>
      </c>
      <c r="G545">
        <v>409.38</v>
      </c>
      <c r="H545">
        <f>Tabla1[[#This Row],[Entry Price]]-(Tabla1[[#This Row],[Entry Price]]-Tabla1[[#This Row],[Initial Stop]])/2</f>
        <v>411.245</v>
      </c>
      <c r="I545">
        <v>3</v>
      </c>
      <c r="J545">
        <f t="shared" si="182"/>
        <v>11.190000000000055</v>
      </c>
      <c r="K545">
        <v>1</v>
      </c>
      <c r="L545">
        <f t="shared" si="183"/>
        <v>11.190000000000055</v>
      </c>
      <c r="M545" t="s">
        <v>72</v>
      </c>
      <c r="N545">
        <f>SUMIF(Executions!B:B,A545,Executions!H:H)</f>
        <v>-4.8000000000001819</v>
      </c>
      <c r="O545">
        <f t="shared" si="184"/>
        <v>-0.42895442359250746</v>
      </c>
      <c r="P545" s="4">
        <f>Tabla1[[#This Row],[Initial Risk $]]/Tabla1[[#This Row],[Position Size (shares)]]+Tabla1[[#This Row],[Entry Price]]</f>
        <v>416.84000000000003</v>
      </c>
      <c r="Q545" s="4">
        <f>Tabla1[[#This Row],[Initial Risk $]]/Tabla1[[#This Row],[Position Size (shares)]]*1.5+Tabla1[[#This Row],[Entry Price]]</f>
        <v>418.70500000000004</v>
      </c>
      <c r="R545" s="4">
        <f>Tabla1[[#This Row],[Initial Risk $]]/Tabla1[[#This Row],[Position Size (shares)]]*2+Tabla1[[#This Row],[Entry Price]]</f>
        <v>420.57000000000005</v>
      </c>
      <c r="S545" s="4">
        <f>Tabla1[[#This Row],[Initial Risk $]]/Tabla1[[#This Row],[Position Size (shares)]]*2.5+Tabla1[[#This Row],[Entry Price]]</f>
        <v>422.43500000000006</v>
      </c>
      <c r="T545" s="4">
        <f>Tabla1[[#This Row],[Initial Risk $]]/Tabla1[[#This Row],[Position Size (shares)]]*3+Tabla1[[#This Row],[Entry Price]]</f>
        <v>424.30000000000007</v>
      </c>
    </row>
    <row r="546" spans="1:20" customFormat="1" hidden="1" x14ac:dyDescent="0.25">
      <c r="A546" t="str">
        <f t="shared" si="181"/>
        <v>T-545</v>
      </c>
      <c r="B546" s="1">
        <v>46230</v>
      </c>
      <c r="C546" t="s">
        <v>327</v>
      </c>
      <c r="D546" t="s">
        <v>28</v>
      </c>
      <c r="E546" t="s">
        <v>58</v>
      </c>
      <c r="F546">
        <v>217.57</v>
      </c>
      <c r="G546">
        <v>216</v>
      </c>
      <c r="H546">
        <f>Tabla1[[#This Row],[Entry Price]]-(Tabla1[[#This Row],[Entry Price]]-Tabla1[[#This Row],[Initial Stop]])/2</f>
        <v>216.785</v>
      </c>
      <c r="I546">
        <v>5</v>
      </c>
      <c r="J546">
        <f t="shared" si="182"/>
        <v>7.8499999999999659</v>
      </c>
      <c r="K546">
        <v>1</v>
      </c>
      <c r="L546">
        <f t="shared" si="183"/>
        <v>7.8499999999999659</v>
      </c>
      <c r="M546" t="s">
        <v>72</v>
      </c>
      <c r="N546">
        <f>SUMIF(Executions!B:B,A546,Executions!H:H)</f>
        <v>10.400000000000063</v>
      </c>
      <c r="O546">
        <f t="shared" si="184"/>
        <v>1.3248407643312239</v>
      </c>
      <c r="P546" s="4">
        <f>Tabla1[[#This Row],[Initial Risk $]]/Tabla1[[#This Row],[Position Size (shares)]]+Tabla1[[#This Row],[Entry Price]]</f>
        <v>219.14</v>
      </c>
      <c r="Q546" s="4">
        <f>Tabla1[[#This Row],[Initial Risk $]]/Tabla1[[#This Row],[Position Size (shares)]]*1.5+Tabla1[[#This Row],[Entry Price]]</f>
        <v>219.92499999999998</v>
      </c>
      <c r="R546" s="4">
        <f>Tabla1[[#This Row],[Initial Risk $]]/Tabla1[[#This Row],[Position Size (shares)]]*2+Tabla1[[#This Row],[Entry Price]]</f>
        <v>220.70999999999998</v>
      </c>
      <c r="S546" s="4">
        <f>Tabla1[[#This Row],[Initial Risk $]]/Tabla1[[#This Row],[Position Size (shares)]]*2.5+Tabla1[[#This Row],[Entry Price]]</f>
        <v>221.49499999999998</v>
      </c>
      <c r="T546" s="4">
        <f>Tabla1[[#This Row],[Initial Risk $]]/Tabla1[[#This Row],[Position Size (shares)]]*3+Tabla1[[#This Row],[Entry Price]]</f>
        <v>222.27999999999997</v>
      </c>
    </row>
    <row r="547" spans="1:20" customFormat="1" hidden="1" x14ac:dyDescent="0.25">
      <c r="A547" t="str">
        <f t="shared" si="181"/>
        <v>T-546</v>
      </c>
      <c r="B547" s="1">
        <v>46230</v>
      </c>
      <c r="C547" t="s">
        <v>399</v>
      </c>
      <c r="D547" t="s">
        <v>28</v>
      </c>
      <c r="E547" t="s">
        <v>58</v>
      </c>
      <c r="F547">
        <v>26.45</v>
      </c>
      <c r="G547">
        <v>26.22</v>
      </c>
      <c r="H547">
        <f>Tabla1[[#This Row],[Entry Price]]-(Tabla1[[#This Row],[Entry Price]]-Tabla1[[#This Row],[Initial Stop]])/2</f>
        <v>26.335000000000001</v>
      </c>
      <c r="I547">
        <v>40</v>
      </c>
      <c r="J547">
        <f t="shared" si="182"/>
        <v>9.2000000000000171</v>
      </c>
      <c r="K547">
        <v>1</v>
      </c>
      <c r="L547">
        <f t="shared" si="183"/>
        <v>9.2000000000000171</v>
      </c>
      <c r="M547" t="s">
        <v>72</v>
      </c>
      <c r="N547">
        <f>SUMIF(Executions!B:B,A547,Executions!H:H)</f>
        <v>-9.5999999999999375</v>
      </c>
      <c r="O547">
        <f t="shared" si="184"/>
        <v>-1.0434782608695565</v>
      </c>
      <c r="P547" s="4">
        <f>Tabla1[[#This Row],[Initial Risk $]]/Tabla1[[#This Row],[Position Size (shares)]]+Tabla1[[#This Row],[Entry Price]]</f>
        <v>26.68</v>
      </c>
      <c r="Q547" s="4">
        <f>Tabla1[[#This Row],[Initial Risk $]]/Tabla1[[#This Row],[Position Size (shares)]]*1.5+Tabla1[[#This Row],[Entry Price]]</f>
        <v>26.795000000000002</v>
      </c>
      <c r="R547" s="4">
        <f>Tabla1[[#This Row],[Initial Risk $]]/Tabla1[[#This Row],[Position Size (shares)]]*2+Tabla1[[#This Row],[Entry Price]]</f>
        <v>26.91</v>
      </c>
      <c r="S547" s="4">
        <f>Tabla1[[#This Row],[Initial Risk $]]/Tabla1[[#This Row],[Position Size (shares)]]*2.5+Tabla1[[#This Row],[Entry Price]]</f>
        <v>27.024999999999999</v>
      </c>
      <c r="T547" s="4">
        <f>Tabla1[[#This Row],[Initial Risk $]]/Tabla1[[#This Row],[Position Size (shares)]]*3+Tabla1[[#This Row],[Entry Price]]</f>
        <v>27.14</v>
      </c>
    </row>
    <row r="548" spans="1:20" customFormat="1" hidden="1" x14ac:dyDescent="0.25">
      <c r="A548" t="str">
        <f t="shared" si="181"/>
        <v>T-547</v>
      </c>
      <c r="B548" s="1">
        <v>46230</v>
      </c>
      <c r="C548" t="s">
        <v>279</v>
      </c>
      <c r="D548" t="s">
        <v>28</v>
      </c>
      <c r="E548" t="s">
        <v>58</v>
      </c>
      <c r="F548">
        <v>905</v>
      </c>
      <c r="G548">
        <v>895</v>
      </c>
      <c r="H548">
        <f>Tabla1[[#This Row],[Entry Price]]-(Tabla1[[#This Row],[Entry Price]]-Tabla1[[#This Row],[Initial Stop]])/2</f>
        <v>900</v>
      </c>
      <c r="I548">
        <v>2</v>
      </c>
      <c r="J548">
        <f t="shared" si="182"/>
        <v>20</v>
      </c>
      <c r="K548">
        <v>1</v>
      </c>
      <c r="L548">
        <f t="shared" si="183"/>
        <v>20</v>
      </c>
      <c r="M548" t="s">
        <v>72</v>
      </c>
      <c r="N548">
        <f>SUMIF(Executions!B:B,A548,Executions!H:H)</f>
        <v>-15</v>
      </c>
      <c r="O548">
        <f t="shared" si="184"/>
        <v>-0.75</v>
      </c>
      <c r="P548" s="4">
        <f>Tabla1[[#This Row],[Initial Risk $]]/Tabla1[[#This Row],[Position Size (shares)]]+Tabla1[[#This Row],[Entry Price]]</f>
        <v>915</v>
      </c>
      <c r="Q548" s="4">
        <f>Tabla1[[#This Row],[Initial Risk $]]/Tabla1[[#This Row],[Position Size (shares)]]*1.5+Tabla1[[#This Row],[Entry Price]]</f>
        <v>920</v>
      </c>
      <c r="R548" s="4">
        <f>Tabla1[[#This Row],[Initial Risk $]]/Tabla1[[#This Row],[Position Size (shares)]]*2+Tabla1[[#This Row],[Entry Price]]</f>
        <v>925</v>
      </c>
      <c r="S548" s="4">
        <f>Tabla1[[#This Row],[Initial Risk $]]/Tabla1[[#This Row],[Position Size (shares)]]*2.5+Tabla1[[#This Row],[Entry Price]]</f>
        <v>930</v>
      </c>
      <c r="T548" s="4">
        <f>Tabla1[[#This Row],[Initial Risk $]]/Tabla1[[#This Row],[Position Size (shares)]]*3+Tabla1[[#This Row],[Entry Price]]</f>
        <v>935</v>
      </c>
    </row>
    <row r="549" spans="1:20" customFormat="1" hidden="1" x14ac:dyDescent="0.25">
      <c r="A549" t="str">
        <f t="shared" si="181"/>
        <v>T-548</v>
      </c>
      <c r="B549" s="1">
        <v>46230</v>
      </c>
      <c r="C549" t="s">
        <v>785</v>
      </c>
      <c r="D549" t="s">
        <v>28</v>
      </c>
      <c r="E549" t="s">
        <v>58</v>
      </c>
      <c r="F549">
        <v>63.03</v>
      </c>
      <c r="G549">
        <v>62.74</v>
      </c>
      <c r="H549">
        <f>Tabla1[[#This Row],[Entry Price]]-(Tabla1[[#This Row],[Entry Price]]-Tabla1[[#This Row],[Initial Stop]])/2</f>
        <v>62.885000000000005</v>
      </c>
      <c r="I549">
        <v>20</v>
      </c>
      <c r="J549">
        <f t="shared" si="182"/>
        <v>5.7999999999999829</v>
      </c>
      <c r="K549">
        <v>1</v>
      </c>
      <c r="L549">
        <f t="shared" si="183"/>
        <v>5.7999999999999829</v>
      </c>
      <c r="M549" t="s">
        <v>72</v>
      </c>
      <c r="N549">
        <f>SUMIF(Executions!B:B,A549,Executions!H:H)</f>
        <v>-1.4000000000000057</v>
      </c>
      <c r="O549">
        <f t="shared" si="184"/>
        <v>-0.24137931034482929</v>
      </c>
      <c r="P549" s="4">
        <f>Tabla1[[#This Row],[Initial Risk $]]/Tabla1[[#This Row],[Position Size (shares)]]+Tabla1[[#This Row],[Entry Price]]</f>
        <v>63.32</v>
      </c>
      <c r="Q549" s="4">
        <f>Tabla1[[#This Row],[Initial Risk $]]/Tabla1[[#This Row],[Position Size (shares)]]*1.5+Tabla1[[#This Row],[Entry Price]]</f>
        <v>63.465000000000003</v>
      </c>
      <c r="R549" s="4">
        <f>Tabla1[[#This Row],[Initial Risk $]]/Tabla1[[#This Row],[Position Size (shares)]]*2+Tabla1[[#This Row],[Entry Price]]</f>
        <v>63.61</v>
      </c>
      <c r="S549" s="4">
        <f>Tabla1[[#This Row],[Initial Risk $]]/Tabla1[[#This Row],[Position Size (shares)]]*2.5+Tabla1[[#This Row],[Entry Price]]</f>
        <v>63.754999999999995</v>
      </c>
      <c r="T549" s="4">
        <f>Tabla1[[#This Row],[Initial Risk $]]/Tabla1[[#This Row],[Position Size (shares)]]*3+Tabla1[[#This Row],[Entry Price]]</f>
        <v>63.9</v>
      </c>
    </row>
    <row r="550" spans="1:20" customFormat="1" hidden="1" x14ac:dyDescent="0.25">
      <c r="A550" t="str">
        <f t="shared" ref="A550:A557" si="185">"T-"&amp; TEXT(ROW()-1,"000")</f>
        <v>T-549</v>
      </c>
      <c r="B550" s="1">
        <v>46231</v>
      </c>
      <c r="C550" t="s">
        <v>417</v>
      </c>
      <c r="D550" t="s">
        <v>28</v>
      </c>
      <c r="E550" t="s">
        <v>58</v>
      </c>
      <c r="F550">
        <v>412.63</v>
      </c>
      <c r="G550">
        <v>410</v>
      </c>
      <c r="H550">
        <f>Tabla1[[#This Row],[Entry Price]]-(Tabla1[[#This Row],[Entry Price]]-Tabla1[[#This Row],[Initial Stop]])/2</f>
        <v>411.315</v>
      </c>
      <c r="I550">
        <v>3</v>
      </c>
      <c r="J550">
        <f t="shared" ref="J550:J557" si="186">IF(D550="Long",(F550-G550)*I550,(G550-F550)*0)</f>
        <v>7.8899999999999864</v>
      </c>
      <c r="K550">
        <v>1</v>
      </c>
      <c r="L550">
        <f t="shared" ref="L550:L557" si="187">J550*K550</f>
        <v>7.8899999999999864</v>
      </c>
      <c r="M550" t="s">
        <v>72</v>
      </c>
      <c r="N550">
        <f>SUMIF(Executions!B:B,A550,Executions!H:H)</f>
        <v>-7.7399999999999523</v>
      </c>
      <c r="O550">
        <f t="shared" ref="O550:O557" si="188">N550/J550</f>
        <v>-0.98098859315588915</v>
      </c>
      <c r="P550" s="4">
        <f>Tabla1[[#This Row],[Initial Risk $]]/Tabla1[[#This Row],[Position Size (shares)]]+Tabla1[[#This Row],[Entry Price]]</f>
        <v>415.26</v>
      </c>
      <c r="Q550" s="4">
        <f>Tabla1[[#This Row],[Initial Risk $]]/Tabla1[[#This Row],[Position Size (shares)]]*1.5+Tabla1[[#This Row],[Entry Price]]</f>
        <v>416.57499999999999</v>
      </c>
      <c r="R550" s="4">
        <f>Tabla1[[#This Row],[Initial Risk $]]/Tabla1[[#This Row],[Position Size (shares)]]*2+Tabla1[[#This Row],[Entry Price]]</f>
        <v>417.89</v>
      </c>
      <c r="S550" s="4">
        <f>Tabla1[[#This Row],[Initial Risk $]]/Tabla1[[#This Row],[Position Size (shares)]]*2.5+Tabla1[[#This Row],[Entry Price]]</f>
        <v>419.20499999999998</v>
      </c>
      <c r="T550" s="4">
        <f>Tabla1[[#This Row],[Initial Risk $]]/Tabla1[[#This Row],[Position Size (shares)]]*3+Tabla1[[#This Row],[Entry Price]]</f>
        <v>420.52</v>
      </c>
    </row>
    <row r="551" spans="1:20" customFormat="1" hidden="1" x14ac:dyDescent="0.25">
      <c r="A551" t="str">
        <f t="shared" si="185"/>
        <v>T-550</v>
      </c>
      <c r="B551" s="1">
        <v>46231</v>
      </c>
      <c r="C551" t="s">
        <v>785</v>
      </c>
      <c r="D551" t="s">
        <v>28</v>
      </c>
      <c r="E551" t="s">
        <v>58</v>
      </c>
      <c r="F551">
        <v>64.17</v>
      </c>
      <c r="G551">
        <v>63.58</v>
      </c>
      <c r="H551">
        <f>Tabla1[[#This Row],[Entry Price]]-(Tabla1[[#This Row],[Entry Price]]-Tabla1[[#This Row],[Initial Stop]])/2</f>
        <v>63.875</v>
      </c>
      <c r="I551">
        <v>20</v>
      </c>
      <c r="J551">
        <f t="shared" si="186"/>
        <v>11.800000000000068</v>
      </c>
      <c r="K551">
        <v>1</v>
      </c>
      <c r="L551">
        <f t="shared" si="187"/>
        <v>11.800000000000068</v>
      </c>
      <c r="M551" t="s">
        <v>72</v>
      </c>
      <c r="N551">
        <f>SUMIF(Executions!B:B,A551,Executions!H:H)</f>
        <v>-7.6000000000000512</v>
      </c>
      <c r="O551">
        <f t="shared" si="188"/>
        <v>-0.64406779661017011</v>
      </c>
      <c r="P551" s="4">
        <f>Tabla1[[#This Row],[Initial Risk $]]/Tabla1[[#This Row],[Position Size (shares)]]+Tabla1[[#This Row],[Entry Price]]</f>
        <v>64.760000000000005</v>
      </c>
      <c r="Q551" s="4">
        <f>Tabla1[[#This Row],[Initial Risk $]]/Tabla1[[#This Row],[Position Size (shares)]]*1.5+Tabla1[[#This Row],[Entry Price]]</f>
        <v>65.055000000000007</v>
      </c>
      <c r="R551" s="4">
        <f>Tabla1[[#This Row],[Initial Risk $]]/Tabla1[[#This Row],[Position Size (shares)]]*2+Tabla1[[#This Row],[Entry Price]]</f>
        <v>65.350000000000009</v>
      </c>
      <c r="S551" s="4">
        <f>Tabla1[[#This Row],[Initial Risk $]]/Tabla1[[#This Row],[Position Size (shares)]]*2.5+Tabla1[[#This Row],[Entry Price]]</f>
        <v>65.64500000000001</v>
      </c>
      <c r="T551" s="4">
        <f>Tabla1[[#This Row],[Initial Risk $]]/Tabla1[[#This Row],[Position Size (shares)]]*3+Tabla1[[#This Row],[Entry Price]]</f>
        <v>65.940000000000012</v>
      </c>
    </row>
    <row r="552" spans="1:20" customFormat="1" hidden="1" x14ac:dyDescent="0.25">
      <c r="A552" t="str">
        <f t="shared" si="185"/>
        <v>T-551</v>
      </c>
      <c r="B552" s="1">
        <v>46231</v>
      </c>
      <c r="C552" t="s">
        <v>169</v>
      </c>
      <c r="D552" t="s">
        <v>28</v>
      </c>
      <c r="E552" t="s">
        <v>58</v>
      </c>
      <c r="F552">
        <v>26.52</v>
      </c>
      <c r="G552">
        <v>26.02</v>
      </c>
      <c r="H552">
        <f>Tabla1[[#This Row],[Entry Price]]-(Tabla1[[#This Row],[Entry Price]]-Tabla1[[#This Row],[Initial Stop]])/2</f>
        <v>26.27</v>
      </c>
      <c r="I552">
        <v>20</v>
      </c>
      <c r="J552">
        <f t="shared" si="186"/>
        <v>10</v>
      </c>
      <c r="K552">
        <v>1</v>
      </c>
      <c r="L552">
        <f t="shared" si="187"/>
        <v>10</v>
      </c>
      <c r="M552" t="s">
        <v>72</v>
      </c>
      <c r="N552">
        <f>SUMIF(Executions!B:B,A552,Executions!H:H)</f>
        <v>-12.800000000000011</v>
      </c>
      <c r="O552">
        <f t="shared" si="188"/>
        <v>-1.2800000000000011</v>
      </c>
      <c r="P552" s="4">
        <f>Tabla1[[#This Row],[Initial Risk $]]/Tabla1[[#This Row],[Position Size (shares)]]+Tabla1[[#This Row],[Entry Price]]</f>
        <v>27.02</v>
      </c>
      <c r="Q552" s="4">
        <f>Tabla1[[#This Row],[Initial Risk $]]/Tabla1[[#This Row],[Position Size (shares)]]*1.5+Tabla1[[#This Row],[Entry Price]]</f>
        <v>27.27</v>
      </c>
      <c r="R552" s="4">
        <f>Tabla1[[#This Row],[Initial Risk $]]/Tabla1[[#This Row],[Position Size (shares)]]*2+Tabla1[[#This Row],[Entry Price]]</f>
        <v>27.52</v>
      </c>
      <c r="S552" s="4">
        <f>Tabla1[[#This Row],[Initial Risk $]]/Tabla1[[#This Row],[Position Size (shares)]]*2.5+Tabla1[[#This Row],[Entry Price]]</f>
        <v>27.77</v>
      </c>
      <c r="T552" s="4">
        <f>Tabla1[[#This Row],[Initial Risk $]]/Tabla1[[#This Row],[Position Size (shares)]]*3+Tabla1[[#This Row],[Entry Price]]</f>
        <v>28.02</v>
      </c>
    </row>
    <row r="553" spans="1:20" customFormat="1" hidden="1" x14ac:dyDescent="0.25">
      <c r="A553" t="str">
        <f t="shared" si="185"/>
        <v>T-552</v>
      </c>
      <c r="B553" s="1">
        <v>46231</v>
      </c>
      <c r="C553" t="s">
        <v>417</v>
      </c>
      <c r="D553" t="s">
        <v>28</v>
      </c>
      <c r="E553" t="s">
        <v>27</v>
      </c>
      <c r="F553">
        <v>406.4</v>
      </c>
      <c r="G553">
        <v>400</v>
      </c>
      <c r="H553">
        <f>Tabla1[[#This Row],[Entry Price]]-(Tabla1[[#This Row],[Entry Price]]-Tabla1[[#This Row],[Initial Stop]])/2</f>
        <v>403.2</v>
      </c>
      <c r="I553">
        <v>3</v>
      </c>
      <c r="J553">
        <f t="shared" si="186"/>
        <v>19.199999999999932</v>
      </c>
      <c r="K553">
        <v>1</v>
      </c>
      <c r="L553">
        <f t="shared" si="187"/>
        <v>19.199999999999932</v>
      </c>
      <c r="M553" t="s">
        <v>72</v>
      </c>
      <c r="N553">
        <f>SUMIF(Executions!B:B,A553,Executions!H:H)</f>
        <v>19.29000000000002</v>
      </c>
      <c r="O553">
        <f t="shared" si="188"/>
        <v>1.0046875000000046</v>
      </c>
      <c r="P553" s="4">
        <f>Tabla1[[#This Row],[Initial Risk $]]/Tabla1[[#This Row],[Position Size (shares)]]+Tabla1[[#This Row],[Entry Price]]</f>
        <v>412.79999999999995</v>
      </c>
      <c r="Q553" s="4">
        <f>Tabla1[[#This Row],[Initial Risk $]]/Tabla1[[#This Row],[Position Size (shares)]]*1.5+Tabla1[[#This Row],[Entry Price]]</f>
        <v>415.99999999999994</v>
      </c>
      <c r="R553" s="4">
        <f>Tabla1[[#This Row],[Initial Risk $]]/Tabla1[[#This Row],[Position Size (shares)]]*2+Tabla1[[#This Row],[Entry Price]]</f>
        <v>419.19999999999993</v>
      </c>
      <c r="S553" s="4">
        <f>Tabla1[[#This Row],[Initial Risk $]]/Tabla1[[#This Row],[Position Size (shares)]]*2.5+Tabla1[[#This Row],[Entry Price]]</f>
        <v>422.39999999999992</v>
      </c>
      <c r="T553" s="4">
        <f>Tabla1[[#This Row],[Initial Risk $]]/Tabla1[[#This Row],[Position Size (shares)]]*3+Tabla1[[#This Row],[Entry Price]]</f>
        <v>425.59999999999991</v>
      </c>
    </row>
    <row r="554" spans="1:20" customFormat="1" hidden="1" x14ac:dyDescent="0.25">
      <c r="A554" t="str">
        <f t="shared" si="185"/>
        <v>T-553</v>
      </c>
      <c r="B554" s="1">
        <v>46231</v>
      </c>
      <c r="C554" t="s">
        <v>279</v>
      </c>
      <c r="D554" t="s">
        <v>28</v>
      </c>
      <c r="E554" t="s">
        <v>27</v>
      </c>
      <c r="F554">
        <v>813.94</v>
      </c>
      <c r="G554">
        <v>800</v>
      </c>
      <c r="H554">
        <f>Tabla1[[#This Row],[Entry Price]]-(Tabla1[[#This Row],[Entry Price]]-Tabla1[[#This Row],[Initial Stop]])/2</f>
        <v>806.97</v>
      </c>
      <c r="I554">
        <v>2</v>
      </c>
      <c r="J554">
        <f t="shared" si="186"/>
        <v>27.880000000000109</v>
      </c>
      <c r="K554">
        <v>1</v>
      </c>
      <c r="L554">
        <f t="shared" si="187"/>
        <v>27.880000000000109</v>
      </c>
      <c r="M554" t="s">
        <v>72</v>
      </c>
      <c r="N554">
        <f>SUMIF(Executions!B:B,A554,Executions!H:H)</f>
        <v>27.899999999999864</v>
      </c>
      <c r="O554">
        <f t="shared" si="188"/>
        <v>1.0007173601147688</v>
      </c>
      <c r="P554" s="4">
        <f>Tabla1[[#This Row],[Initial Risk $]]/Tabla1[[#This Row],[Position Size (shares)]]+Tabla1[[#This Row],[Entry Price]]</f>
        <v>827.88000000000011</v>
      </c>
      <c r="Q554" s="4">
        <f>Tabla1[[#This Row],[Initial Risk $]]/Tabla1[[#This Row],[Position Size (shares)]]*1.5+Tabla1[[#This Row],[Entry Price]]</f>
        <v>834.85000000000014</v>
      </c>
      <c r="R554" s="4">
        <f>Tabla1[[#This Row],[Initial Risk $]]/Tabla1[[#This Row],[Position Size (shares)]]*2+Tabla1[[#This Row],[Entry Price]]</f>
        <v>841.82000000000016</v>
      </c>
      <c r="S554" s="4">
        <f>Tabla1[[#This Row],[Initial Risk $]]/Tabla1[[#This Row],[Position Size (shares)]]*2.5+Tabla1[[#This Row],[Entry Price]]</f>
        <v>848.79000000000019</v>
      </c>
      <c r="T554" s="4">
        <f>Tabla1[[#This Row],[Initial Risk $]]/Tabla1[[#This Row],[Position Size (shares)]]*3+Tabla1[[#This Row],[Entry Price]]</f>
        <v>855.76000000000022</v>
      </c>
    </row>
    <row r="555" spans="1:20" customFormat="1" hidden="1" x14ac:dyDescent="0.25">
      <c r="A555" t="str">
        <f t="shared" si="185"/>
        <v>T-554</v>
      </c>
      <c r="B555" s="1">
        <v>46231</v>
      </c>
      <c r="C555" t="s">
        <v>181</v>
      </c>
      <c r="D555" t="s">
        <v>28</v>
      </c>
      <c r="E555" t="s">
        <v>58</v>
      </c>
      <c r="F555">
        <v>11.75</v>
      </c>
      <c r="G555">
        <v>11.58</v>
      </c>
      <c r="H555">
        <f>Tabla1[[#This Row],[Entry Price]]-(Tabla1[[#This Row],[Entry Price]]-Tabla1[[#This Row],[Initial Stop]])/2</f>
        <v>11.664999999999999</v>
      </c>
      <c r="I555">
        <v>50</v>
      </c>
      <c r="J555">
        <f t="shared" si="186"/>
        <v>8.4999999999999964</v>
      </c>
      <c r="K555">
        <v>1</v>
      </c>
      <c r="L555">
        <f t="shared" si="187"/>
        <v>8.4999999999999964</v>
      </c>
      <c r="M555" t="s">
        <v>72</v>
      </c>
      <c r="N555">
        <f>SUMIF(Executions!B:B,A555,Executions!H:H)</f>
        <v>11.750000000000016</v>
      </c>
      <c r="O555">
        <f t="shared" si="188"/>
        <v>1.382352941176473</v>
      </c>
      <c r="P555" s="4">
        <f>Tabla1[[#This Row],[Initial Risk $]]/Tabla1[[#This Row],[Position Size (shares)]]+Tabla1[[#This Row],[Entry Price]]</f>
        <v>11.92</v>
      </c>
      <c r="Q555" s="4">
        <f>Tabla1[[#This Row],[Initial Risk $]]/Tabla1[[#This Row],[Position Size (shares)]]*1.5+Tabla1[[#This Row],[Entry Price]]</f>
        <v>12.004999999999999</v>
      </c>
      <c r="R555" s="4">
        <f>Tabla1[[#This Row],[Initial Risk $]]/Tabla1[[#This Row],[Position Size (shares)]]*2+Tabla1[[#This Row],[Entry Price]]</f>
        <v>12.09</v>
      </c>
      <c r="S555" s="4">
        <f>Tabla1[[#This Row],[Initial Risk $]]/Tabla1[[#This Row],[Position Size (shares)]]*2.5+Tabla1[[#This Row],[Entry Price]]</f>
        <v>12.175000000000001</v>
      </c>
      <c r="T555" s="4">
        <f>Tabla1[[#This Row],[Initial Risk $]]/Tabla1[[#This Row],[Position Size (shares)]]*3+Tabla1[[#This Row],[Entry Price]]</f>
        <v>12.26</v>
      </c>
    </row>
    <row r="556" spans="1:20" customFormat="1" hidden="1" x14ac:dyDescent="0.25">
      <c r="A556" t="str">
        <f t="shared" si="185"/>
        <v>T-555</v>
      </c>
      <c r="B556" s="1">
        <v>46231</v>
      </c>
      <c r="C556" t="s">
        <v>207</v>
      </c>
      <c r="D556" t="s">
        <v>28</v>
      </c>
      <c r="E556" t="s">
        <v>58</v>
      </c>
      <c r="F556">
        <v>28.03</v>
      </c>
      <c r="G556">
        <v>27.53</v>
      </c>
      <c r="H556">
        <f>Tabla1[[#This Row],[Entry Price]]-(Tabla1[[#This Row],[Entry Price]]-Tabla1[[#This Row],[Initial Stop]])/2</f>
        <v>27.78</v>
      </c>
      <c r="I556">
        <v>20</v>
      </c>
      <c r="J556">
        <f t="shared" si="186"/>
        <v>10</v>
      </c>
      <c r="K556">
        <v>1</v>
      </c>
      <c r="L556">
        <f t="shared" si="187"/>
        <v>10</v>
      </c>
      <c r="M556" t="s">
        <v>72</v>
      </c>
      <c r="N556">
        <f>SUMIF(Executions!B:B,A556,Executions!H:H)</f>
        <v>10</v>
      </c>
      <c r="O556">
        <f t="shared" si="188"/>
        <v>1</v>
      </c>
      <c r="P556" s="4">
        <f>Tabla1[[#This Row],[Initial Risk $]]/Tabla1[[#This Row],[Position Size (shares)]]+Tabla1[[#This Row],[Entry Price]]</f>
        <v>28.53</v>
      </c>
      <c r="Q556" s="4">
        <f>Tabla1[[#This Row],[Initial Risk $]]/Tabla1[[#This Row],[Position Size (shares)]]*1.5+Tabla1[[#This Row],[Entry Price]]</f>
        <v>28.78</v>
      </c>
      <c r="R556" s="4">
        <f>Tabla1[[#This Row],[Initial Risk $]]/Tabla1[[#This Row],[Position Size (shares)]]*2+Tabla1[[#This Row],[Entry Price]]</f>
        <v>29.03</v>
      </c>
      <c r="S556" s="4">
        <f>Tabla1[[#This Row],[Initial Risk $]]/Tabla1[[#This Row],[Position Size (shares)]]*2.5+Tabla1[[#This Row],[Entry Price]]</f>
        <v>29.28</v>
      </c>
      <c r="T556" s="4">
        <f>Tabla1[[#This Row],[Initial Risk $]]/Tabla1[[#This Row],[Position Size (shares)]]*3+Tabla1[[#This Row],[Entry Price]]</f>
        <v>29.53</v>
      </c>
    </row>
    <row r="557" spans="1:20" customFormat="1" hidden="1" x14ac:dyDescent="0.25">
      <c r="A557" t="str">
        <f t="shared" si="185"/>
        <v>T-556</v>
      </c>
      <c r="B557" s="1">
        <v>46231</v>
      </c>
      <c r="C557" t="s">
        <v>187</v>
      </c>
      <c r="D557" t="s">
        <v>28</v>
      </c>
      <c r="E557" t="s">
        <v>27</v>
      </c>
      <c r="F557">
        <v>99.63</v>
      </c>
      <c r="G557">
        <v>98.81</v>
      </c>
      <c r="H557">
        <f>Tabla1[[#This Row],[Entry Price]]-(Tabla1[[#This Row],[Entry Price]]-Tabla1[[#This Row],[Initial Stop]])/2</f>
        <v>99.22</v>
      </c>
      <c r="I557">
        <v>10</v>
      </c>
      <c r="J557">
        <f t="shared" si="186"/>
        <v>8.1999999999999318</v>
      </c>
      <c r="K557">
        <v>1</v>
      </c>
      <c r="L557">
        <f t="shared" si="187"/>
        <v>8.1999999999999318</v>
      </c>
      <c r="M557" t="s">
        <v>72</v>
      </c>
      <c r="N557">
        <f>SUMIF(Executions!B:B,A557,Executions!H:H)</f>
        <v>2.9000000000000625</v>
      </c>
      <c r="O557">
        <f t="shared" si="188"/>
        <v>0.35365853658537644</v>
      </c>
      <c r="P557" s="4">
        <f>Tabla1[[#This Row],[Initial Risk $]]/Tabla1[[#This Row],[Position Size (shares)]]+Tabla1[[#This Row],[Entry Price]]</f>
        <v>100.44999999999999</v>
      </c>
      <c r="Q557" s="4">
        <f>Tabla1[[#This Row],[Initial Risk $]]/Tabla1[[#This Row],[Position Size (shares)]]*1.5+Tabla1[[#This Row],[Entry Price]]</f>
        <v>100.85999999999999</v>
      </c>
      <c r="R557" s="4">
        <f>Tabla1[[#This Row],[Initial Risk $]]/Tabla1[[#This Row],[Position Size (shares)]]*2+Tabla1[[#This Row],[Entry Price]]</f>
        <v>101.26999999999998</v>
      </c>
      <c r="S557" s="4">
        <f>Tabla1[[#This Row],[Initial Risk $]]/Tabla1[[#This Row],[Position Size (shares)]]*2.5+Tabla1[[#This Row],[Entry Price]]</f>
        <v>101.67999999999998</v>
      </c>
      <c r="T557" s="4">
        <f>Tabla1[[#This Row],[Initial Risk $]]/Tabla1[[#This Row],[Position Size (shares)]]*3+Tabla1[[#This Row],[Entry Price]]</f>
        <v>102.08999999999997</v>
      </c>
    </row>
    <row r="558" spans="1:20" customFormat="1" hidden="1" x14ac:dyDescent="0.25">
      <c r="A558" t="str">
        <f t="shared" ref="A558:A566" si="189">"T-"&amp; TEXT(ROW()-1,"000")</f>
        <v>T-557</v>
      </c>
      <c r="B558" s="1">
        <v>46232</v>
      </c>
      <c r="C558" t="s">
        <v>561</v>
      </c>
      <c r="D558" t="s">
        <v>28</v>
      </c>
      <c r="E558" t="s">
        <v>58</v>
      </c>
      <c r="F558">
        <v>153.88999999999999</v>
      </c>
      <c r="G558">
        <v>152.78</v>
      </c>
      <c r="H558">
        <f>Tabla1[[#This Row],[Entry Price]]-(Tabla1[[#This Row],[Entry Price]]-Tabla1[[#This Row],[Initial Stop]])/2</f>
        <v>153.33499999999998</v>
      </c>
      <c r="I558">
        <v>7</v>
      </c>
      <c r="J558">
        <f t="shared" ref="J558:J566" si="190">IF(D558="Long",(F558-G558)*I558,(G558-F558)*0)</f>
        <v>7.7699999999998965</v>
      </c>
      <c r="K558">
        <v>1</v>
      </c>
      <c r="L558">
        <f t="shared" ref="L558:L566" si="191">J558*K558</f>
        <v>7.7699999999998965</v>
      </c>
      <c r="M558" t="s">
        <v>72</v>
      </c>
      <c r="N558">
        <f>SUMIF(Executions!B:B,A558,Executions!H:H)</f>
        <v>6.9300000000000637</v>
      </c>
      <c r="O558">
        <f t="shared" ref="O558:O566" si="192">N558/J558</f>
        <v>0.89189189189191198</v>
      </c>
      <c r="P558" s="4">
        <f>Tabla1[[#This Row],[Initial Risk $]]/Tabla1[[#This Row],[Position Size (shares)]]+Tabla1[[#This Row],[Entry Price]]</f>
        <v>154.99999999999997</v>
      </c>
      <c r="Q558" s="4">
        <f>Tabla1[[#This Row],[Initial Risk $]]/Tabla1[[#This Row],[Position Size (shares)]]*1.5+Tabla1[[#This Row],[Entry Price]]</f>
        <v>155.55499999999995</v>
      </c>
      <c r="R558" s="4">
        <f>Tabla1[[#This Row],[Initial Risk $]]/Tabla1[[#This Row],[Position Size (shares)]]*2+Tabla1[[#This Row],[Entry Price]]</f>
        <v>156.10999999999996</v>
      </c>
      <c r="S558" s="4">
        <f>Tabla1[[#This Row],[Initial Risk $]]/Tabla1[[#This Row],[Position Size (shares)]]*2.5+Tabla1[[#This Row],[Entry Price]]</f>
        <v>156.66499999999996</v>
      </c>
      <c r="T558" s="4">
        <f>Tabla1[[#This Row],[Initial Risk $]]/Tabla1[[#This Row],[Position Size (shares)]]*3+Tabla1[[#This Row],[Entry Price]]</f>
        <v>157.21999999999994</v>
      </c>
    </row>
    <row r="559" spans="1:20" customFormat="1" hidden="1" x14ac:dyDescent="0.25">
      <c r="A559" t="str">
        <f t="shared" si="189"/>
        <v>T-558</v>
      </c>
      <c r="B559" s="1">
        <v>46232</v>
      </c>
      <c r="C559" t="s">
        <v>785</v>
      </c>
      <c r="D559" t="s">
        <v>28</v>
      </c>
      <c r="E559" t="s">
        <v>58</v>
      </c>
      <c r="F559">
        <v>63.52</v>
      </c>
      <c r="G559">
        <v>63.2</v>
      </c>
      <c r="H559">
        <f>Tabla1[[#This Row],[Entry Price]]-(Tabla1[[#This Row],[Entry Price]]-Tabla1[[#This Row],[Initial Stop]])/2</f>
        <v>63.36</v>
      </c>
      <c r="I559">
        <v>20</v>
      </c>
      <c r="J559">
        <f t="shared" si="190"/>
        <v>6.4000000000000057</v>
      </c>
      <c r="K559">
        <v>1</v>
      </c>
      <c r="L559">
        <f t="shared" si="191"/>
        <v>6.4000000000000057</v>
      </c>
      <c r="M559" t="s">
        <v>72</v>
      </c>
      <c r="N559">
        <f>SUMIF(Executions!B:B,A559,Executions!H:H)</f>
        <v>-3.5999999999999943</v>
      </c>
      <c r="O559">
        <f t="shared" si="192"/>
        <v>-0.56249999999999867</v>
      </c>
      <c r="P559" s="4">
        <f>Tabla1[[#This Row],[Initial Risk $]]/Tabla1[[#This Row],[Position Size (shares)]]+Tabla1[[#This Row],[Entry Price]]</f>
        <v>63.84</v>
      </c>
      <c r="Q559" s="4">
        <f>Tabla1[[#This Row],[Initial Risk $]]/Tabla1[[#This Row],[Position Size (shares)]]*1.5+Tabla1[[#This Row],[Entry Price]]</f>
        <v>64</v>
      </c>
      <c r="R559" s="4">
        <f>Tabla1[[#This Row],[Initial Risk $]]/Tabla1[[#This Row],[Position Size (shares)]]*2+Tabla1[[#This Row],[Entry Price]]</f>
        <v>64.16</v>
      </c>
      <c r="S559" s="4">
        <f>Tabla1[[#This Row],[Initial Risk $]]/Tabla1[[#This Row],[Position Size (shares)]]*2.5+Tabla1[[#This Row],[Entry Price]]</f>
        <v>64.320000000000007</v>
      </c>
      <c r="T559" s="4">
        <f>Tabla1[[#This Row],[Initial Risk $]]/Tabla1[[#This Row],[Position Size (shares)]]*3+Tabla1[[#This Row],[Entry Price]]</f>
        <v>64.48</v>
      </c>
    </row>
    <row r="560" spans="1:20" customFormat="1" hidden="1" x14ac:dyDescent="0.25">
      <c r="A560" t="str">
        <f t="shared" si="189"/>
        <v>T-559</v>
      </c>
      <c r="B560" s="1">
        <v>46232</v>
      </c>
      <c r="C560" t="s">
        <v>161</v>
      </c>
      <c r="D560" t="s">
        <v>28</v>
      </c>
      <c r="E560" t="s">
        <v>58</v>
      </c>
      <c r="F560">
        <v>87.31</v>
      </c>
      <c r="G560">
        <v>86.2</v>
      </c>
      <c r="H560">
        <f>Tabla1[[#This Row],[Entry Price]]-(Tabla1[[#This Row],[Entry Price]]-Tabla1[[#This Row],[Initial Stop]])/2</f>
        <v>86.754999999999995</v>
      </c>
      <c r="I560">
        <v>6</v>
      </c>
      <c r="J560">
        <f t="shared" si="190"/>
        <v>6.6599999999999966</v>
      </c>
      <c r="K560">
        <v>1</v>
      </c>
      <c r="L560">
        <f t="shared" si="191"/>
        <v>6.6599999999999966</v>
      </c>
      <c r="M560" t="s">
        <v>72</v>
      </c>
      <c r="N560">
        <f>SUMIF(Executions!B:B,A560,Executions!H:H)</f>
        <v>-6.6599999999999966</v>
      </c>
      <c r="O560">
        <f t="shared" si="192"/>
        <v>-1</v>
      </c>
      <c r="P560" s="4">
        <f>Tabla1[[#This Row],[Initial Risk $]]/Tabla1[[#This Row],[Position Size (shares)]]+Tabla1[[#This Row],[Entry Price]]</f>
        <v>88.42</v>
      </c>
      <c r="Q560" s="4">
        <f>Tabla1[[#This Row],[Initial Risk $]]/Tabla1[[#This Row],[Position Size (shares)]]*1.5+Tabla1[[#This Row],[Entry Price]]</f>
        <v>88.974999999999994</v>
      </c>
      <c r="R560" s="4">
        <f>Tabla1[[#This Row],[Initial Risk $]]/Tabla1[[#This Row],[Position Size (shares)]]*2+Tabla1[[#This Row],[Entry Price]]</f>
        <v>89.53</v>
      </c>
      <c r="S560" s="4">
        <f>Tabla1[[#This Row],[Initial Risk $]]/Tabla1[[#This Row],[Position Size (shares)]]*2.5+Tabla1[[#This Row],[Entry Price]]</f>
        <v>90.085000000000008</v>
      </c>
      <c r="T560" s="4">
        <f>Tabla1[[#This Row],[Initial Risk $]]/Tabla1[[#This Row],[Position Size (shares)]]*3+Tabla1[[#This Row],[Entry Price]]</f>
        <v>90.64</v>
      </c>
    </row>
    <row r="561" spans="1:20" customFormat="1" hidden="1" x14ac:dyDescent="0.25">
      <c r="A561" t="str">
        <f t="shared" si="189"/>
        <v>T-560</v>
      </c>
      <c r="B561" s="1">
        <v>46232</v>
      </c>
      <c r="C561" t="s">
        <v>399</v>
      </c>
      <c r="D561" t="s">
        <v>28</v>
      </c>
      <c r="E561" t="s">
        <v>58</v>
      </c>
      <c r="F561">
        <v>28.24</v>
      </c>
      <c r="G561">
        <v>27.95</v>
      </c>
      <c r="H561">
        <f>Tabla1[[#This Row],[Entry Price]]-(Tabla1[[#This Row],[Entry Price]]-Tabla1[[#This Row],[Initial Stop]])/2</f>
        <v>28.094999999999999</v>
      </c>
      <c r="I561">
        <v>20</v>
      </c>
      <c r="J561">
        <f t="shared" si="190"/>
        <v>5.7999999999999829</v>
      </c>
      <c r="K561">
        <v>1</v>
      </c>
      <c r="L561">
        <f t="shared" si="191"/>
        <v>5.7999999999999829</v>
      </c>
      <c r="M561" t="s">
        <v>72</v>
      </c>
      <c r="N561">
        <f>SUMIF(Executions!B:B,A561,Executions!H:H)</f>
        <v>5.2000000000000313</v>
      </c>
      <c r="O561">
        <f t="shared" si="192"/>
        <v>0.89655172413793904</v>
      </c>
      <c r="P561" s="4">
        <f>Tabla1[[#This Row],[Initial Risk $]]/Tabla1[[#This Row],[Position Size (shares)]]+Tabla1[[#This Row],[Entry Price]]</f>
        <v>28.529999999999998</v>
      </c>
      <c r="Q561" s="4">
        <f>Tabla1[[#This Row],[Initial Risk $]]/Tabla1[[#This Row],[Position Size (shares)]]*1.5+Tabla1[[#This Row],[Entry Price]]</f>
        <v>28.674999999999997</v>
      </c>
      <c r="R561" s="4">
        <f>Tabla1[[#This Row],[Initial Risk $]]/Tabla1[[#This Row],[Position Size (shares)]]*2+Tabla1[[#This Row],[Entry Price]]</f>
        <v>28.819999999999997</v>
      </c>
      <c r="S561" s="4">
        <f>Tabla1[[#This Row],[Initial Risk $]]/Tabla1[[#This Row],[Position Size (shares)]]*2.5+Tabla1[[#This Row],[Entry Price]]</f>
        <v>28.964999999999996</v>
      </c>
      <c r="T561" s="4">
        <f>Tabla1[[#This Row],[Initial Risk $]]/Tabla1[[#This Row],[Position Size (shares)]]*3+Tabla1[[#This Row],[Entry Price]]</f>
        <v>29.109999999999996</v>
      </c>
    </row>
    <row r="562" spans="1:20" customFormat="1" hidden="1" x14ac:dyDescent="0.25">
      <c r="A562" t="str">
        <f t="shared" si="189"/>
        <v>T-561</v>
      </c>
      <c r="B562" s="1">
        <v>46232</v>
      </c>
      <c r="C562" t="s">
        <v>327</v>
      </c>
      <c r="D562" t="s">
        <v>28</v>
      </c>
      <c r="E562" t="s">
        <v>58</v>
      </c>
      <c r="F562">
        <v>218.02</v>
      </c>
      <c r="G562">
        <v>216.02</v>
      </c>
      <c r="H562">
        <f>Tabla1[[#This Row],[Entry Price]]-(Tabla1[[#This Row],[Entry Price]]-Tabla1[[#This Row],[Initial Stop]])/2</f>
        <v>217.02</v>
      </c>
      <c r="I562">
        <v>5</v>
      </c>
      <c r="J562">
        <f t="shared" si="190"/>
        <v>10</v>
      </c>
      <c r="K562">
        <v>1</v>
      </c>
      <c r="L562">
        <f t="shared" si="191"/>
        <v>10</v>
      </c>
      <c r="M562" t="s">
        <v>72</v>
      </c>
      <c r="N562">
        <f>SUMIF(Executions!B:B,A562,Executions!H:H)</f>
        <v>-10.900000000000034</v>
      </c>
      <c r="O562">
        <f t="shared" si="192"/>
        <v>-1.0900000000000034</v>
      </c>
      <c r="P562" s="4">
        <f>Tabla1[[#This Row],[Initial Risk $]]/Tabla1[[#This Row],[Position Size (shares)]]+Tabla1[[#This Row],[Entry Price]]</f>
        <v>220.02</v>
      </c>
      <c r="Q562" s="4">
        <f>Tabla1[[#This Row],[Initial Risk $]]/Tabla1[[#This Row],[Position Size (shares)]]*1.5+Tabla1[[#This Row],[Entry Price]]</f>
        <v>221.02</v>
      </c>
      <c r="R562" s="4">
        <f>Tabla1[[#This Row],[Initial Risk $]]/Tabla1[[#This Row],[Position Size (shares)]]*2+Tabla1[[#This Row],[Entry Price]]</f>
        <v>222.02</v>
      </c>
      <c r="S562" s="4">
        <f>Tabla1[[#This Row],[Initial Risk $]]/Tabla1[[#This Row],[Position Size (shares)]]*2.5+Tabla1[[#This Row],[Entry Price]]</f>
        <v>223.02</v>
      </c>
      <c r="T562" s="4">
        <f>Tabla1[[#This Row],[Initial Risk $]]/Tabla1[[#This Row],[Position Size (shares)]]*3+Tabla1[[#This Row],[Entry Price]]</f>
        <v>224.02</v>
      </c>
    </row>
    <row r="563" spans="1:20" customFormat="1" hidden="1" x14ac:dyDescent="0.25">
      <c r="A563" t="str">
        <f t="shared" si="189"/>
        <v>T-562</v>
      </c>
      <c r="B563" s="1">
        <v>46232</v>
      </c>
      <c r="C563" t="s">
        <v>582</v>
      </c>
      <c r="D563" t="s">
        <v>28</v>
      </c>
      <c r="E563" t="s">
        <v>58</v>
      </c>
      <c r="F563">
        <v>99.18</v>
      </c>
      <c r="G563">
        <v>98.11</v>
      </c>
      <c r="H563">
        <f>Tabla1[[#This Row],[Entry Price]]-(Tabla1[[#This Row],[Entry Price]]-Tabla1[[#This Row],[Initial Stop]])/2</f>
        <v>98.64500000000001</v>
      </c>
      <c r="I563">
        <v>10</v>
      </c>
      <c r="J563">
        <f t="shared" si="190"/>
        <v>10.700000000000074</v>
      </c>
      <c r="K563">
        <v>1</v>
      </c>
      <c r="L563">
        <f t="shared" si="191"/>
        <v>10.700000000000074</v>
      </c>
      <c r="M563" t="s">
        <v>72</v>
      </c>
      <c r="N563">
        <f>SUMIF(Executions!B:B,A563,Executions!H:H)</f>
        <v>-4.0000000000000568</v>
      </c>
      <c r="O563">
        <f t="shared" si="192"/>
        <v>-0.37383177570093729</v>
      </c>
      <c r="P563" s="4">
        <f>Tabla1[[#This Row],[Initial Risk $]]/Tabla1[[#This Row],[Position Size (shares)]]+Tabla1[[#This Row],[Entry Price]]</f>
        <v>100.25000000000001</v>
      </c>
      <c r="Q563" s="4">
        <f>Tabla1[[#This Row],[Initial Risk $]]/Tabla1[[#This Row],[Position Size (shares)]]*1.5+Tabla1[[#This Row],[Entry Price]]</f>
        <v>100.78500000000003</v>
      </c>
      <c r="R563" s="4">
        <f>Tabla1[[#This Row],[Initial Risk $]]/Tabla1[[#This Row],[Position Size (shares)]]*2+Tabla1[[#This Row],[Entry Price]]</f>
        <v>101.32000000000002</v>
      </c>
      <c r="S563" s="4">
        <f>Tabla1[[#This Row],[Initial Risk $]]/Tabla1[[#This Row],[Position Size (shares)]]*2.5+Tabla1[[#This Row],[Entry Price]]</f>
        <v>101.85500000000002</v>
      </c>
      <c r="T563" s="4">
        <f>Tabla1[[#This Row],[Initial Risk $]]/Tabla1[[#This Row],[Position Size (shares)]]*3+Tabla1[[#This Row],[Entry Price]]</f>
        <v>102.39000000000003</v>
      </c>
    </row>
    <row r="564" spans="1:20" customFormat="1" hidden="1" x14ac:dyDescent="0.25">
      <c r="A564" t="str">
        <f t="shared" si="189"/>
        <v>T-563</v>
      </c>
      <c r="B564" s="1">
        <v>46232</v>
      </c>
      <c r="C564" t="s">
        <v>181</v>
      </c>
      <c r="D564" t="s">
        <v>28</v>
      </c>
      <c r="E564" t="s">
        <v>119</v>
      </c>
      <c r="F564">
        <v>12.37</v>
      </c>
      <c r="G564">
        <v>12.1</v>
      </c>
      <c r="H564">
        <f>Tabla1[[#This Row],[Entry Price]]-(Tabla1[[#This Row],[Entry Price]]-Tabla1[[#This Row],[Initial Stop]])/2</f>
        <v>12.234999999999999</v>
      </c>
      <c r="I564">
        <v>20</v>
      </c>
      <c r="J564">
        <f t="shared" si="190"/>
        <v>5.3999999999999915</v>
      </c>
      <c r="K564">
        <v>1</v>
      </c>
      <c r="L564">
        <f t="shared" si="191"/>
        <v>5.3999999999999915</v>
      </c>
      <c r="M564" t="s">
        <v>72</v>
      </c>
      <c r="N564">
        <f>SUMIF(Executions!B:B,A564,Executions!H:H)</f>
        <v>8.0000000000000071</v>
      </c>
      <c r="O564">
        <f t="shared" si="192"/>
        <v>1.4814814814814852</v>
      </c>
      <c r="P564" s="4">
        <f>Tabla1[[#This Row],[Initial Risk $]]/Tabla1[[#This Row],[Position Size (shares)]]+Tabla1[[#This Row],[Entry Price]]</f>
        <v>12.639999999999999</v>
      </c>
      <c r="Q564" s="4">
        <f>Tabla1[[#This Row],[Initial Risk $]]/Tabla1[[#This Row],[Position Size (shares)]]*1.5+Tabla1[[#This Row],[Entry Price]]</f>
        <v>12.774999999999999</v>
      </c>
      <c r="R564" s="4">
        <f>Tabla1[[#This Row],[Initial Risk $]]/Tabla1[[#This Row],[Position Size (shares)]]*2+Tabla1[[#This Row],[Entry Price]]</f>
        <v>12.909999999999998</v>
      </c>
      <c r="S564" s="4">
        <f>Tabla1[[#This Row],[Initial Risk $]]/Tabla1[[#This Row],[Position Size (shares)]]*2.5+Tabla1[[#This Row],[Entry Price]]</f>
        <v>13.044999999999998</v>
      </c>
      <c r="T564" s="4">
        <f>Tabla1[[#This Row],[Initial Risk $]]/Tabla1[[#This Row],[Position Size (shares)]]*3+Tabla1[[#This Row],[Entry Price]]</f>
        <v>13.179999999999998</v>
      </c>
    </row>
    <row r="565" spans="1:20" customFormat="1" hidden="1" x14ac:dyDescent="0.25">
      <c r="A565" t="str">
        <f t="shared" si="189"/>
        <v>T-564</v>
      </c>
      <c r="B565" s="1">
        <v>46232</v>
      </c>
      <c r="C565" t="s">
        <v>279</v>
      </c>
      <c r="D565" t="s">
        <v>28</v>
      </c>
      <c r="E565" t="s">
        <v>27</v>
      </c>
      <c r="F565">
        <v>771.75</v>
      </c>
      <c r="G565">
        <v>758</v>
      </c>
      <c r="H565">
        <f>Tabla1[[#This Row],[Entry Price]]-(Tabla1[[#This Row],[Entry Price]]-Tabla1[[#This Row],[Initial Stop]])/2</f>
        <v>764.875</v>
      </c>
      <c r="I565">
        <v>1</v>
      </c>
      <c r="J565">
        <f t="shared" si="190"/>
        <v>13.75</v>
      </c>
      <c r="K565">
        <v>1</v>
      </c>
      <c r="L565">
        <f t="shared" si="191"/>
        <v>13.75</v>
      </c>
      <c r="M565" t="s">
        <v>72</v>
      </c>
      <c r="N565">
        <f>SUMIF(Executions!B:B,A565,Executions!H:H)</f>
        <v>-9.75</v>
      </c>
      <c r="O565">
        <f t="shared" si="192"/>
        <v>-0.70909090909090911</v>
      </c>
      <c r="P565" s="4">
        <f>Tabla1[[#This Row],[Initial Risk $]]/Tabla1[[#This Row],[Position Size (shares)]]+Tabla1[[#This Row],[Entry Price]]</f>
        <v>785.5</v>
      </c>
      <c r="Q565" s="4">
        <f>Tabla1[[#This Row],[Initial Risk $]]/Tabla1[[#This Row],[Position Size (shares)]]*1.5+Tabla1[[#This Row],[Entry Price]]</f>
        <v>792.375</v>
      </c>
      <c r="R565" s="4">
        <f>Tabla1[[#This Row],[Initial Risk $]]/Tabla1[[#This Row],[Position Size (shares)]]*2+Tabla1[[#This Row],[Entry Price]]</f>
        <v>799.25</v>
      </c>
      <c r="S565" s="4">
        <f>Tabla1[[#This Row],[Initial Risk $]]/Tabla1[[#This Row],[Position Size (shares)]]*2.5+Tabla1[[#This Row],[Entry Price]]</f>
        <v>806.125</v>
      </c>
      <c r="T565" s="4">
        <f>Tabla1[[#This Row],[Initial Risk $]]/Tabla1[[#This Row],[Position Size (shares)]]*3+Tabla1[[#This Row],[Entry Price]]</f>
        <v>813</v>
      </c>
    </row>
    <row r="566" spans="1:20" customFormat="1" hidden="1" x14ac:dyDescent="0.25">
      <c r="A566" t="str">
        <f t="shared" si="189"/>
        <v>T-565</v>
      </c>
      <c r="B566" s="1">
        <v>46232</v>
      </c>
      <c r="C566" t="s">
        <v>279</v>
      </c>
      <c r="D566" t="s">
        <v>28</v>
      </c>
      <c r="E566" t="s">
        <v>27</v>
      </c>
      <c r="F566">
        <v>766.2</v>
      </c>
      <c r="G566">
        <v>758</v>
      </c>
      <c r="H566">
        <f>Tabla1[[#This Row],[Entry Price]]-(Tabla1[[#This Row],[Entry Price]]-Tabla1[[#This Row],[Initial Stop]])/2</f>
        <v>762.1</v>
      </c>
      <c r="I566">
        <v>1</v>
      </c>
      <c r="J566">
        <f t="shared" si="190"/>
        <v>8.2000000000000455</v>
      </c>
      <c r="K566">
        <v>1</v>
      </c>
      <c r="L566">
        <f t="shared" si="191"/>
        <v>8.2000000000000455</v>
      </c>
      <c r="M566" t="s">
        <v>72</v>
      </c>
      <c r="N566">
        <f>SUMIF(Executions!B:B,A566,Executions!H:H)</f>
        <v>-8.2000000000000455</v>
      </c>
      <c r="O566">
        <f t="shared" si="192"/>
        <v>-1</v>
      </c>
      <c r="P566" s="4">
        <f>Tabla1[[#This Row],[Initial Risk $]]/Tabla1[[#This Row],[Position Size (shares)]]+Tabla1[[#This Row],[Entry Price]]</f>
        <v>774.40000000000009</v>
      </c>
      <c r="Q566" s="4">
        <f>Tabla1[[#This Row],[Initial Risk $]]/Tabla1[[#This Row],[Position Size (shares)]]*1.5+Tabla1[[#This Row],[Entry Price]]</f>
        <v>778.50000000000011</v>
      </c>
      <c r="R566" s="4">
        <f>Tabla1[[#This Row],[Initial Risk $]]/Tabla1[[#This Row],[Position Size (shares)]]*2+Tabla1[[#This Row],[Entry Price]]</f>
        <v>782.60000000000014</v>
      </c>
      <c r="S566" s="4">
        <f>Tabla1[[#This Row],[Initial Risk $]]/Tabla1[[#This Row],[Position Size (shares)]]*2.5+Tabla1[[#This Row],[Entry Price]]</f>
        <v>786.70000000000016</v>
      </c>
      <c r="T566" s="4">
        <f>Tabla1[[#This Row],[Initial Risk $]]/Tabla1[[#This Row],[Position Size (shares)]]*3+Tabla1[[#This Row],[Entry Price]]</f>
        <v>790.80000000000018</v>
      </c>
    </row>
    <row r="567" spans="1:20" customFormat="1" hidden="1" x14ac:dyDescent="0.25">
      <c r="A567" t="str">
        <f t="shared" ref="A567:A575" si="193">"T-"&amp; TEXT(ROW()-1,"000")</f>
        <v>T-566</v>
      </c>
      <c r="B567" s="1">
        <v>46233</v>
      </c>
      <c r="C567" t="s">
        <v>279</v>
      </c>
      <c r="D567" t="s">
        <v>28</v>
      </c>
      <c r="E567" t="s">
        <v>58</v>
      </c>
      <c r="F567">
        <v>803.94</v>
      </c>
      <c r="G567">
        <v>792.94</v>
      </c>
      <c r="H567">
        <f>Tabla1[[#This Row],[Entry Price]]-(Tabla1[[#This Row],[Entry Price]]-Tabla1[[#This Row],[Initial Stop]])/2</f>
        <v>798.44</v>
      </c>
      <c r="I567">
        <v>1</v>
      </c>
      <c r="J567">
        <f t="shared" ref="J567:J575" si="194">IF(D567="Long",(F567-G567)*I567,(G567-F567)*0)</f>
        <v>11</v>
      </c>
      <c r="K567">
        <v>1</v>
      </c>
      <c r="L567">
        <f t="shared" ref="L567:L575" si="195">J567*K567</f>
        <v>11</v>
      </c>
      <c r="M567" t="s">
        <v>72</v>
      </c>
      <c r="N567">
        <f>SUMIF(Executions!B:B,A567,Executions!H:H)</f>
        <v>33.059999999999945</v>
      </c>
      <c r="O567">
        <f t="shared" ref="O567:O575" si="196">N567/J567</f>
        <v>3.0054545454545405</v>
      </c>
      <c r="P567" s="4">
        <f>Tabla1[[#This Row],[Initial Risk $]]/Tabla1[[#This Row],[Position Size (shares)]]+Tabla1[[#This Row],[Entry Price]]</f>
        <v>814.94</v>
      </c>
      <c r="Q567" s="4">
        <f>Tabla1[[#This Row],[Initial Risk $]]/Tabla1[[#This Row],[Position Size (shares)]]*1.5+Tabla1[[#This Row],[Entry Price]]</f>
        <v>820.44</v>
      </c>
      <c r="R567" s="4">
        <f>Tabla1[[#This Row],[Initial Risk $]]/Tabla1[[#This Row],[Position Size (shares)]]*2+Tabla1[[#This Row],[Entry Price]]</f>
        <v>825.94</v>
      </c>
      <c r="S567" s="4">
        <f>Tabla1[[#This Row],[Initial Risk $]]/Tabla1[[#This Row],[Position Size (shares)]]*2.5+Tabla1[[#This Row],[Entry Price]]</f>
        <v>831.44</v>
      </c>
      <c r="T567" s="4">
        <f>Tabla1[[#This Row],[Initial Risk $]]/Tabla1[[#This Row],[Position Size (shares)]]*3+Tabla1[[#This Row],[Entry Price]]</f>
        <v>836.94</v>
      </c>
    </row>
    <row r="568" spans="1:20" customFormat="1" hidden="1" x14ac:dyDescent="0.25">
      <c r="A568" t="str">
        <f t="shared" si="193"/>
        <v>T-567</v>
      </c>
      <c r="B568" s="1">
        <v>46233</v>
      </c>
      <c r="C568" t="s">
        <v>164</v>
      </c>
      <c r="D568" t="s">
        <v>28</v>
      </c>
      <c r="E568" t="s">
        <v>58</v>
      </c>
      <c r="F568">
        <v>192.48</v>
      </c>
      <c r="G568">
        <v>191.51</v>
      </c>
      <c r="H568">
        <f>Tabla1[[#This Row],[Entry Price]]-(Tabla1[[#This Row],[Entry Price]]-Tabla1[[#This Row],[Initial Stop]])/2</f>
        <v>191.995</v>
      </c>
      <c r="I568">
        <v>6</v>
      </c>
      <c r="J568">
        <f t="shared" si="194"/>
        <v>5.8199999999999932</v>
      </c>
      <c r="K568">
        <v>1</v>
      </c>
      <c r="L568">
        <f t="shared" si="195"/>
        <v>5.8199999999999932</v>
      </c>
      <c r="M568" t="s">
        <v>72</v>
      </c>
      <c r="N568">
        <f>SUMIF(Executions!B:B,A568,Executions!H:H)</f>
        <v>20.04000000000002</v>
      </c>
      <c r="O568">
        <f t="shared" si="196"/>
        <v>3.4432989690721727</v>
      </c>
      <c r="P568" s="4">
        <f>Tabla1[[#This Row],[Initial Risk $]]/Tabla1[[#This Row],[Position Size (shares)]]+Tabla1[[#This Row],[Entry Price]]</f>
        <v>193.45</v>
      </c>
      <c r="Q568" s="4">
        <f>Tabla1[[#This Row],[Initial Risk $]]/Tabla1[[#This Row],[Position Size (shares)]]*1.5+Tabla1[[#This Row],[Entry Price]]</f>
        <v>193.935</v>
      </c>
      <c r="R568" s="4">
        <f>Tabla1[[#This Row],[Initial Risk $]]/Tabla1[[#This Row],[Position Size (shares)]]*2+Tabla1[[#This Row],[Entry Price]]</f>
        <v>194.42</v>
      </c>
      <c r="S568" s="4">
        <f>Tabla1[[#This Row],[Initial Risk $]]/Tabla1[[#This Row],[Position Size (shares)]]*2.5+Tabla1[[#This Row],[Entry Price]]</f>
        <v>194.90499999999997</v>
      </c>
      <c r="T568" s="4">
        <f>Tabla1[[#This Row],[Initial Risk $]]/Tabla1[[#This Row],[Position Size (shares)]]*3+Tabla1[[#This Row],[Entry Price]]</f>
        <v>195.39</v>
      </c>
    </row>
    <row r="569" spans="1:20" customFormat="1" hidden="1" x14ac:dyDescent="0.25">
      <c r="A569" t="str">
        <f t="shared" si="193"/>
        <v>T-568</v>
      </c>
      <c r="B569" s="1">
        <v>46233</v>
      </c>
      <c r="C569" t="s">
        <v>294</v>
      </c>
      <c r="D569" t="s">
        <v>28</v>
      </c>
      <c r="E569" t="s">
        <v>58</v>
      </c>
      <c r="F569">
        <v>124.89</v>
      </c>
      <c r="G569">
        <v>123</v>
      </c>
      <c r="H569">
        <f>Tabla1[[#This Row],[Entry Price]]-(Tabla1[[#This Row],[Entry Price]]-Tabla1[[#This Row],[Initial Stop]])/2</f>
        <v>123.94499999999999</v>
      </c>
      <c r="I569">
        <v>10</v>
      </c>
      <c r="J569">
        <f t="shared" si="194"/>
        <v>18.900000000000006</v>
      </c>
      <c r="K569">
        <v>1</v>
      </c>
      <c r="L569">
        <f t="shared" si="195"/>
        <v>18.900000000000006</v>
      </c>
      <c r="M569" t="s">
        <v>72</v>
      </c>
      <c r="N569">
        <f>SUMIF(Executions!B:B,A569,Executions!H:H)</f>
        <v>28.299999999999983</v>
      </c>
      <c r="O569">
        <f t="shared" si="196"/>
        <v>1.4973544973544961</v>
      </c>
      <c r="P569" s="4">
        <f>Tabla1[[#This Row],[Initial Risk $]]/Tabla1[[#This Row],[Position Size (shares)]]+Tabla1[[#This Row],[Entry Price]]</f>
        <v>126.78</v>
      </c>
      <c r="Q569" s="4">
        <f>Tabla1[[#This Row],[Initial Risk $]]/Tabla1[[#This Row],[Position Size (shares)]]*1.5+Tabla1[[#This Row],[Entry Price]]</f>
        <v>127.72499999999999</v>
      </c>
      <c r="R569" s="4">
        <f>Tabla1[[#This Row],[Initial Risk $]]/Tabla1[[#This Row],[Position Size (shares)]]*2+Tabla1[[#This Row],[Entry Price]]</f>
        <v>128.67000000000002</v>
      </c>
      <c r="S569" s="4">
        <f>Tabla1[[#This Row],[Initial Risk $]]/Tabla1[[#This Row],[Position Size (shares)]]*2.5+Tabla1[[#This Row],[Entry Price]]</f>
        <v>129.61500000000001</v>
      </c>
      <c r="T569" s="4">
        <f>Tabla1[[#This Row],[Initial Risk $]]/Tabla1[[#This Row],[Position Size (shares)]]*3+Tabla1[[#This Row],[Entry Price]]</f>
        <v>130.56</v>
      </c>
    </row>
    <row r="570" spans="1:20" customFormat="1" hidden="1" x14ac:dyDescent="0.25">
      <c r="A570" t="str">
        <f t="shared" si="193"/>
        <v>T-569</v>
      </c>
      <c r="B570" s="1">
        <v>46233</v>
      </c>
      <c r="C570" t="s">
        <v>120</v>
      </c>
      <c r="D570" t="s">
        <v>28</v>
      </c>
      <c r="E570" t="s">
        <v>58</v>
      </c>
      <c r="F570">
        <v>17.7</v>
      </c>
      <c r="G570">
        <v>17.25</v>
      </c>
      <c r="H570">
        <f>Tabla1[[#This Row],[Entry Price]]-(Tabla1[[#This Row],[Entry Price]]-Tabla1[[#This Row],[Initial Stop]])/2</f>
        <v>17.475000000000001</v>
      </c>
      <c r="I570">
        <v>20</v>
      </c>
      <c r="J570">
        <f t="shared" si="194"/>
        <v>8.9999999999999858</v>
      </c>
      <c r="K570">
        <v>1</v>
      </c>
      <c r="L570">
        <f t="shared" si="195"/>
        <v>8.9999999999999858</v>
      </c>
      <c r="M570" t="s">
        <v>72</v>
      </c>
      <c r="N570">
        <f>SUMIF(Executions!B:B,A570,Executions!H:H)</f>
        <v>-9.2000000000000171</v>
      </c>
      <c r="O570">
        <f t="shared" si="196"/>
        <v>-1.0222222222222257</v>
      </c>
      <c r="P570" s="4">
        <f>Tabla1[[#This Row],[Initial Risk $]]/Tabla1[[#This Row],[Position Size (shares)]]+Tabla1[[#This Row],[Entry Price]]</f>
        <v>18.149999999999999</v>
      </c>
      <c r="Q570" s="4">
        <f>Tabla1[[#This Row],[Initial Risk $]]/Tabla1[[#This Row],[Position Size (shares)]]*1.5+Tabla1[[#This Row],[Entry Price]]</f>
        <v>18.375</v>
      </c>
      <c r="R570" s="4">
        <f>Tabla1[[#This Row],[Initial Risk $]]/Tabla1[[#This Row],[Position Size (shares)]]*2+Tabla1[[#This Row],[Entry Price]]</f>
        <v>18.599999999999998</v>
      </c>
      <c r="S570" s="4">
        <f>Tabla1[[#This Row],[Initial Risk $]]/Tabla1[[#This Row],[Position Size (shares)]]*2.5+Tabla1[[#This Row],[Entry Price]]</f>
        <v>18.824999999999996</v>
      </c>
      <c r="T570" s="4">
        <f>Tabla1[[#This Row],[Initial Risk $]]/Tabla1[[#This Row],[Position Size (shares)]]*3+Tabla1[[#This Row],[Entry Price]]</f>
        <v>19.049999999999997</v>
      </c>
    </row>
    <row r="571" spans="1:20" customFormat="1" hidden="1" x14ac:dyDescent="0.25">
      <c r="A571" t="str">
        <f t="shared" si="193"/>
        <v>T-570</v>
      </c>
      <c r="B571" s="1">
        <v>46233</v>
      </c>
      <c r="C571" t="s">
        <v>417</v>
      </c>
      <c r="D571" t="s">
        <v>28</v>
      </c>
      <c r="E571" t="s">
        <v>27</v>
      </c>
      <c r="F571">
        <v>399.15</v>
      </c>
      <c r="G571">
        <v>394.65</v>
      </c>
      <c r="H571">
        <f>Tabla1[[#This Row],[Entry Price]]-(Tabla1[[#This Row],[Entry Price]]-Tabla1[[#This Row],[Initial Stop]])/2</f>
        <v>396.9</v>
      </c>
      <c r="I571">
        <v>2</v>
      </c>
      <c r="J571">
        <f t="shared" si="194"/>
        <v>9</v>
      </c>
      <c r="K571">
        <v>1</v>
      </c>
      <c r="L571">
        <f t="shared" si="195"/>
        <v>9</v>
      </c>
      <c r="M571" t="s">
        <v>72</v>
      </c>
      <c r="N571">
        <f>SUMIF(Executions!B:B,A571,Executions!H:H)</f>
        <v>-8.9799999999999045</v>
      </c>
      <c r="O571">
        <f t="shared" si="196"/>
        <v>-0.99777777777776722</v>
      </c>
      <c r="P571" s="4">
        <f>Tabla1[[#This Row],[Initial Risk $]]/Tabla1[[#This Row],[Position Size (shares)]]+Tabla1[[#This Row],[Entry Price]]</f>
        <v>403.65</v>
      </c>
      <c r="Q571" s="4">
        <f>Tabla1[[#This Row],[Initial Risk $]]/Tabla1[[#This Row],[Position Size (shares)]]*1.5+Tabla1[[#This Row],[Entry Price]]</f>
        <v>405.9</v>
      </c>
      <c r="R571" s="4">
        <f>Tabla1[[#This Row],[Initial Risk $]]/Tabla1[[#This Row],[Position Size (shares)]]*2+Tabla1[[#This Row],[Entry Price]]</f>
        <v>408.15</v>
      </c>
      <c r="S571" s="4">
        <f>Tabla1[[#This Row],[Initial Risk $]]/Tabla1[[#This Row],[Position Size (shares)]]*2.5+Tabla1[[#This Row],[Entry Price]]</f>
        <v>410.4</v>
      </c>
      <c r="T571" s="4">
        <f>Tabla1[[#This Row],[Initial Risk $]]/Tabla1[[#This Row],[Position Size (shares)]]*3+Tabla1[[#This Row],[Entry Price]]</f>
        <v>412.65</v>
      </c>
    </row>
    <row r="572" spans="1:20" customFormat="1" hidden="1" x14ac:dyDescent="0.25">
      <c r="A572" t="str">
        <f t="shared" si="193"/>
        <v>T-571</v>
      </c>
      <c r="B572" s="1">
        <v>46233</v>
      </c>
      <c r="C572" t="s">
        <v>279</v>
      </c>
      <c r="D572" t="s">
        <v>28</v>
      </c>
      <c r="E572" t="s">
        <v>119</v>
      </c>
      <c r="F572">
        <v>847.3</v>
      </c>
      <c r="G572">
        <v>836</v>
      </c>
      <c r="H572">
        <f>Tabla1[[#This Row],[Entry Price]]-(Tabla1[[#This Row],[Entry Price]]-Tabla1[[#This Row],[Initial Stop]])/2</f>
        <v>841.65</v>
      </c>
      <c r="I572">
        <v>1</v>
      </c>
      <c r="J572">
        <f t="shared" si="194"/>
        <v>11.299999999999955</v>
      </c>
      <c r="K572">
        <v>1</v>
      </c>
      <c r="L572">
        <f t="shared" si="195"/>
        <v>11.299999999999955</v>
      </c>
      <c r="M572" t="s">
        <v>72</v>
      </c>
      <c r="N572">
        <f>SUMIF(Executions!B:B,A572,Executions!H:H)</f>
        <v>16.950000000000045</v>
      </c>
      <c r="O572">
        <f t="shared" si="196"/>
        <v>1.50000000000001</v>
      </c>
      <c r="P572" s="4">
        <f>Tabla1[[#This Row],[Initial Risk $]]/Tabla1[[#This Row],[Position Size (shares)]]+Tabla1[[#This Row],[Entry Price]]</f>
        <v>858.59999999999991</v>
      </c>
      <c r="Q572" s="4">
        <f>Tabla1[[#This Row],[Initial Risk $]]/Tabla1[[#This Row],[Position Size (shares)]]*1.5+Tabla1[[#This Row],[Entry Price]]</f>
        <v>864.24999999999989</v>
      </c>
      <c r="R572" s="4">
        <f>Tabla1[[#This Row],[Initial Risk $]]/Tabla1[[#This Row],[Position Size (shares)]]*2+Tabla1[[#This Row],[Entry Price]]</f>
        <v>869.89999999999986</v>
      </c>
      <c r="S572" s="4">
        <f>Tabla1[[#This Row],[Initial Risk $]]/Tabla1[[#This Row],[Position Size (shares)]]*2.5+Tabla1[[#This Row],[Entry Price]]</f>
        <v>875.54999999999984</v>
      </c>
      <c r="T572" s="4">
        <f>Tabla1[[#This Row],[Initial Risk $]]/Tabla1[[#This Row],[Position Size (shares)]]*3+Tabla1[[#This Row],[Entry Price]]</f>
        <v>881.19999999999982</v>
      </c>
    </row>
    <row r="573" spans="1:20" customFormat="1" hidden="1" x14ac:dyDescent="0.25">
      <c r="A573" t="str">
        <f t="shared" si="193"/>
        <v>T-572</v>
      </c>
      <c r="B573" s="1">
        <v>46233</v>
      </c>
      <c r="C573" t="s">
        <v>181</v>
      </c>
      <c r="D573" t="s">
        <v>28</v>
      </c>
      <c r="E573" t="s">
        <v>27</v>
      </c>
      <c r="F573">
        <v>11.93</v>
      </c>
      <c r="G573">
        <v>11.66</v>
      </c>
      <c r="H573">
        <f>Tabla1[[#This Row],[Entry Price]]-(Tabla1[[#This Row],[Entry Price]]-Tabla1[[#This Row],[Initial Stop]])/2</f>
        <v>11.795</v>
      </c>
      <c r="I573">
        <v>30</v>
      </c>
      <c r="J573">
        <f t="shared" si="194"/>
        <v>8.0999999999999872</v>
      </c>
      <c r="K573">
        <v>1</v>
      </c>
      <c r="L573">
        <f t="shared" si="195"/>
        <v>8.0999999999999872</v>
      </c>
      <c r="M573" t="s">
        <v>72</v>
      </c>
      <c r="N573">
        <f>SUMIF(Executions!B:B,A573,Executions!H:H)</f>
        <v>8.7000000000000277</v>
      </c>
      <c r="O573">
        <f t="shared" si="196"/>
        <v>1.0740740740740793</v>
      </c>
      <c r="P573" s="4">
        <f>Tabla1[[#This Row],[Initial Risk $]]/Tabla1[[#This Row],[Position Size (shares)]]+Tabla1[[#This Row],[Entry Price]]</f>
        <v>12.2</v>
      </c>
      <c r="Q573" s="4">
        <f>Tabla1[[#This Row],[Initial Risk $]]/Tabla1[[#This Row],[Position Size (shares)]]*1.5+Tabla1[[#This Row],[Entry Price]]</f>
        <v>12.334999999999999</v>
      </c>
      <c r="R573" s="4">
        <f>Tabla1[[#This Row],[Initial Risk $]]/Tabla1[[#This Row],[Position Size (shares)]]*2+Tabla1[[#This Row],[Entry Price]]</f>
        <v>12.469999999999999</v>
      </c>
      <c r="S573" s="4">
        <f>Tabla1[[#This Row],[Initial Risk $]]/Tabla1[[#This Row],[Position Size (shares)]]*2.5+Tabla1[[#This Row],[Entry Price]]</f>
        <v>12.604999999999999</v>
      </c>
      <c r="T573" s="4">
        <f>Tabla1[[#This Row],[Initial Risk $]]/Tabla1[[#This Row],[Position Size (shares)]]*3+Tabla1[[#This Row],[Entry Price]]</f>
        <v>12.739999999999998</v>
      </c>
    </row>
    <row r="574" spans="1:20" customFormat="1" hidden="1" x14ac:dyDescent="0.25">
      <c r="A574" t="str">
        <f t="shared" si="193"/>
        <v>T-573</v>
      </c>
      <c r="B574" s="1">
        <v>46233</v>
      </c>
      <c r="C574" t="s">
        <v>582</v>
      </c>
      <c r="D574" t="s">
        <v>28</v>
      </c>
      <c r="E574" t="s">
        <v>119</v>
      </c>
      <c r="F574">
        <v>95.53</v>
      </c>
      <c r="G574">
        <v>94.53</v>
      </c>
      <c r="H574">
        <f>Tabla1[[#This Row],[Entry Price]]-(Tabla1[[#This Row],[Entry Price]]-Tabla1[[#This Row],[Initial Stop]])/2</f>
        <v>95.03</v>
      </c>
      <c r="I574">
        <v>5</v>
      </c>
      <c r="J574">
        <f t="shared" si="194"/>
        <v>5</v>
      </c>
      <c r="K574">
        <v>1</v>
      </c>
      <c r="L574">
        <f t="shared" si="195"/>
        <v>5</v>
      </c>
      <c r="M574" t="s">
        <v>72</v>
      </c>
      <c r="N574">
        <f>SUMIF(Executions!B:B,A574,Executions!H:H)</f>
        <v>2.1000000000000085</v>
      </c>
      <c r="O574">
        <f t="shared" si="196"/>
        <v>0.42000000000000171</v>
      </c>
      <c r="P574" s="4">
        <f>Tabla1[[#This Row],[Initial Risk $]]/Tabla1[[#This Row],[Position Size (shares)]]+Tabla1[[#This Row],[Entry Price]]</f>
        <v>96.53</v>
      </c>
      <c r="Q574" s="4">
        <f>Tabla1[[#This Row],[Initial Risk $]]/Tabla1[[#This Row],[Position Size (shares)]]*1.5+Tabla1[[#This Row],[Entry Price]]</f>
        <v>97.03</v>
      </c>
      <c r="R574" s="4">
        <f>Tabla1[[#This Row],[Initial Risk $]]/Tabla1[[#This Row],[Position Size (shares)]]*2+Tabla1[[#This Row],[Entry Price]]</f>
        <v>97.53</v>
      </c>
      <c r="S574" s="4">
        <f>Tabla1[[#This Row],[Initial Risk $]]/Tabla1[[#This Row],[Position Size (shares)]]*2.5+Tabla1[[#This Row],[Entry Price]]</f>
        <v>98.03</v>
      </c>
      <c r="T574" s="4">
        <f>Tabla1[[#This Row],[Initial Risk $]]/Tabla1[[#This Row],[Position Size (shares)]]*3+Tabla1[[#This Row],[Entry Price]]</f>
        <v>98.53</v>
      </c>
    </row>
    <row r="575" spans="1:20" customFormat="1" hidden="1" x14ac:dyDescent="0.25">
      <c r="A575" t="str">
        <f t="shared" si="193"/>
        <v>T-574</v>
      </c>
      <c r="B575" s="1">
        <v>46233</v>
      </c>
      <c r="C575" t="s">
        <v>164</v>
      </c>
      <c r="D575" t="s">
        <v>28</v>
      </c>
      <c r="E575" t="s">
        <v>119</v>
      </c>
      <c r="F575">
        <v>193.62</v>
      </c>
      <c r="G575">
        <v>191.69</v>
      </c>
      <c r="H575">
        <f>Tabla1[[#This Row],[Entry Price]]-(Tabla1[[#This Row],[Entry Price]]-Tabla1[[#This Row],[Initial Stop]])/2</f>
        <v>192.655</v>
      </c>
      <c r="I575">
        <v>5</v>
      </c>
      <c r="J575">
        <f t="shared" si="194"/>
        <v>9.6500000000000341</v>
      </c>
      <c r="K575">
        <v>1</v>
      </c>
      <c r="L575">
        <f t="shared" si="195"/>
        <v>9.6500000000000341</v>
      </c>
      <c r="M575" t="s">
        <v>72</v>
      </c>
      <c r="N575">
        <f>SUMIF(Executions!B:B,A575,Executions!H:H)</f>
        <v>6.8999999999999773</v>
      </c>
      <c r="O575">
        <f t="shared" si="196"/>
        <v>0.7150259067357464</v>
      </c>
      <c r="P575" s="4">
        <f>Tabla1[[#This Row],[Initial Risk $]]/Tabla1[[#This Row],[Position Size (shares)]]+Tabla1[[#This Row],[Entry Price]]</f>
        <v>195.55</v>
      </c>
      <c r="Q575" s="4">
        <f>Tabla1[[#This Row],[Initial Risk $]]/Tabla1[[#This Row],[Position Size (shares)]]*1.5+Tabla1[[#This Row],[Entry Price]]</f>
        <v>196.51500000000001</v>
      </c>
      <c r="R575" s="4">
        <f>Tabla1[[#This Row],[Initial Risk $]]/Tabla1[[#This Row],[Position Size (shares)]]*2+Tabla1[[#This Row],[Entry Price]]</f>
        <v>197.48000000000002</v>
      </c>
      <c r="S575" s="4">
        <f>Tabla1[[#This Row],[Initial Risk $]]/Tabla1[[#This Row],[Position Size (shares)]]*2.5+Tabla1[[#This Row],[Entry Price]]</f>
        <v>198.44500000000002</v>
      </c>
      <c r="T575" s="4">
        <f>Tabla1[[#This Row],[Initial Risk $]]/Tabla1[[#This Row],[Position Size (shares)]]*3+Tabla1[[#This Row],[Entry Price]]</f>
        <v>199.41000000000003</v>
      </c>
    </row>
    <row r="576" spans="1:20" customFormat="1" hidden="1" x14ac:dyDescent="0.25">
      <c r="A576" t="str">
        <f t="shared" ref="A576:A582" si="197">"T-"&amp; TEXT(ROW()-1,"000")</f>
        <v>T-575</v>
      </c>
      <c r="B576" s="1">
        <v>46234</v>
      </c>
      <c r="C576" t="s">
        <v>186</v>
      </c>
      <c r="D576" t="s">
        <v>28</v>
      </c>
      <c r="E576" t="s">
        <v>51</v>
      </c>
      <c r="F576">
        <v>269</v>
      </c>
      <c r="G576">
        <v>266.8</v>
      </c>
      <c r="H576">
        <f>Tabla1[[#This Row],[Entry Price]]-(Tabla1[[#This Row],[Entry Price]]-Tabla1[[#This Row],[Initial Stop]])/2</f>
        <v>267.89999999999998</v>
      </c>
      <c r="I576">
        <v>5</v>
      </c>
      <c r="J576">
        <f t="shared" ref="J576:J582" si="198">IF(D576="Long",(F576-G576)*I576,(G576-F576)*0)</f>
        <v>10.999999999999943</v>
      </c>
      <c r="K576">
        <v>1</v>
      </c>
      <c r="L576">
        <f t="shared" ref="L576:L582" si="199">J576*K576</f>
        <v>10.999999999999943</v>
      </c>
      <c r="M576" t="s">
        <v>72</v>
      </c>
      <c r="N576">
        <f>SUMIF(Executions!B:B,A576,Executions!H:H)</f>
        <v>-11.200000000000045</v>
      </c>
      <c r="O576">
        <f t="shared" ref="O576:O582" si="200">N576/J576</f>
        <v>-1.0181818181818276</v>
      </c>
      <c r="P576" s="4">
        <f>Tabla1[[#This Row],[Initial Risk $]]/Tabla1[[#This Row],[Position Size (shares)]]+Tabla1[[#This Row],[Entry Price]]</f>
        <v>271.2</v>
      </c>
      <c r="Q576" s="4">
        <f>Tabla1[[#This Row],[Initial Risk $]]/Tabla1[[#This Row],[Position Size (shares)]]*1.5+Tabla1[[#This Row],[Entry Price]]</f>
        <v>272.29999999999995</v>
      </c>
      <c r="R576" s="4">
        <f>Tabla1[[#This Row],[Initial Risk $]]/Tabla1[[#This Row],[Position Size (shares)]]*2+Tabla1[[#This Row],[Entry Price]]</f>
        <v>273.39999999999998</v>
      </c>
      <c r="S576" s="4">
        <f>Tabla1[[#This Row],[Initial Risk $]]/Tabla1[[#This Row],[Position Size (shares)]]*2.5+Tabla1[[#This Row],[Entry Price]]</f>
        <v>274.5</v>
      </c>
      <c r="T576" s="4">
        <f>Tabla1[[#This Row],[Initial Risk $]]/Tabla1[[#This Row],[Position Size (shares)]]*3+Tabla1[[#This Row],[Entry Price]]</f>
        <v>275.59999999999997</v>
      </c>
    </row>
    <row r="577" spans="1:20" customFormat="1" hidden="1" x14ac:dyDescent="0.25">
      <c r="A577" t="str">
        <f t="shared" si="197"/>
        <v>T-576</v>
      </c>
      <c r="B577" s="1">
        <v>46234</v>
      </c>
      <c r="C577" t="s">
        <v>181</v>
      </c>
      <c r="D577" t="s">
        <v>28</v>
      </c>
      <c r="E577" t="s">
        <v>58</v>
      </c>
      <c r="F577">
        <v>12.53</v>
      </c>
      <c r="G577">
        <v>12.32</v>
      </c>
      <c r="H577">
        <f>Tabla1[[#This Row],[Entry Price]]-(Tabla1[[#This Row],[Entry Price]]-Tabla1[[#This Row],[Initial Stop]])/2</f>
        <v>12.425000000000001</v>
      </c>
      <c r="I577">
        <v>40</v>
      </c>
      <c r="J577">
        <f t="shared" si="198"/>
        <v>8.3999999999999631</v>
      </c>
      <c r="K577">
        <v>1</v>
      </c>
      <c r="L577">
        <f t="shared" si="199"/>
        <v>8.3999999999999631</v>
      </c>
      <c r="M577" t="s">
        <v>72</v>
      </c>
      <c r="N577">
        <f>SUMIF(Executions!B:B,A577,Executions!H:H)</f>
        <v>5.6000000000000227</v>
      </c>
      <c r="O577">
        <f t="shared" si="200"/>
        <v>0.66666666666667229</v>
      </c>
      <c r="P577" s="4">
        <f>Tabla1[[#This Row],[Initial Risk $]]/Tabla1[[#This Row],[Position Size (shares)]]+Tabla1[[#This Row],[Entry Price]]</f>
        <v>12.739999999999998</v>
      </c>
      <c r="Q577" s="4">
        <f>Tabla1[[#This Row],[Initial Risk $]]/Tabla1[[#This Row],[Position Size (shares)]]*1.5+Tabla1[[#This Row],[Entry Price]]</f>
        <v>12.844999999999999</v>
      </c>
      <c r="R577" s="4">
        <f>Tabla1[[#This Row],[Initial Risk $]]/Tabla1[[#This Row],[Position Size (shares)]]*2+Tabla1[[#This Row],[Entry Price]]</f>
        <v>12.949999999999998</v>
      </c>
      <c r="S577" s="4">
        <f>Tabla1[[#This Row],[Initial Risk $]]/Tabla1[[#This Row],[Position Size (shares)]]*2.5+Tabla1[[#This Row],[Entry Price]]</f>
        <v>13.054999999999996</v>
      </c>
      <c r="T577" s="4">
        <f>Tabla1[[#This Row],[Initial Risk $]]/Tabla1[[#This Row],[Position Size (shares)]]*3+Tabla1[[#This Row],[Entry Price]]</f>
        <v>13.159999999999997</v>
      </c>
    </row>
    <row r="578" spans="1:20" customFormat="1" hidden="1" x14ac:dyDescent="0.25">
      <c r="A578" t="str">
        <f t="shared" si="197"/>
        <v>T-577</v>
      </c>
      <c r="B578" s="1">
        <v>46234</v>
      </c>
      <c r="C578" t="s">
        <v>561</v>
      </c>
      <c r="D578" t="s">
        <v>28</v>
      </c>
      <c r="E578" t="s">
        <v>58</v>
      </c>
      <c r="F578">
        <v>152.37</v>
      </c>
      <c r="G578">
        <v>151.22</v>
      </c>
      <c r="H578">
        <f>Tabla1[[#This Row],[Entry Price]]-(Tabla1[[#This Row],[Entry Price]]-Tabla1[[#This Row],[Initial Stop]])/2</f>
        <v>151.79500000000002</v>
      </c>
      <c r="I578">
        <v>8</v>
      </c>
      <c r="J578">
        <f t="shared" si="198"/>
        <v>9.2000000000000455</v>
      </c>
      <c r="K578">
        <v>1</v>
      </c>
      <c r="L578">
        <f t="shared" si="199"/>
        <v>9.2000000000000455</v>
      </c>
      <c r="M578" t="s">
        <v>72</v>
      </c>
      <c r="N578">
        <f>SUMIF(Executions!B:B,A578,Executions!H:H)</f>
        <v>-6.7999999999999545</v>
      </c>
      <c r="O578">
        <f t="shared" si="200"/>
        <v>-0.7391304347826001</v>
      </c>
      <c r="P578" s="4">
        <f>Tabla1[[#This Row],[Initial Risk $]]/Tabla1[[#This Row],[Position Size (shares)]]+Tabla1[[#This Row],[Entry Price]]</f>
        <v>153.52000000000001</v>
      </c>
      <c r="Q578" s="4">
        <f>Tabla1[[#This Row],[Initial Risk $]]/Tabla1[[#This Row],[Position Size (shares)]]*1.5+Tabla1[[#This Row],[Entry Price]]</f>
        <v>154.09500000000003</v>
      </c>
      <c r="R578" s="4">
        <f>Tabla1[[#This Row],[Initial Risk $]]/Tabla1[[#This Row],[Position Size (shares)]]*2+Tabla1[[#This Row],[Entry Price]]</f>
        <v>154.67000000000002</v>
      </c>
      <c r="S578" s="4">
        <f>Tabla1[[#This Row],[Initial Risk $]]/Tabla1[[#This Row],[Position Size (shares)]]*2.5+Tabla1[[#This Row],[Entry Price]]</f>
        <v>155.245</v>
      </c>
      <c r="T578" s="4">
        <f>Tabla1[[#This Row],[Initial Risk $]]/Tabla1[[#This Row],[Position Size (shares)]]*3+Tabla1[[#This Row],[Entry Price]]</f>
        <v>155.82000000000002</v>
      </c>
    </row>
    <row r="579" spans="1:20" customFormat="1" hidden="1" x14ac:dyDescent="0.25">
      <c r="A579" t="str">
        <f t="shared" si="197"/>
        <v>T-578</v>
      </c>
      <c r="B579" s="1">
        <v>46234</v>
      </c>
      <c r="C579" t="s">
        <v>233</v>
      </c>
      <c r="D579" t="s">
        <v>28</v>
      </c>
      <c r="E579" t="s">
        <v>58</v>
      </c>
      <c r="F579">
        <v>461.01</v>
      </c>
      <c r="G579">
        <v>455.01</v>
      </c>
      <c r="H579">
        <f>Tabla1[[#This Row],[Entry Price]]-(Tabla1[[#This Row],[Entry Price]]-Tabla1[[#This Row],[Initial Stop]])/2</f>
        <v>458.01</v>
      </c>
      <c r="I579">
        <v>2</v>
      </c>
      <c r="J579">
        <f t="shared" si="198"/>
        <v>12</v>
      </c>
      <c r="K579">
        <v>1</v>
      </c>
      <c r="L579">
        <f t="shared" si="199"/>
        <v>12</v>
      </c>
      <c r="M579" t="s">
        <v>72</v>
      </c>
      <c r="N579">
        <f>SUMIF(Executions!B:B,A579,Executions!H:H)</f>
        <v>-8.1599999999999682</v>
      </c>
      <c r="O579">
        <f t="shared" si="200"/>
        <v>-0.67999999999999738</v>
      </c>
      <c r="P579" s="4">
        <f>Tabla1[[#This Row],[Initial Risk $]]/Tabla1[[#This Row],[Position Size (shares)]]+Tabla1[[#This Row],[Entry Price]]</f>
        <v>467.01</v>
      </c>
      <c r="Q579" s="4">
        <f>Tabla1[[#This Row],[Initial Risk $]]/Tabla1[[#This Row],[Position Size (shares)]]*1.5+Tabla1[[#This Row],[Entry Price]]</f>
        <v>470.01</v>
      </c>
      <c r="R579" s="4">
        <f>Tabla1[[#This Row],[Initial Risk $]]/Tabla1[[#This Row],[Position Size (shares)]]*2+Tabla1[[#This Row],[Entry Price]]</f>
        <v>473.01</v>
      </c>
      <c r="S579" s="4">
        <f>Tabla1[[#This Row],[Initial Risk $]]/Tabla1[[#This Row],[Position Size (shares)]]*2.5+Tabla1[[#This Row],[Entry Price]]</f>
        <v>476.01</v>
      </c>
      <c r="T579" s="4">
        <f>Tabla1[[#This Row],[Initial Risk $]]/Tabla1[[#This Row],[Position Size (shares)]]*3+Tabla1[[#This Row],[Entry Price]]</f>
        <v>479.01</v>
      </c>
    </row>
    <row r="580" spans="1:20" customFormat="1" hidden="1" x14ac:dyDescent="0.25">
      <c r="A580" t="str">
        <f t="shared" si="197"/>
        <v>T-579</v>
      </c>
      <c r="B580" s="1">
        <v>46234</v>
      </c>
      <c r="C580" t="s">
        <v>120</v>
      </c>
      <c r="D580" t="s">
        <v>28</v>
      </c>
      <c r="E580" t="s">
        <v>27</v>
      </c>
      <c r="F580">
        <v>18.260000000000002</v>
      </c>
      <c r="G580">
        <v>17.760000000000002</v>
      </c>
      <c r="H580">
        <f>Tabla1[[#This Row],[Entry Price]]-(Tabla1[[#This Row],[Entry Price]]-Tabla1[[#This Row],[Initial Stop]])/2</f>
        <v>18.010000000000002</v>
      </c>
      <c r="I580">
        <v>25</v>
      </c>
      <c r="J580">
        <f t="shared" si="198"/>
        <v>12.5</v>
      </c>
      <c r="K580">
        <v>1</v>
      </c>
      <c r="L580">
        <f t="shared" si="199"/>
        <v>12.5</v>
      </c>
      <c r="M580" t="s">
        <v>72</v>
      </c>
      <c r="N580">
        <f>SUMIF(Executions!B:B,A580,Executions!H:H)</f>
        <v>-2.5000000000000355</v>
      </c>
      <c r="O580">
        <f t="shared" si="200"/>
        <v>-0.20000000000000284</v>
      </c>
      <c r="P580" s="4">
        <f>Tabla1[[#This Row],[Initial Risk $]]/Tabla1[[#This Row],[Position Size (shares)]]+Tabla1[[#This Row],[Entry Price]]</f>
        <v>18.760000000000002</v>
      </c>
      <c r="Q580" s="4">
        <f>Tabla1[[#This Row],[Initial Risk $]]/Tabla1[[#This Row],[Position Size (shares)]]*1.5+Tabla1[[#This Row],[Entry Price]]</f>
        <v>19.010000000000002</v>
      </c>
      <c r="R580" s="4">
        <f>Tabla1[[#This Row],[Initial Risk $]]/Tabla1[[#This Row],[Position Size (shares)]]*2+Tabla1[[#This Row],[Entry Price]]</f>
        <v>19.260000000000002</v>
      </c>
      <c r="S580" s="4">
        <f>Tabla1[[#This Row],[Initial Risk $]]/Tabla1[[#This Row],[Position Size (shares)]]*2.5+Tabla1[[#This Row],[Entry Price]]</f>
        <v>19.510000000000002</v>
      </c>
      <c r="T580" s="4">
        <f>Tabla1[[#This Row],[Initial Risk $]]/Tabla1[[#This Row],[Position Size (shares)]]*3+Tabla1[[#This Row],[Entry Price]]</f>
        <v>19.760000000000002</v>
      </c>
    </row>
    <row r="581" spans="1:20" customFormat="1" hidden="1" x14ac:dyDescent="0.25">
      <c r="A581" t="str">
        <f t="shared" si="197"/>
        <v>T-580</v>
      </c>
      <c r="B581" s="1">
        <v>46234</v>
      </c>
      <c r="C581" t="s">
        <v>399</v>
      </c>
      <c r="D581" t="s">
        <v>28</v>
      </c>
      <c r="E581" t="s">
        <v>58</v>
      </c>
      <c r="F581">
        <v>27.03</v>
      </c>
      <c r="G581">
        <v>26.65</v>
      </c>
      <c r="H581">
        <f>Tabla1[[#This Row],[Entry Price]]-(Tabla1[[#This Row],[Entry Price]]-Tabla1[[#This Row],[Initial Stop]])/2</f>
        <v>26.84</v>
      </c>
      <c r="I581">
        <v>20</v>
      </c>
      <c r="J581">
        <f t="shared" si="198"/>
        <v>7.6000000000000512</v>
      </c>
      <c r="K581">
        <v>1</v>
      </c>
      <c r="L581">
        <f t="shared" si="199"/>
        <v>7.6000000000000512</v>
      </c>
      <c r="M581" t="s">
        <v>72</v>
      </c>
      <c r="N581">
        <f>SUMIF(Executions!B:B,A581,Executions!H:H)</f>
        <v>1.1999999999999744</v>
      </c>
      <c r="O581">
        <f t="shared" si="200"/>
        <v>0.15789473684210084</v>
      </c>
      <c r="P581" s="4">
        <f>Tabla1[[#This Row],[Initial Risk $]]/Tabla1[[#This Row],[Position Size (shares)]]+Tabla1[[#This Row],[Entry Price]]</f>
        <v>27.410000000000004</v>
      </c>
      <c r="Q581" s="4">
        <f>Tabla1[[#This Row],[Initial Risk $]]/Tabla1[[#This Row],[Position Size (shares)]]*1.5+Tabla1[[#This Row],[Entry Price]]</f>
        <v>27.600000000000005</v>
      </c>
      <c r="R581" s="4">
        <f>Tabla1[[#This Row],[Initial Risk $]]/Tabla1[[#This Row],[Position Size (shares)]]*2+Tabla1[[#This Row],[Entry Price]]</f>
        <v>27.790000000000006</v>
      </c>
      <c r="S581" s="4">
        <f>Tabla1[[#This Row],[Initial Risk $]]/Tabla1[[#This Row],[Position Size (shares)]]*2.5+Tabla1[[#This Row],[Entry Price]]</f>
        <v>27.980000000000008</v>
      </c>
      <c r="T581" s="4">
        <f>Tabla1[[#This Row],[Initial Risk $]]/Tabla1[[#This Row],[Position Size (shares)]]*3+Tabla1[[#This Row],[Entry Price]]</f>
        <v>28.170000000000009</v>
      </c>
    </row>
    <row r="582" spans="1:20" customFormat="1" hidden="1" x14ac:dyDescent="0.25">
      <c r="A582" t="str">
        <f t="shared" si="197"/>
        <v>T-581</v>
      </c>
      <c r="B582" s="1">
        <v>46234</v>
      </c>
      <c r="C582" t="s">
        <v>279</v>
      </c>
      <c r="D582" t="s">
        <v>28</v>
      </c>
      <c r="E582" t="s">
        <v>27</v>
      </c>
      <c r="F582">
        <v>837.66</v>
      </c>
      <c r="G582">
        <v>827</v>
      </c>
      <c r="H582">
        <f>Tabla1[[#This Row],[Entry Price]]-(Tabla1[[#This Row],[Entry Price]]-Tabla1[[#This Row],[Initial Stop]])/2</f>
        <v>832.32999999999993</v>
      </c>
      <c r="I582">
        <v>2</v>
      </c>
      <c r="J582">
        <f t="shared" si="198"/>
        <v>21.319999999999936</v>
      </c>
      <c r="K582">
        <v>1</v>
      </c>
      <c r="L582">
        <f t="shared" si="199"/>
        <v>21.319999999999936</v>
      </c>
      <c r="M582" t="s">
        <v>72</v>
      </c>
      <c r="N582">
        <f>SUMIF(Executions!B:B,A582,Executions!H:H)</f>
        <v>23.779999999999973</v>
      </c>
      <c r="O582">
        <f t="shared" si="200"/>
        <v>1.1153846153846174</v>
      </c>
      <c r="P582" s="4">
        <f>Tabla1[[#This Row],[Initial Risk $]]/Tabla1[[#This Row],[Position Size (shares)]]+Tabla1[[#This Row],[Entry Price]]</f>
        <v>848.31999999999994</v>
      </c>
      <c r="Q582" s="4">
        <f>Tabla1[[#This Row],[Initial Risk $]]/Tabla1[[#This Row],[Position Size (shares)]]*1.5+Tabla1[[#This Row],[Entry Price]]</f>
        <v>853.64999999999986</v>
      </c>
      <c r="R582" s="4">
        <f>Tabla1[[#This Row],[Initial Risk $]]/Tabla1[[#This Row],[Position Size (shares)]]*2+Tabla1[[#This Row],[Entry Price]]</f>
        <v>858.9799999999999</v>
      </c>
      <c r="S582" s="4">
        <f>Tabla1[[#This Row],[Initial Risk $]]/Tabla1[[#This Row],[Position Size (shares)]]*2.5+Tabla1[[#This Row],[Entry Price]]</f>
        <v>864.31</v>
      </c>
      <c r="T582" s="4">
        <f>Tabla1[[#This Row],[Initial Risk $]]/Tabla1[[#This Row],[Position Size (shares)]]*3+Tabla1[[#This Row],[Entry Price]]</f>
        <v>869.63999999999987</v>
      </c>
    </row>
    <row r="583" spans="1:20" customFormat="1" hidden="1" x14ac:dyDescent="0.25">
      <c r="A583" t="str">
        <f t="shared" ref="A583:A592" si="201">"T-"&amp; TEXT(ROW()-1,"000")</f>
        <v>T-582</v>
      </c>
      <c r="B583" s="1">
        <v>46237</v>
      </c>
      <c r="C583" t="s">
        <v>181</v>
      </c>
      <c r="D583" t="s">
        <v>28</v>
      </c>
      <c r="E583" t="s">
        <v>58</v>
      </c>
      <c r="F583">
        <v>12.97</v>
      </c>
      <c r="G583">
        <v>12.77</v>
      </c>
      <c r="H583">
        <f>Tabla1[[#This Row],[Entry Price]]-(Tabla1[[#This Row],[Entry Price]]-Tabla1[[#This Row],[Initial Stop]])/2</f>
        <v>12.870000000000001</v>
      </c>
      <c r="I583">
        <v>40</v>
      </c>
      <c r="J583">
        <f t="shared" ref="J583:J592" si="202">IF(D583="Long",(F583-G583)*I583,(G583-F583)*0)</f>
        <v>8.0000000000000426</v>
      </c>
      <c r="K583">
        <v>1</v>
      </c>
      <c r="L583">
        <f t="shared" ref="L583:L592" si="203">J583*K583</f>
        <v>8.0000000000000426</v>
      </c>
      <c r="M583" t="s">
        <v>72</v>
      </c>
      <c r="N583">
        <f>SUMIF(Executions!B:B,A583,Executions!H:H)</f>
        <v>3.5999999999999943</v>
      </c>
      <c r="O583">
        <f t="shared" ref="O583:O592" si="204">N583/J583</f>
        <v>0.4499999999999969</v>
      </c>
      <c r="P583" s="4">
        <f>Tabla1[[#This Row],[Initial Risk $]]/Tabla1[[#This Row],[Position Size (shares)]]+Tabla1[[#This Row],[Entry Price]]</f>
        <v>13.170000000000002</v>
      </c>
      <c r="Q583" s="4">
        <f>Tabla1[[#This Row],[Initial Risk $]]/Tabla1[[#This Row],[Position Size (shares)]]*1.5+Tabla1[[#This Row],[Entry Price]]</f>
        <v>13.270000000000003</v>
      </c>
      <c r="R583" s="4">
        <f>Tabla1[[#This Row],[Initial Risk $]]/Tabla1[[#This Row],[Position Size (shares)]]*2+Tabla1[[#This Row],[Entry Price]]</f>
        <v>13.370000000000003</v>
      </c>
      <c r="S583" s="4">
        <f>Tabla1[[#This Row],[Initial Risk $]]/Tabla1[[#This Row],[Position Size (shares)]]*2.5+Tabla1[[#This Row],[Entry Price]]</f>
        <v>13.470000000000002</v>
      </c>
      <c r="T583" s="4">
        <f>Tabla1[[#This Row],[Initial Risk $]]/Tabla1[[#This Row],[Position Size (shares)]]*3+Tabla1[[#This Row],[Entry Price]]</f>
        <v>13.570000000000004</v>
      </c>
    </row>
    <row r="584" spans="1:20" customFormat="1" hidden="1" x14ac:dyDescent="0.25">
      <c r="A584" t="str">
        <f t="shared" si="201"/>
        <v>T-583</v>
      </c>
      <c r="B584" s="1">
        <v>46237</v>
      </c>
      <c r="C584" t="s">
        <v>279</v>
      </c>
      <c r="D584" t="s">
        <v>28</v>
      </c>
      <c r="E584" t="s">
        <v>58</v>
      </c>
      <c r="F584">
        <v>793.99</v>
      </c>
      <c r="G584">
        <v>781</v>
      </c>
      <c r="H584">
        <f>Tabla1[[#This Row],[Entry Price]]-(Tabla1[[#This Row],[Entry Price]]-Tabla1[[#This Row],[Initial Stop]])/2</f>
        <v>787.495</v>
      </c>
      <c r="I584">
        <v>1</v>
      </c>
      <c r="J584">
        <f t="shared" si="202"/>
        <v>12.990000000000009</v>
      </c>
      <c r="K584">
        <v>1</v>
      </c>
      <c r="L584">
        <f t="shared" si="203"/>
        <v>12.990000000000009</v>
      </c>
      <c r="M584" t="s">
        <v>72</v>
      </c>
      <c r="N584">
        <f>SUMIF(Executions!B:B,A584,Executions!H:H)</f>
        <v>-12.919999999999959</v>
      </c>
      <c r="O584">
        <f t="shared" si="204"/>
        <v>-0.99461123941493068</v>
      </c>
      <c r="P584" s="4">
        <f>Tabla1[[#This Row],[Initial Risk $]]/Tabla1[[#This Row],[Position Size (shares)]]+Tabla1[[#This Row],[Entry Price]]</f>
        <v>806.98</v>
      </c>
      <c r="Q584" s="4">
        <f>Tabla1[[#This Row],[Initial Risk $]]/Tabla1[[#This Row],[Position Size (shares)]]*1.5+Tabla1[[#This Row],[Entry Price]]</f>
        <v>813.47500000000002</v>
      </c>
      <c r="R584" s="4">
        <f>Tabla1[[#This Row],[Initial Risk $]]/Tabla1[[#This Row],[Position Size (shares)]]*2+Tabla1[[#This Row],[Entry Price]]</f>
        <v>819.97</v>
      </c>
      <c r="S584" s="4">
        <f>Tabla1[[#This Row],[Initial Risk $]]/Tabla1[[#This Row],[Position Size (shares)]]*2.5+Tabla1[[#This Row],[Entry Price]]</f>
        <v>826.46500000000003</v>
      </c>
      <c r="T584" s="4">
        <f>Tabla1[[#This Row],[Initial Risk $]]/Tabla1[[#This Row],[Position Size (shares)]]*3+Tabla1[[#This Row],[Entry Price]]</f>
        <v>832.96</v>
      </c>
    </row>
    <row r="585" spans="1:20" customFormat="1" hidden="1" x14ac:dyDescent="0.25">
      <c r="A585" t="str">
        <f t="shared" si="201"/>
        <v>T-584</v>
      </c>
      <c r="B585" s="1">
        <v>46237</v>
      </c>
      <c r="C585" t="s">
        <v>294</v>
      </c>
      <c r="D585" t="s">
        <v>28</v>
      </c>
      <c r="E585" t="s">
        <v>58</v>
      </c>
      <c r="F585">
        <v>135.77000000000001</v>
      </c>
      <c r="G585">
        <v>133.91999999999999</v>
      </c>
      <c r="H585">
        <f>Tabla1[[#This Row],[Entry Price]]-(Tabla1[[#This Row],[Entry Price]]-Tabla1[[#This Row],[Initial Stop]])/2</f>
        <v>134.845</v>
      </c>
      <c r="I585">
        <v>5</v>
      </c>
      <c r="J585">
        <f t="shared" si="202"/>
        <v>9.2500000000001137</v>
      </c>
      <c r="K585">
        <v>1</v>
      </c>
      <c r="L585">
        <f t="shared" si="203"/>
        <v>9.2500000000001137</v>
      </c>
      <c r="M585" t="s">
        <v>72</v>
      </c>
      <c r="N585">
        <f>SUMIF(Executions!B:B,A585,Executions!H:H)</f>
        <v>0.899999999999892</v>
      </c>
      <c r="O585">
        <f t="shared" si="204"/>
        <v>9.7297297297284424E-2</v>
      </c>
      <c r="P585" s="4">
        <f>Tabla1[[#This Row],[Initial Risk $]]/Tabla1[[#This Row],[Position Size (shares)]]+Tabla1[[#This Row],[Entry Price]]</f>
        <v>137.62000000000003</v>
      </c>
      <c r="Q585" s="4">
        <f>Tabla1[[#This Row],[Initial Risk $]]/Tabla1[[#This Row],[Position Size (shares)]]*1.5+Tabla1[[#This Row],[Entry Price]]</f>
        <v>138.54500000000004</v>
      </c>
      <c r="R585" s="4">
        <f>Tabla1[[#This Row],[Initial Risk $]]/Tabla1[[#This Row],[Position Size (shares)]]*2+Tabla1[[#This Row],[Entry Price]]</f>
        <v>139.47000000000006</v>
      </c>
      <c r="S585" s="4">
        <f>Tabla1[[#This Row],[Initial Risk $]]/Tabla1[[#This Row],[Position Size (shares)]]*2.5+Tabla1[[#This Row],[Entry Price]]</f>
        <v>140.39500000000007</v>
      </c>
      <c r="T585" s="4">
        <f>Tabla1[[#This Row],[Initial Risk $]]/Tabla1[[#This Row],[Position Size (shares)]]*3+Tabla1[[#This Row],[Entry Price]]</f>
        <v>141.32000000000008</v>
      </c>
    </row>
    <row r="586" spans="1:20" customFormat="1" hidden="1" x14ac:dyDescent="0.25">
      <c r="A586" t="str">
        <f t="shared" si="201"/>
        <v>T-585</v>
      </c>
      <c r="B586" s="1">
        <v>46237</v>
      </c>
      <c r="C586" t="s">
        <v>417</v>
      </c>
      <c r="D586" t="s">
        <v>28</v>
      </c>
      <c r="E586" t="s">
        <v>58</v>
      </c>
      <c r="F586">
        <v>406</v>
      </c>
      <c r="G586">
        <v>402</v>
      </c>
      <c r="H586">
        <f>Tabla1[[#This Row],[Entry Price]]-(Tabla1[[#This Row],[Entry Price]]-Tabla1[[#This Row],[Initial Stop]])/2</f>
        <v>404</v>
      </c>
      <c r="I586">
        <v>2</v>
      </c>
      <c r="J586">
        <f t="shared" si="202"/>
        <v>8</v>
      </c>
      <c r="K586">
        <v>1</v>
      </c>
      <c r="L586">
        <f t="shared" si="203"/>
        <v>8</v>
      </c>
      <c r="M586" t="s">
        <v>72</v>
      </c>
      <c r="N586">
        <f>SUMIF(Executions!B:B,A586,Executions!H:H)</f>
        <v>-8.3799999999999955</v>
      </c>
      <c r="O586">
        <f t="shared" si="204"/>
        <v>-1.0474999999999994</v>
      </c>
      <c r="P586" s="4">
        <f>Tabla1[[#This Row],[Initial Risk $]]/Tabla1[[#This Row],[Position Size (shares)]]+Tabla1[[#This Row],[Entry Price]]</f>
        <v>410</v>
      </c>
      <c r="Q586" s="4">
        <f>Tabla1[[#This Row],[Initial Risk $]]/Tabla1[[#This Row],[Position Size (shares)]]*1.5+Tabla1[[#This Row],[Entry Price]]</f>
        <v>412</v>
      </c>
      <c r="R586" s="4">
        <f>Tabla1[[#This Row],[Initial Risk $]]/Tabla1[[#This Row],[Position Size (shares)]]*2+Tabla1[[#This Row],[Entry Price]]</f>
        <v>414</v>
      </c>
      <c r="S586" s="4">
        <f>Tabla1[[#This Row],[Initial Risk $]]/Tabla1[[#This Row],[Position Size (shares)]]*2.5+Tabla1[[#This Row],[Entry Price]]</f>
        <v>416</v>
      </c>
      <c r="T586" s="4">
        <f>Tabla1[[#This Row],[Initial Risk $]]/Tabla1[[#This Row],[Position Size (shares)]]*3+Tabla1[[#This Row],[Entry Price]]</f>
        <v>418</v>
      </c>
    </row>
    <row r="587" spans="1:20" customFormat="1" hidden="1" x14ac:dyDescent="0.25">
      <c r="A587" t="str">
        <f t="shared" si="201"/>
        <v>T-586</v>
      </c>
      <c r="B587" s="1">
        <v>46237</v>
      </c>
      <c r="C587" t="s">
        <v>154</v>
      </c>
      <c r="D587" t="s">
        <v>28</v>
      </c>
      <c r="E587" t="s">
        <v>58</v>
      </c>
      <c r="F587">
        <v>373.26</v>
      </c>
      <c r="G587">
        <v>370.26</v>
      </c>
      <c r="H587">
        <f>Tabla1[[#This Row],[Entry Price]]-(Tabla1[[#This Row],[Entry Price]]-Tabla1[[#This Row],[Initial Stop]])/2</f>
        <v>371.76</v>
      </c>
      <c r="I587">
        <v>3</v>
      </c>
      <c r="J587">
        <f t="shared" si="202"/>
        <v>9</v>
      </c>
      <c r="K587">
        <v>1</v>
      </c>
      <c r="L587">
        <f t="shared" si="203"/>
        <v>9</v>
      </c>
      <c r="M587" t="s">
        <v>72</v>
      </c>
      <c r="N587">
        <f>SUMIF(Executions!B:B,A587,Executions!H:H)</f>
        <v>-9.0299999999999727</v>
      </c>
      <c r="O587">
        <f t="shared" si="204"/>
        <v>-1.0033333333333303</v>
      </c>
      <c r="P587" s="4">
        <f>Tabla1[[#This Row],[Initial Risk $]]/Tabla1[[#This Row],[Position Size (shares)]]+Tabla1[[#This Row],[Entry Price]]</f>
        <v>376.26</v>
      </c>
      <c r="Q587" s="4">
        <f>Tabla1[[#This Row],[Initial Risk $]]/Tabla1[[#This Row],[Position Size (shares)]]*1.5+Tabla1[[#This Row],[Entry Price]]</f>
        <v>377.76</v>
      </c>
      <c r="R587" s="4">
        <f>Tabla1[[#This Row],[Initial Risk $]]/Tabla1[[#This Row],[Position Size (shares)]]*2+Tabla1[[#This Row],[Entry Price]]</f>
        <v>379.26</v>
      </c>
      <c r="S587" s="4">
        <f>Tabla1[[#This Row],[Initial Risk $]]/Tabla1[[#This Row],[Position Size (shares)]]*2.5+Tabla1[[#This Row],[Entry Price]]</f>
        <v>380.76</v>
      </c>
      <c r="T587" s="4">
        <f>Tabla1[[#This Row],[Initial Risk $]]/Tabla1[[#This Row],[Position Size (shares)]]*3+Tabla1[[#This Row],[Entry Price]]</f>
        <v>382.26</v>
      </c>
    </row>
    <row r="588" spans="1:20" customFormat="1" hidden="1" x14ac:dyDescent="0.25">
      <c r="A588" t="str">
        <f t="shared" si="201"/>
        <v>T-587</v>
      </c>
      <c r="B588" s="1">
        <v>46237</v>
      </c>
      <c r="C588" t="s">
        <v>835</v>
      </c>
      <c r="D588" t="s">
        <v>28</v>
      </c>
      <c r="E588" t="s">
        <v>58</v>
      </c>
      <c r="F588">
        <v>62.6</v>
      </c>
      <c r="G588">
        <v>62.36</v>
      </c>
      <c r="H588">
        <f>Tabla1[[#This Row],[Entry Price]]-(Tabla1[[#This Row],[Entry Price]]-Tabla1[[#This Row],[Initial Stop]])/2</f>
        <v>62.480000000000004</v>
      </c>
      <c r="I588">
        <v>20</v>
      </c>
      <c r="J588">
        <f t="shared" si="202"/>
        <v>4.8000000000000398</v>
      </c>
      <c r="K588">
        <v>1</v>
      </c>
      <c r="L588">
        <f t="shared" si="203"/>
        <v>4.8000000000000398</v>
      </c>
      <c r="M588" t="s">
        <v>72</v>
      </c>
      <c r="N588">
        <f>SUMIF(Executions!B:B,A588,Executions!H:H)</f>
        <v>-5.4000000000000625</v>
      </c>
      <c r="O588">
        <f t="shared" si="204"/>
        <v>-1.1250000000000038</v>
      </c>
      <c r="P588" s="4">
        <f>Tabla1[[#This Row],[Initial Risk $]]/Tabla1[[#This Row],[Position Size (shares)]]+Tabla1[[#This Row],[Entry Price]]</f>
        <v>62.84</v>
      </c>
      <c r="Q588" s="4">
        <f>Tabla1[[#This Row],[Initial Risk $]]/Tabla1[[#This Row],[Position Size (shares)]]*1.5+Tabla1[[#This Row],[Entry Price]]</f>
        <v>62.960000000000008</v>
      </c>
      <c r="R588" s="4">
        <f>Tabla1[[#This Row],[Initial Risk $]]/Tabla1[[#This Row],[Position Size (shares)]]*2+Tabla1[[#This Row],[Entry Price]]</f>
        <v>63.080000000000005</v>
      </c>
      <c r="S588" s="4">
        <f>Tabla1[[#This Row],[Initial Risk $]]/Tabla1[[#This Row],[Position Size (shares)]]*2.5+Tabla1[[#This Row],[Entry Price]]</f>
        <v>63.2</v>
      </c>
      <c r="T588" s="4">
        <f>Tabla1[[#This Row],[Initial Risk $]]/Tabla1[[#This Row],[Position Size (shares)]]*3+Tabla1[[#This Row],[Entry Price]]</f>
        <v>63.320000000000007</v>
      </c>
    </row>
    <row r="589" spans="1:20" customFormat="1" hidden="1" x14ac:dyDescent="0.25">
      <c r="A589" t="str">
        <f t="shared" si="201"/>
        <v>T-588</v>
      </c>
      <c r="B589" s="1">
        <v>46237</v>
      </c>
      <c r="C589" t="s">
        <v>279</v>
      </c>
      <c r="D589" t="s">
        <v>28</v>
      </c>
      <c r="E589" t="s">
        <v>58</v>
      </c>
      <c r="F589">
        <v>797.72</v>
      </c>
      <c r="G589">
        <v>782.72</v>
      </c>
      <c r="H589">
        <f>Tabla1[[#This Row],[Entry Price]]-(Tabla1[[#This Row],[Entry Price]]-Tabla1[[#This Row],[Initial Stop]])/2</f>
        <v>790.22</v>
      </c>
      <c r="I589">
        <v>1</v>
      </c>
      <c r="J589">
        <f t="shared" si="202"/>
        <v>15</v>
      </c>
      <c r="K589">
        <v>1</v>
      </c>
      <c r="L589">
        <f t="shared" si="203"/>
        <v>15</v>
      </c>
      <c r="M589" t="s">
        <v>72</v>
      </c>
      <c r="N589">
        <f>SUMIF(Executions!B:B,A589,Executions!H:H)</f>
        <v>35.759999999999991</v>
      </c>
      <c r="O589">
        <f t="shared" si="204"/>
        <v>2.3839999999999995</v>
      </c>
      <c r="P589" s="4">
        <f>Tabla1[[#This Row],[Initial Risk $]]/Tabla1[[#This Row],[Position Size (shares)]]+Tabla1[[#This Row],[Entry Price]]</f>
        <v>812.72</v>
      </c>
      <c r="Q589" s="4">
        <f>Tabla1[[#This Row],[Initial Risk $]]/Tabla1[[#This Row],[Position Size (shares)]]*1.5+Tabla1[[#This Row],[Entry Price]]</f>
        <v>820.22</v>
      </c>
      <c r="R589" s="4">
        <f>Tabla1[[#This Row],[Initial Risk $]]/Tabla1[[#This Row],[Position Size (shares)]]*2+Tabla1[[#This Row],[Entry Price]]</f>
        <v>827.72</v>
      </c>
      <c r="S589" s="4">
        <f>Tabla1[[#This Row],[Initial Risk $]]/Tabla1[[#This Row],[Position Size (shares)]]*2.5+Tabla1[[#This Row],[Entry Price]]</f>
        <v>835.22</v>
      </c>
      <c r="T589" s="4">
        <f>Tabla1[[#This Row],[Initial Risk $]]/Tabla1[[#This Row],[Position Size (shares)]]*3+Tabla1[[#This Row],[Entry Price]]</f>
        <v>842.72</v>
      </c>
    </row>
    <row r="590" spans="1:20" customFormat="1" hidden="1" x14ac:dyDescent="0.25">
      <c r="A590" t="str">
        <f t="shared" si="201"/>
        <v>T-589</v>
      </c>
      <c r="B590" s="1">
        <v>46237</v>
      </c>
      <c r="C590" t="s">
        <v>207</v>
      </c>
      <c r="D590" t="s">
        <v>28</v>
      </c>
      <c r="E590" t="s">
        <v>58</v>
      </c>
      <c r="F590">
        <v>28.38</v>
      </c>
      <c r="G590">
        <v>27.41</v>
      </c>
      <c r="H590">
        <f>Tabla1[[#This Row],[Entry Price]]-(Tabla1[[#This Row],[Entry Price]]-Tabla1[[#This Row],[Initial Stop]])/2</f>
        <v>27.895</v>
      </c>
      <c r="I590">
        <v>10</v>
      </c>
      <c r="J590">
        <f t="shared" si="202"/>
        <v>9.6999999999999886</v>
      </c>
      <c r="K590">
        <v>1</v>
      </c>
      <c r="L590">
        <f t="shared" si="203"/>
        <v>9.6999999999999886</v>
      </c>
      <c r="M590" t="s">
        <v>72</v>
      </c>
      <c r="N590">
        <f>SUMIF(Executions!B:B,A590,Executions!H:H)</f>
        <v>2.4000000000000199</v>
      </c>
      <c r="O590">
        <f t="shared" si="204"/>
        <v>0.24742268041237347</v>
      </c>
      <c r="P590" s="4">
        <f>Tabla1[[#This Row],[Initial Risk $]]/Tabla1[[#This Row],[Position Size (shares)]]+Tabla1[[#This Row],[Entry Price]]</f>
        <v>29.349999999999998</v>
      </c>
      <c r="Q590" s="4">
        <f>Tabla1[[#This Row],[Initial Risk $]]/Tabla1[[#This Row],[Position Size (shares)]]*1.5+Tabla1[[#This Row],[Entry Price]]</f>
        <v>29.834999999999997</v>
      </c>
      <c r="R590" s="4">
        <f>Tabla1[[#This Row],[Initial Risk $]]/Tabla1[[#This Row],[Position Size (shares)]]*2+Tabla1[[#This Row],[Entry Price]]</f>
        <v>30.319999999999997</v>
      </c>
      <c r="S590" s="4">
        <f>Tabla1[[#This Row],[Initial Risk $]]/Tabla1[[#This Row],[Position Size (shares)]]*2.5+Tabla1[[#This Row],[Entry Price]]</f>
        <v>30.804999999999996</v>
      </c>
      <c r="T590" s="4">
        <f>Tabla1[[#This Row],[Initial Risk $]]/Tabla1[[#This Row],[Position Size (shares)]]*3+Tabla1[[#This Row],[Entry Price]]</f>
        <v>31.289999999999996</v>
      </c>
    </row>
    <row r="591" spans="1:20" customFormat="1" hidden="1" x14ac:dyDescent="0.25">
      <c r="A591" t="str">
        <f t="shared" si="201"/>
        <v>T-590</v>
      </c>
      <c r="B591" s="1">
        <v>46237</v>
      </c>
      <c r="C591" t="s">
        <v>135</v>
      </c>
      <c r="D591" t="s">
        <v>28</v>
      </c>
      <c r="E591" t="s">
        <v>58</v>
      </c>
      <c r="F591">
        <v>235.55</v>
      </c>
      <c r="G591">
        <v>232.84</v>
      </c>
      <c r="H591">
        <f>Tabla1[[#This Row],[Entry Price]]-(Tabla1[[#This Row],[Entry Price]]-Tabla1[[#This Row],[Initial Stop]])/2</f>
        <v>234.19499999999999</v>
      </c>
      <c r="I591">
        <v>4</v>
      </c>
      <c r="J591">
        <f t="shared" si="202"/>
        <v>10.840000000000032</v>
      </c>
      <c r="K591">
        <v>1</v>
      </c>
      <c r="L591">
        <f t="shared" si="203"/>
        <v>10.840000000000032</v>
      </c>
      <c r="M591" t="s">
        <v>72</v>
      </c>
      <c r="N591">
        <f>SUMIF(Executions!B:B,A591,Executions!H:H)</f>
        <v>10.839999999999918</v>
      </c>
      <c r="O591">
        <f t="shared" si="204"/>
        <v>0.99999999999998956</v>
      </c>
      <c r="P591" s="4">
        <f>Tabla1[[#This Row],[Initial Risk $]]/Tabla1[[#This Row],[Position Size (shares)]]+Tabla1[[#This Row],[Entry Price]]</f>
        <v>238.26000000000002</v>
      </c>
      <c r="Q591" s="4">
        <f>Tabla1[[#This Row],[Initial Risk $]]/Tabla1[[#This Row],[Position Size (shares)]]*1.5+Tabla1[[#This Row],[Entry Price]]</f>
        <v>239.61500000000001</v>
      </c>
      <c r="R591" s="4">
        <f>Tabla1[[#This Row],[Initial Risk $]]/Tabla1[[#This Row],[Position Size (shares)]]*2+Tabla1[[#This Row],[Entry Price]]</f>
        <v>240.97000000000003</v>
      </c>
      <c r="S591" s="4">
        <f>Tabla1[[#This Row],[Initial Risk $]]/Tabla1[[#This Row],[Position Size (shares)]]*2.5+Tabla1[[#This Row],[Entry Price]]</f>
        <v>242.32500000000005</v>
      </c>
      <c r="T591" s="4">
        <f>Tabla1[[#This Row],[Initial Risk $]]/Tabla1[[#This Row],[Position Size (shares)]]*3+Tabla1[[#This Row],[Entry Price]]</f>
        <v>243.68000000000004</v>
      </c>
    </row>
    <row r="592" spans="1:20" customFormat="1" hidden="1" x14ac:dyDescent="0.25">
      <c r="A592" t="str">
        <f t="shared" si="201"/>
        <v>T-591</v>
      </c>
      <c r="B592" s="1">
        <v>46237</v>
      </c>
      <c r="C592" t="s">
        <v>417</v>
      </c>
      <c r="D592" t="s">
        <v>28</v>
      </c>
      <c r="E592" t="s">
        <v>58</v>
      </c>
      <c r="F592">
        <v>408.52</v>
      </c>
      <c r="G592">
        <v>403.24</v>
      </c>
      <c r="H592">
        <f>Tabla1[[#This Row],[Entry Price]]-(Tabla1[[#This Row],[Entry Price]]-Tabla1[[#This Row],[Initial Stop]])/2</f>
        <v>405.88</v>
      </c>
      <c r="I592">
        <v>2</v>
      </c>
      <c r="J592">
        <f t="shared" si="202"/>
        <v>10.559999999999945</v>
      </c>
      <c r="K592">
        <v>1</v>
      </c>
      <c r="L592">
        <f t="shared" si="203"/>
        <v>10.559999999999945</v>
      </c>
      <c r="M592" t="s">
        <v>72</v>
      </c>
      <c r="N592">
        <f>SUMIF(Executions!B:B,A592,Executions!H:H)</f>
        <v>9.32000000000005</v>
      </c>
      <c r="O592">
        <f t="shared" si="204"/>
        <v>0.88257575757576689</v>
      </c>
      <c r="P592" s="4">
        <f>Tabla1[[#This Row],[Initial Risk $]]/Tabla1[[#This Row],[Position Size (shares)]]+Tabla1[[#This Row],[Entry Price]]</f>
        <v>413.79999999999995</v>
      </c>
      <c r="Q592" s="4">
        <f>Tabla1[[#This Row],[Initial Risk $]]/Tabla1[[#This Row],[Position Size (shares)]]*1.5+Tabla1[[#This Row],[Entry Price]]</f>
        <v>416.43999999999994</v>
      </c>
      <c r="R592" s="4">
        <f>Tabla1[[#This Row],[Initial Risk $]]/Tabla1[[#This Row],[Position Size (shares)]]*2+Tabla1[[#This Row],[Entry Price]]</f>
        <v>419.07999999999993</v>
      </c>
      <c r="S592" s="4">
        <f>Tabla1[[#This Row],[Initial Risk $]]/Tabla1[[#This Row],[Position Size (shares)]]*2.5+Tabla1[[#This Row],[Entry Price]]</f>
        <v>421.71999999999991</v>
      </c>
      <c r="T592" s="4">
        <f>Tabla1[[#This Row],[Initial Risk $]]/Tabla1[[#This Row],[Position Size (shares)]]*3+Tabla1[[#This Row],[Entry Price]]</f>
        <v>424.3599999999999</v>
      </c>
    </row>
    <row r="593" spans="1:20" customFormat="1" hidden="1" x14ac:dyDescent="0.25">
      <c r="A593" t="str">
        <f t="shared" ref="A593:A601" si="205">"T-"&amp; TEXT(ROW()-1,"000")</f>
        <v>T-592</v>
      </c>
      <c r="B593" s="1">
        <v>46238</v>
      </c>
      <c r="C593" t="s">
        <v>279</v>
      </c>
      <c r="D593" t="s">
        <v>28</v>
      </c>
      <c r="E593" t="s">
        <v>58</v>
      </c>
      <c r="F593">
        <v>869.98</v>
      </c>
      <c r="G593">
        <v>859.98</v>
      </c>
      <c r="H593">
        <f>Tabla1[[#This Row],[Entry Price]]-(Tabla1[[#This Row],[Entry Price]]-Tabla1[[#This Row],[Initial Stop]])/2</f>
        <v>864.98</v>
      </c>
      <c r="I593">
        <v>1</v>
      </c>
      <c r="J593">
        <f t="shared" ref="J593:J601" si="206">IF(D593="Long",(F593-G593)*I593,(G593-F593)*0)</f>
        <v>10</v>
      </c>
      <c r="K593">
        <v>1</v>
      </c>
      <c r="L593">
        <f t="shared" ref="L593:L601" si="207">J593*K593</f>
        <v>10</v>
      </c>
      <c r="M593" t="s">
        <v>72</v>
      </c>
      <c r="N593">
        <f>SUMIF(Executions!B:B,A593,Executions!H:H)</f>
        <v>0.37999999999999545</v>
      </c>
      <c r="O593">
        <f t="shared" ref="O593:O601" si="208">N593/J593</f>
        <v>3.7999999999999548E-2</v>
      </c>
      <c r="P593" s="4">
        <f>Tabla1[[#This Row],[Initial Risk $]]/Tabla1[[#This Row],[Position Size (shares)]]+Tabla1[[#This Row],[Entry Price]]</f>
        <v>879.98</v>
      </c>
      <c r="Q593" s="4">
        <f>Tabla1[[#This Row],[Initial Risk $]]/Tabla1[[#This Row],[Position Size (shares)]]*1.5+Tabla1[[#This Row],[Entry Price]]</f>
        <v>884.98</v>
      </c>
      <c r="R593" s="4">
        <f>Tabla1[[#This Row],[Initial Risk $]]/Tabla1[[#This Row],[Position Size (shares)]]*2+Tabla1[[#This Row],[Entry Price]]</f>
        <v>889.98</v>
      </c>
      <c r="S593" s="4">
        <f>Tabla1[[#This Row],[Initial Risk $]]/Tabla1[[#This Row],[Position Size (shares)]]*2.5+Tabla1[[#This Row],[Entry Price]]</f>
        <v>894.98</v>
      </c>
      <c r="T593" s="4">
        <f>Tabla1[[#This Row],[Initial Risk $]]/Tabla1[[#This Row],[Position Size (shares)]]*3+Tabla1[[#This Row],[Entry Price]]</f>
        <v>899.98</v>
      </c>
    </row>
    <row r="594" spans="1:20" customFormat="1" hidden="1" x14ac:dyDescent="0.25">
      <c r="A594" t="str">
        <f t="shared" si="205"/>
        <v>T-593</v>
      </c>
      <c r="B594" s="1">
        <v>46238</v>
      </c>
      <c r="C594" t="s">
        <v>130</v>
      </c>
      <c r="D594" t="s">
        <v>28</v>
      </c>
      <c r="E594" t="s">
        <v>58</v>
      </c>
      <c r="F594">
        <v>511.36</v>
      </c>
      <c r="G594">
        <v>505</v>
      </c>
      <c r="H594">
        <f>Tabla1[[#This Row],[Entry Price]]-(Tabla1[[#This Row],[Entry Price]]-Tabla1[[#This Row],[Initial Stop]])/2</f>
        <v>508.18</v>
      </c>
      <c r="I594">
        <v>2</v>
      </c>
      <c r="J594">
        <f t="shared" si="206"/>
        <v>12.720000000000027</v>
      </c>
      <c r="K594">
        <v>1</v>
      </c>
      <c r="L594">
        <f t="shared" si="207"/>
        <v>12.720000000000027</v>
      </c>
      <c r="M594" t="s">
        <v>72</v>
      </c>
      <c r="N594">
        <f>SUMIF(Executions!B:B,A594,Executions!H:H)</f>
        <v>15.940000000000055</v>
      </c>
      <c r="O594">
        <f t="shared" si="208"/>
        <v>1.253144654088052</v>
      </c>
      <c r="P594" s="4">
        <f>Tabla1[[#This Row],[Initial Risk $]]/Tabla1[[#This Row],[Position Size (shares)]]+Tabla1[[#This Row],[Entry Price]]</f>
        <v>517.72</v>
      </c>
      <c r="Q594" s="4">
        <f>Tabla1[[#This Row],[Initial Risk $]]/Tabla1[[#This Row],[Position Size (shares)]]*1.5+Tabla1[[#This Row],[Entry Price]]</f>
        <v>520.90000000000009</v>
      </c>
      <c r="R594" s="4">
        <f>Tabla1[[#This Row],[Initial Risk $]]/Tabla1[[#This Row],[Position Size (shares)]]*2+Tabla1[[#This Row],[Entry Price]]</f>
        <v>524.08000000000004</v>
      </c>
      <c r="S594" s="4">
        <f>Tabla1[[#This Row],[Initial Risk $]]/Tabla1[[#This Row],[Position Size (shares)]]*2.5+Tabla1[[#This Row],[Entry Price]]</f>
        <v>527.26</v>
      </c>
      <c r="T594" s="4">
        <f>Tabla1[[#This Row],[Initial Risk $]]/Tabla1[[#This Row],[Position Size (shares)]]*3+Tabla1[[#This Row],[Entry Price]]</f>
        <v>530.44000000000005</v>
      </c>
    </row>
    <row r="595" spans="1:20" customFormat="1" hidden="1" x14ac:dyDescent="0.25">
      <c r="A595" t="str">
        <f t="shared" si="205"/>
        <v>T-594</v>
      </c>
      <c r="B595" s="1">
        <v>46238</v>
      </c>
      <c r="C595" t="s">
        <v>161</v>
      </c>
      <c r="D595" t="s">
        <v>28</v>
      </c>
      <c r="E595" t="s">
        <v>58</v>
      </c>
      <c r="F595">
        <v>97.79</v>
      </c>
      <c r="G595">
        <v>96.69</v>
      </c>
      <c r="H595">
        <f>Tabla1[[#This Row],[Entry Price]]-(Tabla1[[#This Row],[Entry Price]]-Tabla1[[#This Row],[Initial Stop]])/2</f>
        <v>97.240000000000009</v>
      </c>
      <c r="I595">
        <v>10</v>
      </c>
      <c r="J595">
        <f t="shared" si="206"/>
        <v>11.000000000000085</v>
      </c>
      <c r="K595">
        <v>1</v>
      </c>
      <c r="L595">
        <f t="shared" si="207"/>
        <v>11.000000000000085</v>
      </c>
      <c r="M595" t="s">
        <v>72</v>
      </c>
      <c r="N595">
        <f>SUMIF(Executions!B:B,A595,Executions!H:H)</f>
        <v>17.299999999999898</v>
      </c>
      <c r="O595">
        <f t="shared" si="208"/>
        <v>1.5727272727272512</v>
      </c>
      <c r="P595" s="4">
        <f>Tabla1[[#This Row],[Initial Risk $]]/Tabla1[[#This Row],[Position Size (shares)]]+Tabla1[[#This Row],[Entry Price]]</f>
        <v>98.890000000000015</v>
      </c>
      <c r="Q595" s="4">
        <f>Tabla1[[#This Row],[Initial Risk $]]/Tabla1[[#This Row],[Position Size (shares)]]*1.5+Tabla1[[#This Row],[Entry Price]]</f>
        <v>99.440000000000026</v>
      </c>
      <c r="R595" s="4">
        <f>Tabla1[[#This Row],[Initial Risk $]]/Tabla1[[#This Row],[Position Size (shares)]]*2+Tabla1[[#This Row],[Entry Price]]</f>
        <v>99.990000000000023</v>
      </c>
      <c r="S595" s="4">
        <f>Tabla1[[#This Row],[Initial Risk $]]/Tabla1[[#This Row],[Position Size (shares)]]*2.5+Tabla1[[#This Row],[Entry Price]]</f>
        <v>100.54000000000002</v>
      </c>
      <c r="T595" s="4">
        <f>Tabla1[[#This Row],[Initial Risk $]]/Tabla1[[#This Row],[Position Size (shares)]]*3+Tabla1[[#This Row],[Entry Price]]</f>
        <v>101.09000000000003</v>
      </c>
    </row>
    <row r="596" spans="1:20" customFormat="1" hidden="1" x14ac:dyDescent="0.25">
      <c r="A596" t="str">
        <f t="shared" si="205"/>
        <v>T-595</v>
      </c>
      <c r="B596" s="1">
        <v>46238</v>
      </c>
      <c r="C596" t="s">
        <v>522</v>
      </c>
      <c r="D596" t="s">
        <v>28</v>
      </c>
      <c r="E596" t="s">
        <v>58</v>
      </c>
      <c r="F596">
        <v>192.54</v>
      </c>
      <c r="G596">
        <v>190.86</v>
      </c>
      <c r="H596">
        <f>Tabla1[[#This Row],[Entry Price]]-(Tabla1[[#This Row],[Entry Price]]-Tabla1[[#This Row],[Initial Stop]])/2</f>
        <v>191.7</v>
      </c>
      <c r="I596">
        <v>5</v>
      </c>
      <c r="J596">
        <f t="shared" si="206"/>
        <v>8.399999999999892</v>
      </c>
      <c r="K596">
        <v>1</v>
      </c>
      <c r="L596">
        <f t="shared" si="207"/>
        <v>8.399999999999892</v>
      </c>
      <c r="M596" t="s">
        <v>72</v>
      </c>
      <c r="N596">
        <f>SUMIF(Executions!B:B,A596,Executions!H:H)</f>
        <v>-8.7999999999999545</v>
      </c>
      <c r="O596">
        <f t="shared" si="208"/>
        <v>-1.0476190476190557</v>
      </c>
      <c r="P596" s="4">
        <f>Tabla1[[#This Row],[Initial Risk $]]/Tabla1[[#This Row],[Position Size (shares)]]+Tabla1[[#This Row],[Entry Price]]</f>
        <v>194.21999999999997</v>
      </c>
      <c r="Q596" s="4">
        <f>Tabla1[[#This Row],[Initial Risk $]]/Tabla1[[#This Row],[Position Size (shares)]]*1.5+Tabla1[[#This Row],[Entry Price]]</f>
        <v>195.05999999999995</v>
      </c>
      <c r="R596" s="4">
        <f>Tabla1[[#This Row],[Initial Risk $]]/Tabla1[[#This Row],[Position Size (shares)]]*2+Tabla1[[#This Row],[Entry Price]]</f>
        <v>195.89999999999995</v>
      </c>
      <c r="S596" s="4">
        <f>Tabla1[[#This Row],[Initial Risk $]]/Tabla1[[#This Row],[Position Size (shares)]]*2.5+Tabla1[[#This Row],[Entry Price]]</f>
        <v>196.73999999999995</v>
      </c>
      <c r="T596" s="4">
        <f>Tabla1[[#This Row],[Initial Risk $]]/Tabla1[[#This Row],[Position Size (shares)]]*3+Tabla1[[#This Row],[Entry Price]]</f>
        <v>197.57999999999993</v>
      </c>
    </row>
    <row r="597" spans="1:20" customFormat="1" hidden="1" x14ac:dyDescent="0.25">
      <c r="A597" t="str">
        <f t="shared" si="205"/>
        <v>T-596</v>
      </c>
      <c r="B597" s="1">
        <v>46238</v>
      </c>
      <c r="C597" t="s">
        <v>233</v>
      </c>
      <c r="D597" t="s">
        <v>28</v>
      </c>
      <c r="E597" t="s">
        <v>58</v>
      </c>
      <c r="F597">
        <v>492.68</v>
      </c>
      <c r="G597">
        <v>488</v>
      </c>
      <c r="H597">
        <f>Tabla1[[#This Row],[Entry Price]]-(Tabla1[[#This Row],[Entry Price]]-Tabla1[[#This Row],[Initial Stop]])/2</f>
        <v>490.34000000000003</v>
      </c>
      <c r="I597">
        <v>2</v>
      </c>
      <c r="J597">
        <f t="shared" si="206"/>
        <v>9.3600000000000136</v>
      </c>
      <c r="K597">
        <v>1</v>
      </c>
      <c r="L597">
        <f t="shared" si="207"/>
        <v>9.3600000000000136</v>
      </c>
      <c r="M597" t="s">
        <v>72</v>
      </c>
      <c r="N597">
        <f>SUMIF(Executions!B:B,A597,Executions!H:H)</f>
        <v>12.720000000000027</v>
      </c>
      <c r="O597">
        <f t="shared" si="208"/>
        <v>1.3589743589743599</v>
      </c>
      <c r="P597" s="4">
        <f>Tabla1[[#This Row],[Initial Risk $]]/Tabla1[[#This Row],[Position Size (shares)]]+Tabla1[[#This Row],[Entry Price]]</f>
        <v>497.36</v>
      </c>
      <c r="Q597" s="4">
        <f>Tabla1[[#This Row],[Initial Risk $]]/Tabla1[[#This Row],[Position Size (shares)]]*1.5+Tabla1[[#This Row],[Entry Price]]</f>
        <v>499.70000000000005</v>
      </c>
      <c r="R597" s="4">
        <f>Tabla1[[#This Row],[Initial Risk $]]/Tabla1[[#This Row],[Position Size (shares)]]*2+Tabla1[[#This Row],[Entry Price]]</f>
        <v>502.04</v>
      </c>
      <c r="S597" s="4">
        <f>Tabla1[[#This Row],[Initial Risk $]]/Tabla1[[#This Row],[Position Size (shares)]]*2.5+Tabla1[[#This Row],[Entry Price]]</f>
        <v>504.38</v>
      </c>
      <c r="T597" s="4">
        <f>Tabla1[[#This Row],[Initial Risk $]]/Tabla1[[#This Row],[Position Size (shares)]]*3+Tabla1[[#This Row],[Entry Price]]</f>
        <v>506.72</v>
      </c>
    </row>
    <row r="598" spans="1:20" customFormat="1" hidden="1" x14ac:dyDescent="0.25">
      <c r="A598" t="str">
        <f t="shared" si="205"/>
        <v>T-597</v>
      </c>
      <c r="B598" s="1">
        <v>46238</v>
      </c>
      <c r="C598" t="s">
        <v>181</v>
      </c>
      <c r="D598" t="s">
        <v>28</v>
      </c>
      <c r="E598" t="s">
        <v>58</v>
      </c>
      <c r="F598">
        <v>13.5</v>
      </c>
      <c r="G598">
        <v>13.38</v>
      </c>
      <c r="H598">
        <f>Tabla1[[#This Row],[Entry Price]]-(Tabla1[[#This Row],[Entry Price]]-Tabla1[[#This Row],[Initial Stop]])/2</f>
        <v>13.440000000000001</v>
      </c>
      <c r="I598">
        <v>50</v>
      </c>
      <c r="J598">
        <f t="shared" si="206"/>
        <v>5.9999999999999609</v>
      </c>
      <c r="K598">
        <v>1</v>
      </c>
      <c r="L598">
        <f t="shared" si="207"/>
        <v>5.9999999999999609</v>
      </c>
      <c r="M598" t="s">
        <v>72</v>
      </c>
      <c r="N598">
        <f>SUMIF(Executions!B:B,A598,Executions!H:H)</f>
        <v>-6.5000000000000391</v>
      </c>
      <c r="O598">
        <f t="shared" si="208"/>
        <v>-1.0833333333333468</v>
      </c>
      <c r="P598" s="4">
        <f>Tabla1[[#This Row],[Initial Risk $]]/Tabla1[[#This Row],[Position Size (shares)]]+Tabla1[[#This Row],[Entry Price]]</f>
        <v>13.62</v>
      </c>
      <c r="Q598" s="4">
        <f>Tabla1[[#This Row],[Initial Risk $]]/Tabla1[[#This Row],[Position Size (shares)]]*1.5+Tabla1[[#This Row],[Entry Price]]</f>
        <v>13.68</v>
      </c>
      <c r="R598" s="4">
        <f>Tabla1[[#This Row],[Initial Risk $]]/Tabla1[[#This Row],[Position Size (shares)]]*2+Tabla1[[#This Row],[Entry Price]]</f>
        <v>13.739999999999998</v>
      </c>
      <c r="S598" s="4">
        <f>Tabla1[[#This Row],[Initial Risk $]]/Tabla1[[#This Row],[Position Size (shares)]]*2.5+Tabla1[[#This Row],[Entry Price]]</f>
        <v>13.799999999999997</v>
      </c>
      <c r="T598" s="4">
        <f>Tabla1[[#This Row],[Initial Risk $]]/Tabla1[[#This Row],[Position Size (shares)]]*3+Tabla1[[#This Row],[Entry Price]]</f>
        <v>13.859999999999998</v>
      </c>
    </row>
    <row r="599" spans="1:20" customFormat="1" hidden="1" x14ac:dyDescent="0.25">
      <c r="A599" t="str">
        <f t="shared" si="205"/>
        <v>T-598</v>
      </c>
      <c r="B599" s="1">
        <v>46238</v>
      </c>
      <c r="C599" t="s">
        <v>294</v>
      </c>
      <c r="D599" t="s">
        <v>28</v>
      </c>
      <c r="E599" t="s">
        <v>58</v>
      </c>
      <c r="F599">
        <v>144.77000000000001</v>
      </c>
      <c r="G599">
        <v>143.11000000000001</v>
      </c>
      <c r="H599">
        <f>Tabla1[[#This Row],[Entry Price]]-(Tabla1[[#This Row],[Entry Price]]-Tabla1[[#This Row],[Initial Stop]])/2</f>
        <v>143.94</v>
      </c>
      <c r="I599">
        <v>5</v>
      </c>
      <c r="J599">
        <f t="shared" si="206"/>
        <v>8.2999999999999829</v>
      </c>
      <c r="K599">
        <v>1</v>
      </c>
      <c r="L599">
        <f t="shared" si="207"/>
        <v>8.2999999999999829</v>
      </c>
      <c r="M599" t="s">
        <v>72</v>
      </c>
      <c r="N599">
        <f>SUMIF(Executions!B:B,A599,Executions!H:H)</f>
        <v>-10.139999999999986</v>
      </c>
      <c r="O599">
        <f t="shared" si="208"/>
        <v>-1.2216867469879527</v>
      </c>
      <c r="P599" s="4">
        <f>Tabla1[[#This Row],[Initial Risk $]]/Tabla1[[#This Row],[Position Size (shares)]]+Tabla1[[#This Row],[Entry Price]]</f>
        <v>146.43</v>
      </c>
      <c r="Q599" s="4">
        <f>Tabla1[[#This Row],[Initial Risk $]]/Tabla1[[#This Row],[Position Size (shares)]]*1.5+Tabla1[[#This Row],[Entry Price]]</f>
        <v>147.26</v>
      </c>
      <c r="R599" s="4">
        <f>Tabla1[[#This Row],[Initial Risk $]]/Tabla1[[#This Row],[Position Size (shares)]]*2+Tabla1[[#This Row],[Entry Price]]</f>
        <v>148.09</v>
      </c>
      <c r="S599" s="4">
        <f>Tabla1[[#This Row],[Initial Risk $]]/Tabla1[[#This Row],[Position Size (shares)]]*2.5+Tabla1[[#This Row],[Entry Price]]</f>
        <v>148.92000000000002</v>
      </c>
      <c r="T599" s="4">
        <f>Tabla1[[#This Row],[Initial Risk $]]/Tabla1[[#This Row],[Position Size (shares)]]*3+Tabla1[[#This Row],[Entry Price]]</f>
        <v>149.75</v>
      </c>
    </row>
    <row r="600" spans="1:20" customFormat="1" hidden="1" x14ac:dyDescent="0.25">
      <c r="A600" t="str">
        <f t="shared" si="205"/>
        <v>T-599</v>
      </c>
      <c r="B600" s="1">
        <v>46238</v>
      </c>
      <c r="C600" t="s">
        <v>279</v>
      </c>
      <c r="D600" t="s">
        <v>28</v>
      </c>
      <c r="E600" t="s">
        <v>119</v>
      </c>
      <c r="F600">
        <v>880.81</v>
      </c>
      <c r="G600">
        <v>871</v>
      </c>
      <c r="H600">
        <f>Tabla1[[#This Row],[Entry Price]]-(Tabla1[[#This Row],[Entry Price]]-Tabla1[[#This Row],[Initial Stop]])/2</f>
        <v>875.90499999999997</v>
      </c>
      <c r="I600">
        <v>1</v>
      </c>
      <c r="J600">
        <f t="shared" si="206"/>
        <v>9.8099999999999454</v>
      </c>
      <c r="K600">
        <v>1</v>
      </c>
      <c r="L600">
        <f t="shared" si="207"/>
        <v>9.8099999999999454</v>
      </c>
      <c r="M600" t="s">
        <v>72</v>
      </c>
      <c r="N600">
        <f>SUMIF(Executions!B:B,A600,Executions!H:H)</f>
        <v>10.970000000000027</v>
      </c>
      <c r="O600">
        <f t="shared" si="208"/>
        <v>1.1182466870540355</v>
      </c>
      <c r="P600" s="4">
        <f>Tabla1[[#This Row],[Initial Risk $]]/Tabla1[[#This Row],[Position Size (shares)]]+Tabla1[[#This Row],[Entry Price]]</f>
        <v>890.61999999999989</v>
      </c>
      <c r="Q600" s="4">
        <f>Tabla1[[#This Row],[Initial Risk $]]/Tabla1[[#This Row],[Position Size (shares)]]*1.5+Tabla1[[#This Row],[Entry Price]]</f>
        <v>895.52499999999986</v>
      </c>
      <c r="R600" s="4">
        <f>Tabla1[[#This Row],[Initial Risk $]]/Tabla1[[#This Row],[Position Size (shares)]]*2+Tabla1[[#This Row],[Entry Price]]</f>
        <v>900.42999999999984</v>
      </c>
      <c r="S600" s="4">
        <f>Tabla1[[#This Row],[Initial Risk $]]/Tabla1[[#This Row],[Position Size (shares)]]*2.5+Tabla1[[#This Row],[Entry Price]]</f>
        <v>905.33499999999981</v>
      </c>
      <c r="T600" s="4">
        <f>Tabla1[[#This Row],[Initial Risk $]]/Tabla1[[#This Row],[Position Size (shares)]]*3+Tabla1[[#This Row],[Entry Price]]</f>
        <v>910.23999999999978</v>
      </c>
    </row>
    <row r="601" spans="1:20" customFormat="1" hidden="1" x14ac:dyDescent="0.25">
      <c r="A601" t="str">
        <f t="shared" si="205"/>
        <v>T-600</v>
      </c>
      <c r="B601" s="1">
        <v>46238</v>
      </c>
      <c r="C601" t="s">
        <v>164</v>
      </c>
      <c r="D601" t="s">
        <v>28</v>
      </c>
      <c r="E601" t="s">
        <v>58</v>
      </c>
      <c r="F601">
        <v>210.8</v>
      </c>
      <c r="G601">
        <v>210.03</v>
      </c>
      <c r="H601">
        <f>Tabla1[[#This Row],[Entry Price]]-(Tabla1[[#This Row],[Entry Price]]-Tabla1[[#This Row],[Initial Stop]])/2</f>
        <v>210.41500000000002</v>
      </c>
      <c r="I601">
        <v>4</v>
      </c>
      <c r="J601">
        <f t="shared" si="206"/>
        <v>3.0800000000000409</v>
      </c>
      <c r="K601">
        <v>1</v>
      </c>
      <c r="L601">
        <f t="shared" si="207"/>
        <v>3.0800000000000409</v>
      </c>
      <c r="M601" t="s">
        <v>72</v>
      </c>
      <c r="N601">
        <f>SUMIF(Executions!B:B,A601,Executions!H:H)</f>
        <v>-3.0400000000000773</v>
      </c>
      <c r="O601">
        <f t="shared" si="208"/>
        <v>-0.987012987012999</v>
      </c>
      <c r="P601" s="4">
        <f>Tabla1[[#This Row],[Initial Risk $]]/Tabla1[[#This Row],[Position Size (shares)]]+Tabla1[[#This Row],[Entry Price]]</f>
        <v>211.57000000000002</v>
      </c>
      <c r="Q601" s="4">
        <f>Tabla1[[#This Row],[Initial Risk $]]/Tabla1[[#This Row],[Position Size (shares)]]*1.5+Tabla1[[#This Row],[Entry Price]]</f>
        <v>211.95500000000004</v>
      </c>
      <c r="R601" s="4">
        <f>Tabla1[[#This Row],[Initial Risk $]]/Tabla1[[#This Row],[Position Size (shares)]]*2+Tabla1[[#This Row],[Entry Price]]</f>
        <v>212.34000000000003</v>
      </c>
      <c r="S601" s="4">
        <f>Tabla1[[#This Row],[Initial Risk $]]/Tabla1[[#This Row],[Position Size (shares)]]*2.5+Tabla1[[#This Row],[Entry Price]]</f>
        <v>212.72500000000002</v>
      </c>
      <c r="T601" s="4">
        <f>Tabla1[[#This Row],[Initial Risk $]]/Tabla1[[#This Row],[Position Size (shares)]]*3+Tabla1[[#This Row],[Entry Price]]</f>
        <v>213.11000000000004</v>
      </c>
    </row>
    <row r="602" spans="1:20" customFormat="1" hidden="1" x14ac:dyDescent="0.25">
      <c r="A602" t="str">
        <f t="shared" ref="A602:A610" si="209">"T-"&amp; TEXT(ROW()-1,"000")</f>
        <v>T-601</v>
      </c>
      <c r="B602" s="1">
        <v>46239</v>
      </c>
      <c r="C602" t="s">
        <v>101</v>
      </c>
      <c r="D602" t="s">
        <v>28</v>
      </c>
      <c r="E602" t="s">
        <v>51</v>
      </c>
      <c r="F602">
        <v>12.67</v>
      </c>
      <c r="G602">
        <v>11.84</v>
      </c>
      <c r="H602">
        <f>Tabla1[[#This Row],[Entry Price]]-(Tabla1[[#This Row],[Entry Price]]-Tabla1[[#This Row],[Initial Stop]])/2</f>
        <v>12.254999999999999</v>
      </c>
      <c r="I602">
        <v>10</v>
      </c>
      <c r="J602">
        <f t="shared" ref="J602:J610" si="210">IF(D602="Long",(F602-G602)*I602,(G602-F602)*0)</f>
        <v>8.3000000000000007</v>
      </c>
      <c r="K602">
        <v>1</v>
      </c>
      <c r="L602">
        <f t="shared" ref="L602:L610" si="211">J602*K602</f>
        <v>8.3000000000000007</v>
      </c>
      <c r="M602" t="s">
        <v>72</v>
      </c>
      <c r="N602">
        <f>SUMIF(Executions!B:B,A602,Executions!H:H)</f>
        <v>7.5999999999999979</v>
      </c>
      <c r="O602">
        <f t="shared" ref="O602:O610" si="212">N602/J602</f>
        <v>0.91566265060240926</v>
      </c>
      <c r="P602" s="4">
        <f>Tabla1[[#This Row],[Initial Risk $]]/Tabla1[[#This Row],[Position Size (shares)]]+Tabla1[[#This Row],[Entry Price]]</f>
        <v>13.5</v>
      </c>
      <c r="Q602" s="4">
        <f>Tabla1[[#This Row],[Initial Risk $]]/Tabla1[[#This Row],[Position Size (shares)]]*1.5+Tabla1[[#This Row],[Entry Price]]</f>
        <v>13.914999999999999</v>
      </c>
      <c r="R602" s="4">
        <f>Tabla1[[#This Row],[Initial Risk $]]/Tabla1[[#This Row],[Position Size (shares)]]*2+Tabla1[[#This Row],[Entry Price]]</f>
        <v>14.33</v>
      </c>
      <c r="S602" s="4">
        <f>Tabla1[[#This Row],[Initial Risk $]]/Tabla1[[#This Row],[Position Size (shares)]]*2.5+Tabla1[[#This Row],[Entry Price]]</f>
        <v>14.745000000000001</v>
      </c>
      <c r="T602" s="4">
        <f>Tabla1[[#This Row],[Initial Risk $]]/Tabla1[[#This Row],[Position Size (shares)]]*3+Tabla1[[#This Row],[Entry Price]]</f>
        <v>15.16</v>
      </c>
    </row>
    <row r="603" spans="1:20" customFormat="1" hidden="1" x14ac:dyDescent="0.25">
      <c r="A603" t="str">
        <f t="shared" si="209"/>
        <v>T-602</v>
      </c>
      <c r="B603" s="1">
        <v>46239</v>
      </c>
      <c r="C603" t="s">
        <v>279</v>
      </c>
      <c r="D603" t="s">
        <v>28</v>
      </c>
      <c r="E603" t="s">
        <v>58</v>
      </c>
      <c r="F603">
        <v>899.95</v>
      </c>
      <c r="G603">
        <v>891</v>
      </c>
      <c r="H603">
        <f>Tabla1[[#This Row],[Entry Price]]-(Tabla1[[#This Row],[Entry Price]]-Tabla1[[#This Row],[Initial Stop]])/2</f>
        <v>895.47500000000002</v>
      </c>
      <c r="I603">
        <v>1</v>
      </c>
      <c r="J603">
        <f t="shared" si="210"/>
        <v>8.9500000000000455</v>
      </c>
      <c r="K603">
        <v>1</v>
      </c>
      <c r="L603">
        <f t="shared" si="211"/>
        <v>8.9500000000000455</v>
      </c>
      <c r="M603" t="s">
        <v>72</v>
      </c>
      <c r="N603">
        <f>SUMIF(Executions!B:B,A603,Executions!H:H)</f>
        <v>-8.9500000000000455</v>
      </c>
      <c r="O603">
        <f t="shared" si="212"/>
        <v>-1</v>
      </c>
      <c r="P603" s="4">
        <f>Tabla1[[#This Row],[Initial Risk $]]/Tabla1[[#This Row],[Position Size (shares)]]+Tabla1[[#This Row],[Entry Price]]</f>
        <v>908.90000000000009</v>
      </c>
      <c r="Q603" s="4">
        <f>Tabla1[[#This Row],[Initial Risk $]]/Tabla1[[#This Row],[Position Size (shares)]]*1.5+Tabla1[[#This Row],[Entry Price]]</f>
        <v>913.37500000000011</v>
      </c>
      <c r="R603" s="4">
        <f>Tabla1[[#This Row],[Initial Risk $]]/Tabla1[[#This Row],[Position Size (shares)]]*2+Tabla1[[#This Row],[Entry Price]]</f>
        <v>917.85000000000014</v>
      </c>
      <c r="S603" s="4">
        <f>Tabla1[[#This Row],[Initial Risk $]]/Tabla1[[#This Row],[Position Size (shares)]]*2.5+Tabla1[[#This Row],[Entry Price]]</f>
        <v>922.32500000000016</v>
      </c>
      <c r="T603" s="4">
        <f>Tabla1[[#This Row],[Initial Risk $]]/Tabla1[[#This Row],[Position Size (shares)]]*3+Tabla1[[#This Row],[Entry Price]]</f>
        <v>926.80000000000018</v>
      </c>
    </row>
    <row r="604" spans="1:20" customFormat="1" hidden="1" x14ac:dyDescent="0.25">
      <c r="A604" t="str">
        <f t="shared" si="209"/>
        <v>T-603</v>
      </c>
      <c r="B604" s="1">
        <v>46239</v>
      </c>
      <c r="C604" t="s">
        <v>173</v>
      </c>
      <c r="D604" t="s">
        <v>28</v>
      </c>
      <c r="E604" t="s">
        <v>58</v>
      </c>
      <c r="F604">
        <v>165.34</v>
      </c>
      <c r="G604">
        <v>163.53</v>
      </c>
      <c r="H604">
        <f>Tabla1[[#This Row],[Entry Price]]-(Tabla1[[#This Row],[Entry Price]]-Tabla1[[#This Row],[Initial Stop]])/2</f>
        <v>164.435</v>
      </c>
      <c r="I604">
        <v>5</v>
      </c>
      <c r="J604">
        <f t="shared" si="210"/>
        <v>9.0500000000000114</v>
      </c>
      <c r="K604">
        <v>1</v>
      </c>
      <c r="L604">
        <f t="shared" si="211"/>
        <v>9.0500000000000114</v>
      </c>
      <c r="M604" t="s">
        <v>72</v>
      </c>
      <c r="N604">
        <f>SUMIF(Executions!B:B,A604,Executions!H:H)</f>
        <v>-10.049999999999955</v>
      </c>
      <c r="O604">
        <f t="shared" si="212"/>
        <v>-1.1104972375690543</v>
      </c>
      <c r="P604" s="4">
        <f>Tabla1[[#This Row],[Initial Risk $]]/Tabla1[[#This Row],[Position Size (shares)]]+Tabla1[[#This Row],[Entry Price]]</f>
        <v>167.15</v>
      </c>
      <c r="Q604" s="4">
        <f>Tabla1[[#This Row],[Initial Risk $]]/Tabla1[[#This Row],[Position Size (shares)]]*1.5+Tabla1[[#This Row],[Entry Price]]</f>
        <v>168.05500000000001</v>
      </c>
      <c r="R604" s="4">
        <f>Tabla1[[#This Row],[Initial Risk $]]/Tabla1[[#This Row],[Position Size (shares)]]*2+Tabla1[[#This Row],[Entry Price]]</f>
        <v>168.96</v>
      </c>
      <c r="S604" s="4">
        <f>Tabla1[[#This Row],[Initial Risk $]]/Tabla1[[#This Row],[Position Size (shares)]]*2.5+Tabla1[[#This Row],[Entry Price]]</f>
        <v>169.86500000000001</v>
      </c>
      <c r="T604" s="4">
        <f>Tabla1[[#This Row],[Initial Risk $]]/Tabla1[[#This Row],[Position Size (shares)]]*3+Tabla1[[#This Row],[Entry Price]]</f>
        <v>170.77</v>
      </c>
    </row>
    <row r="605" spans="1:20" customFormat="1" hidden="1" x14ac:dyDescent="0.25">
      <c r="A605" t="str">
        <f t="shared" si="209"/>
        <v>T-604</v>
      </c>
      <c r="B605" s="1">
        <v>46239</v>
      </c>
      <c r="C605" t="s">
        <v>161</v>
      </c>
      <c r="D605" t="s">
        <v>28</v>
      </c>
      <c r="E605" t="s">
        <v>58</v>
      </c>
      <c r="F605">
        <v>100.99</v>
      </c>
      <c r="G605">
        <v>99.45</v>
      </c>
      <c r="H605">
        <f>Tabla1[[#This Row],[Entry Price]]-(Tabla1[[#This Row],[Entry Price]]-Tabla1[[#This Row],[Initial Stop]])/2</f>
        <v>100.22</v>
      </c>
      <c r="I605">
        <v>10</v>
      </c>
      <c r="J605">
        <f t="shared" si="210"/>
        <v>15.39999999999992</v>
      </c>
      <c r="K605">
        <v>1</v>
      </c>
      <c r="L605">
        <f t="shared" si="211"/>
        <v>15.39999999999992</v>
      </c>
      <c r="M605" t="s">
        <v>72</v>
      </c>
      <c r="N605">
        <f>SUMIF(Executions!B:B,A605,Executions!H:H)</f>
        <v>-15.699999999999932</v>
      </c>
      <c r="O605">
        <f t="shared" si="212"/>
        <v>-1.0194805194805203</v>
      </c>
      <c r="P605" s="4">
        <f>Tabla1[[#This Row],[Initial Risk $]]/Tabla1[[#This Row],[Position Size (shares)]]+Tabla1[[#This Row],[Entry Price]]</f>
        <v>102.52999999999999</v>
      </c>
      <c r="Q605" s="4">
        <f>Tabla1[[#This Row],[Initial Risk $]]/Tabla1[[#This Row],[Position Size (shares)]]*1.5+Tabla1[[#This Row],[Entry Price]]</f>
        <v>103.29999999999998</v>
      </c>
      <c r="R605" s="4">
        <f>Tabla1[[#This Row],[Initial Risk $]]/Tabla1[[#This Row],[Position Size (shares)]]*2+Tabla1[[#This Row],[Entry Price]]</f>
        <v>104.06999999999998</v>
      </c>
      <c r="S605" s="4">
        <f>Tabla1[[#This Row],[Initial Risk $]]/Tabla1[[#This Row],[Position Size (shares)]]*2.5+Tabla1[[#This Row],[Entry Price]]</f>
        <v>104.83999999999997</v>
      </c>
      <c r="T605" s="4">
        <f>Tabla1[[#This Row],[Initial Risk $]]/Tabla1[[#This Row],[Position Size (shares)]]*3+Tabla1[[#This Row],[Entry Price]]</f>
        <v>105.60999999999997</v>
      </c>
    </row>
    <row r="606" spans="1:20" customFormat="1" hidden="1" x14ac:dyDescent="0.25">
      <c r="A606" t="str">
        <f t="shared" si="209"/>
        <v>T-605</v>
      </c>
      <c r="B606" s="1">
        <v>46239</v>
      </c>
      <c r="C606" t="s">
        <v>279</v>
      </c>
      <c r="D606" t="s">
        <v>28</v>
      </c>
      <c r="E606" t="s">
        <v>58</v>
      </c>
      <c r="F606">
        <v>909</v>
      </c>
      <c r="G606">
        <v>900</v>
      </c>
      <c r="H606">
        <f>Tabla1[[#This Row],[Entry Price]]-(Tabla1[[#This Row],[Entry Price]]-Tabla1[[#This Row],[Initial Stop]])/2</f>
        <v>904.5</v>
      </c>
      <c r="I606">
        <v>2</v>
      </c>
      <c r="J606">
        <f t="shared" si="210"/>
        <v>18</v>
      </c>
      <c r="K606">
        <v>1</v>
      </c>
      <c r="L606">
        <f t="shared" si="211"/>
        <v>18</v>
      </c>
      <c r="M606" t="s">
        <v>72</v>
      </c>
      <c r="N606">
        <f>SUMIF(Executions!B:B,A606,Executions!H:H)</f>
        <v>22.149999999999977</v>
      </c>
      <c r="O606">
        <f t="shared" si="212"/>
        <v>1.2305555555555543</v>
      </c>
      <c r="P606" s="4">
        <f>Tabla1[[#This Row],[Initial Risk $]]/Tabla1[[#This Row],[Position Size (shares)]]+Tabla1[[#This Row],[Entry Price]]</f>
        <v>918</v>
      </c>
      <c r="Q606" s="4">
        <f>Tabla1[[#This Row],[Initial Risk $]]/Tabla1[[#This Row],[Position Size (shares)]]*1.5+Tabla1[[#This Row],[Entry Price]]</f>
        <v>922.5</v>
      </c>
      <c r="R606" s="4">
        <f>Tabla1[[#This Row],[Initial Risk $]]/Tabla1[[#This Row],[Position Size (shares)]]*2+Tabla1[[#This Row],[Entry Price]]</f>
        <v>927</v>
      </c>
      <c r="S606" s="4">
        <f>Tabla1[[#This Row],[Initial Risk $]]/Tabla1[[#This Row],[Position Size (shares)]]*2.5+Tabla1[[#This Row],[Entry Price]]</f>
        <v>931.5</v>
      </c>
      <c r="T606" s="4">
        <f>Tabla1[[#This Row],[Initial Risk $]]/Tabla1[[#This Row],[Position Size (shares)]]*3+Tabla1[[#This Row],[Entry Price]]</f>
        <v>936</v>
      </c>
    </row>
    <row r="607" spans="1:20" customFormat="1" hidden="1" x14ac:dyDescent="0.25">
      <c r="A607" t="str">
        <f t="shared" si="209"/>
        <v>T-606</v>
      </c>
      <c r="B607" s="1">
        <v>46239</v>
      </c>
      <c r="C607" t="s">
        <v>718</v>
      </c>
      <c r="D607" t="s">
        <v>28</v>
      </c>
      <c r="E607" t="s">
        <v>27</v>
      </c>
      <c r="F607">
        <v>146.21</v>
      </c>
      <c r="G607">
        <v>144.21</v>
      </c>
      <c r="H607">
        <f>Tabla1[[#This Row],[Entry Price]]-(Tabla1[[#This Row],[Entry Price]]-Tabla1[[#This Row],[Initial Stop]])/2</f>
        <v>145.21</v>
      </c>
      <c r="I607">
        <v>5</v>
      </c>
      <c r="J607">
        <f t="shared" si="210"/>
        <v>10</v>
      </c>
      <c r="K607">
        <v>1</v>
      </c>
      <c r="L607">
        <f t="shared" si="211"/>
        <v>10</v>
      </c>
      <c r="M607" t="s">
        <v>72</v>
      </c>
      <c r="N607">
        <f>SUMIF(Executions!B:B,A607,Executions!H:H)</f>
        <v>-10.200000000000102</v>
      </c>
      <c r="O607">
        <f t="shared" si="212"/>
        <v>-1.0200000000000102</v>
      </c>
      <c r="P607" s="4">
        <f>Tabla1[[#This Row],[Initial Risk $]]/Tabla1[[#This Row],[Position Size (shares)]]+Tabla1[[#This Row],[Entry Price]]</f>
        <v>148.21</v>
      </c>
      <c r="Q607" s="4">
        <f>Tabla1[[#This Row],[Initial Risk $]]/Tabla1[[#This Row],[Position Size (shares)]]*1.5+Tabla1[[#This Row],[Entry Price]]</f>
        <v>149.21</v>
      </c>
      <c r="R607" s="4">
        <f>Tabla1[[#This Row],[Initial Risk $]]/Tabla1[[#This Row],[Position Size (shares)]]*2+Tabla1[[#This Row],[Entry Price]]</f>
        <v>150.21</v>
      </c>
      <c r="S607" s="4">
        <f>Tabla1[[#This Row],[Initial Risk $]]/Tabla1[[#This Row],[Position Size (shares)]]*2.5+Tabla1[[#This Row],[Entry Price]]</f>
        <v>151.21</v>
      </c>
      <c r="T607" s="4">
        <f>Tabla1[[#This Row],[Initial Risk $]]/Tabla1[[#This Row],[Position Size (shares)]]*3+Tabla1[[#This Row],[Entry Price]]</f>
        <v>152.21</v>
      </c>
    </row>
    <row r="608" spans="1:20" customFormat="1" hidden="1" x14ac:dyDescent="0.25">
      <c r="A608" t="str">
        <f t="shared" si="209"/>
        <v>T-607</v>
      </c>
      <c r="B608" s="1">
        <v>46239</v>
      </c>
      <c r="C608" t="s">
        <v>164</v>
      </c>
      <c r="D608" t="s">
        <v>28</v>
      </c>
      <c r="E608" t="s">
        <v>119</v>
      </c>
      <c r="F608">
        <v>221.93</v>
      </c>
      <c r="G608">
        <v>218.62</v>
      </c>
      <c r="H608">
        <f>Tabla1[[#This Row],[Entry Price]]-(Tabla1[[#This Row],[Entry Price]]-Tabla1[[#This Row],[Initial Stop]])/2</f>
        <v>220.27500000000001</v>
      </c>
      <c r="I608">
        <v>4</v>
      </c>
      <c r="J608">
        <f t="shared" si="210"/>
        <v>13.240000000000009</v>
      </c>
      <c r="K608">
        <v>1</v>
      </c>
      <c r="L608">
        <f t="shared" si="211"/>
        <v>13.240000000000009</v>
      </c>
      <c r="M608" t="s">
        <v>72</v>
      </c>
      <c r="N608">
        <f>SUMIF(Executions!B:B,A608,Executions!H:H)</f>
        <v>-13.920000000000073</v>
      </c>
      <c r="O608">
        <f t="shared" si="212"/>
        <v>-1.051359516616319</v>
      </c>
      <c r="P608" s="4">
        <f>Tabla1[[#This Row],[Initial Risk $]]/Tabla1[[#This Row],[Position Size (shares)]]+Tabla1[[#This Row],[Entry Price]]</f>
        <v>225.24</v>
      </c>
      <c r="Q608" s="4">
        <f>Tabla1[[#This Row],[Initial Risk $]]/Tabla1[[#This Row],[Position Size (shares)]]*1.5+Tabla1[[#This Row],[Entry Price]]</f>
        <v>226.89500000000001</v>
      </c>
      <c r="R608" s="4">
        <f>Tabla1[[#This Row],[Initial Risk $]]/Tabla1[[#This Row],[Position Size (shares)]]*2+Tabla1[[#This Row],[Entry Price]]</f>
        <v>228.55</v>
      </c>
      <c r="S608" s="4">
        <f>Tabla1[[#This Row],[Initial Risk $]]/Tabla1[[#This Row],[Position Size (shares)]]*2.5+Tabla1[[#This Row],[Entry Price]]</f>
        <v>230.20500000000001</v>
      </c>
      <c r="T608" s="4">
        <f>Tabla1[[#This Row],[Initial Risk $]]/Tabla1[[#This Row],[Position Size (shares)]]*3+Tabla1[[#This Row],[Entry Price]]</f>
        <v>231.86</v>
      </c>
    </row>
    <row r="609" spans="1:20" customFormat="1" hidden="1" x14ac:dyDescent="0.25">
      <c r="A609" t="str">
        <f t="shared" si="209"/>
        <v>T-608</v>
      </c>
      <c r="B609" s="1">
        <v>46239</v>
      </c>
      <c r="C609" t="s">
        <v>417</v>
      </c>
      <c r="D609" t="s">
        <v>28</v>
      </c>
      <c r="E609" t="s">
        <v>58</v>
      </c>
      <c r="F609">
        <v>437.09</v>
      </c>
      <c r="G609">
        <v>431</v>
      </c>
      <c r="H609">
        <f>Tabla1[[#This Row],[Entry Price]]-(Tabla1[[#This Row],[Entry Price]]-Tabla1[[#This Row],[Initial Stop]])/2</f>
        <v>434.04499999999996</v>
      </c>
      <c r="I609">
        <v>3</v>
      </c>
      <c r="J609">
        <f t="shared" si="210"/>
        <v>18.269999999999925</v>
      </c>
      <c r="K609">
        <v>1</v>
      </c>
      <c r="L609">
        <f t="shared" si="211"/>
        <v>18.269999999999925</v>
      </c>
      <c r="M609" t="s">
        <v>72</v>
      </c>
      <c r="N609">
        <f>SUMIF(Executions!B:B,A609,Executions!H:H)</f>
        <v>-18.359999999999843</v>
      </c>
      <c r="O609">
        <f t="shared" si="212"/>
        <v>-1.0049261083743797</v>
      </c>
      <c r="P609" s="4">
        <f>Tabla1[[#This Row],[Initial Risk $]]/Tabla1[[#This Row],[Position Size (shares)]]+Tabla1[[#This Row],[Entry Price]]</f>
        <v>443.17999999999995</v>
      </c>
      <c r="Q609" s="4">
        <f>Tabla1[[#This Row],[Initial Risk $]]/Tabla1[[#This Row],[Position Size (shares)]]*1.5+Tabla1[[#This Row],[Entry Price]]</f>
        <v>446.22499999999991</v>
      </c>
      <c r="R609" s="4">
        <f>Tabla1[[#This Row],[Initial Risk $]]/Tabla1[[#This Row],[Position Size (shares)]]*2+Tabla1[[#This Row],[Entry Price]]</f>
        <v>449.26999999999992</v>
      </c>
      <c r="S609" s="4">
        <f>Tabla1[[#This Row],[Initial Risk $]]/Tabla1[[#This Row],[Position Size (shares)]]*2.5+Tabla1[[#This Row],[Entry Price]]</f>
        <v>452.31499999999994</v>
      </c>
      <c r="T609" s="4">
        <f>Tabla1[[#This Row],[Initial Risk $]]/Tabla1[[#This Row],[Position Size (shares)]]*3+Tabla1[[#This Row],[Entry Price]]</f>
        <v>455.3599999999999</v>
      </c>
    </row>
    <row r="610" spans="1:20" customFormat="1" hidden="1" x14ac:dyDescent="0.25">
      <c r="A610" t="str">
        <f t="shared" si="209"/>
        <v>T-609</v>
      </c>
      <c r="B610" s="1">
        <v>46239</v>
      </c>
      <c r="C610" t="s">
        <v>161</v>
      </c>
      <c r="D610" t="s">
        <v>28</v>
      </c>
      <c r="E610" t="s">
        <v>27</v>
      </c>
      <c r="F610">
        <v>99.31</v>
      </c>
      <c r="G610">
        <v>97.31</v>
      </c>
      <c r="H610">
        <f>Tabla1[[#This Row],[Entry Price]]-(Tabla1[[#This Row],[Entry Price]]-Tabla1[[#This Row],[Initial Stop]])/2</f>
        <v>98.31</v>
      </c>
      <c r="I610">
        <v>5</v>
      </c>
      <c r="J610">
        <f t="shared" si="210"/>
        <v>10</v>
      </c>
      <c r="K610">
        <v>1</v>
      </c>
      <c r="L610">
        <f t="shared" si="211"/>
        <v>10</v>
      </c>
      <c r="M610" t="s">
        <v>72</v>
      </c>
      <c r="N610">
        <f>SUMIF(Executions!B:B,A610,Executions!H:H)</f>
        <v>15</v>
      </c>
      <c r="O610">
        <f t="shared" si="212"/>
        <v>1.5</v>
      </c>
      <c r="P610" s="4">
        <f>Tabla1[[#This Row],[Initial Risk $]]/Tabla1[[#This Row],[Position Size (shares)]]+Tabla1[[#This Row],[Entry Price]]</f>
        <v>101.31</v>
      </c>
      <c r="Q610" s="4">
        <f>Tabla1[[#This Row],[Initial Risk $]]/Tabla1[[#This Row],[Position Size (shares)]]*1.5+Tabla1[[#This Row],[Entry Price]]</f>
        <v>102.31</v>
      </c>
      <c r="R610" s="4">
        <f>Tabla1[[#This Row],[Initial Risk $]]/Tabla1[[#This Row],[Position Size (shares)]]*2+Tabla1[[#This Row],[Entry Price]]</f>
        <v>103.31</v>
      </c>
      <c r="S610" s="4">
        <f>Tabla1[[#This Row],[Initial Risk $]]/Tabla1[[#This Row],[Position Size (shares)]]*2.5+Tabla1[[#This Row],[Entry Price]]</f>
        <v>104.31</v>
      </c>
      <c r="T610" s="4">
        <f>Tabla1[[#This Row],[Initial Risk $]]/Tabla1[[#This Row],[Position Size (shares)]]*3+Tabla1[[#This Row],[Entry Price]]</f>
        <v>105.31</v>
      </c>
    </row>
    <row r="611" spans="1:20" hidden="1" x14ac:dyDescent="0.25">
      <c r="A611" s="7" t="str">
        <f t="shared" ref="A611:A622" si="213">"T-"&amp; TEXT(ROW()-1,"000")</f>
        <v>T-610</v>
      </c>
      <c r="B611" s="8">
        <v>46240</v>
      </c>
      <c r="C611" s="7" t="s">
        <v>202</v>
      </c>
      <c r="D611" s="7" t="s">
        <v>28</v>
      </c>
      <c r="E611" s="7" t="s">
        <v>51</v>
      </c>
      <c r="F611" s="7">
        <v>7.86</v>
      </c>
      <c r="G611" s="7">
        <v>7.46</v>
      </c>
      <c r="H611" s="7">
        <f>Tabla1[[#This Row],[Entry Price]]-(Tabla1[[#This Row],[Entry Price]]-Tabla1[[#This Row],[Initial Stop]])/2</f>
        <v>7.66</v>
      </c>
      <c r="I611" s="7">
        <v>20</v>
      </c>
      <c r="J611" s="7">
        <f t="shared" ref="J611:J622" si="214">IF(D611="Long",(F611-G611)*I611,(G611-F611)*0)</f>
        <v>8.0000000000000071</v>
      </c>
      <c r="K611" s="7">
        <v>1</v>
      </c>
      <c r="L611" s="7">
        <f t="shared" ref="L611:L622" si="215">J611*K611</f>
        <v>8.0000000000000071</v>
      </c>
      <c r="M611" s="7" t="s">
        <v>72</v>
      </c>
      <c r="N611" s="7">
        <f>SUMIF(Executions!B:B,A611,Executions!H:H)</f>
        <v>-8.0000000000000071</v>
      </c>
      <c r="O611" s="7">
        <f t="shared" ref="O611:O622" si="216">N611/J611</f>
        <v>-1</v>
      </c>
      <c r="P611" s="9">
        <f>Tabla1[[#This Row],[Initial Risk $]]/Tabla1[[#This Row],[Position Size (shares)]]+Tabla1[[#This Row],[Entry Price]]</f>
        <v>8.2600000000000016</v>
      </c>
      <c r="Q611" s="9">
        <f>Tabla1[[#This Row],[Initial Risk $]]/Tabla1[[#This Row],[Position Size (shares)]]*1.5+Tabla1[[#This Row],[Entry Price]]</f>
        <v>8.4600000000000009</v>
      </c>
      <c r="R611" s="9">
        <f>Tabla1[[#This Row],[Initial Risk $]]/Tabla1[[#This Row],[Position Size (shares)]]*2+Tabla1[[#This Row],[Entry Price]]</f>
        <v>8.66</v>
      </c>
      <c r="S611" s="9">
        <f>Tabla1[[#This Row],[Initial Risk $]]/Tabla1[[#This Row],[Position Size (shares)]]*2.5+Tabla1[[#This Row],[Entry Price]]</f>
        <v>8.8600000000000012</v>
      </c>
      <c r="T611" s="9">
        <f>Tabla1[[#This Row],[Initial Risk $]]/Tabla1[[#This Row],[Position Size (shares)]]*3+Tabla1[[#This Row],[Entry Price]]</f>
        <v>9.0600000000000023</v>
      </c>
    </row>
    <row r="612" spans="1:20" hidden="1" x14ac:dyDescent="0.25">
      <c r="A612" s="7" t="str">
        <f t="shared" si="213"/>
        <v>T-611</v>
      </c>
      <c r="B612" s="8">
        <v>46240</v>
      </c>
      <c r="C612" s="7" t="s">
        <v>750</v>
      </c>
      <c r="D612" s="7" t="s">
        <v>28</v>
      </c>
      <c r="E612" s="7" t="s">
        <v>29</v>
      </c>
      <c r="F612" s="7">
        <v>58.63</v>
      </c>
      <c r="G612" s="7">
        <v>58.09</v>
      </c>
      <c r="H612" s="7">
        <f>Tabla1[[#This Row],[Entry Price]]-(Tabla1[[#This Row],[Entry Price]]-Tabla1[[#This Row],[Initial Stop]])/2</f>
        <v>58.36</v>
      </c>
      <c r="I612" s="7">
        <v>10</v>
      </c>
      <c r="J612" s="7">
        <f t="shared" si="214"/>
        <v>5.3999999999999915</v>
      </c>
      <c r="K612" s="7">
        <v>1</v>
      </c>
      <c r="L612" s="7">
        <f t="shared" si="215"/>
        <v>5.3999999999999915</v>
      </c>
      <c r="M612" s="7" t="s">
        <v>72</v>
      </c>
      <c r="N612" s="7">
        <f>SUMIF(Executions!B:B,A612,Executions!H:H)</f>
        <v>-0.30000000000001137</v>
      </c>
      <c r="O612" s="7">
        <f t="shared" si="216"/>
        <v>-5.5555555555557745E-2</v>
      </c>
      <c r="P612" s="9">
        <f>Tabla1[[#This Row],[Initial Risk $]]/Tabla1[[#This Row],[Position Size (shares)]]+Tabla1[[#This Row],[Entry Price]]</f>
        <v>59.17</v>
      </c>
      <c r="Q612" s="9">
        <f>Tabla1[[#This Row],[Initial Risk $]]/Tabla1[[#This Row],[Position Size (shares)]]*1.5+Tabla1[[#This Row],[Entry Price]]</f>
        <v>59.44</v>
      </c>
      <c r="R612" s="9">
        <f>Tabla1[[#This Row],[Initial Risk $]]/Tabla1[[#This Row],[Position Size (shares)]]*2+Tabla1[[#This Row],[Entry Price]]</f>
        <v>59.71</v>
      </c>
      <c r="S612" s="9">
        <f>Tabla1[[#This Row],[Initial Risk $]]/Tabla1[[#This Row],[Position Size (shares)]]*2.5+Tabla1[[#This Row],[Entry Price]]</f>
        <v>59.980000000000004</v>
      </c>
      <c r="T612" s="9">
        <f>Tabla1[[#This Row],[Initial Risk $]]/Tabla1[[#This Row],[Position Size (shares)]]*3+Tabla1[[#This Row],[Entry Price]]</f>
        <v>60.25</v>
      </c>
    </row>
    <row r="613" spans="1:20" hidden="1" x14ac:dyDescent="0.25">
      <c r="A613" s="7" t="str">
        <f t="shared" si="213"/>
        <v>T-612</v>
      </c>
      <c r="B613" s="8">
        <v>46240</v>
      </c>
      <c r="C613" s="7" t="s">
        <v>582</v>
      </c>
      <c r="D613" s="7" t="s">
        <v>28</v>
      </c>
      <c r="E613" s="7" t="s">
        <v>29</v>
      </c>
      <c r="F613" s="7">
        <v>103.66</v>
      </c>
      <c r="G613" s="7">
        <v>102.46</v>
      </c>
      <c r="H613" s="7">
        <f>Tabla1[[#This Row],[Entry Price]]-(Tabla1[[#This Row],[Entry Price]]-Tabla1[[#This Row],[Initial Stop]])/2</f>
        <v>103.06</v>
      </c>
      <c r="I613" s="7">
        <v>6</v>
      </c>
      <c r="J613" s="7">
        <f t="shared" si="214"/>
        <v>7.2000000000000171</v>
      </c>
      <c r="K613" s="7">
        <v>1</v>
      </c>
      <c r="L613" s="7">
        <f t="shared" si="215"/>
        <v>7.2000000000000171</v>
      </c>
      <c r="M613" s="7" t="s">
        <v>72</v>
      </c>
      <c r="N613" s="7">
        <f>SUMIF(Executions!B:B,A613,Executions!H:H)</f>
        <v>-4.2000000000000171</v>
      </c>
      <c r="O613" s="7">
        <f t="shared" si="216"/>
        <v>-0.58333333333333437</v>
      </c>
      <c r="P613" s="9">
        <f>Tabla1[[#This Row],[Initial Risk $]]/Tabla1[[#This Row],[Position Size (shares)]]+Tabla1[[#This Row],[Entry Price]]</f>
        <v>104.86</v>
      </c>
      <c r="Q613" s="9">
        <f>Tabla1[[#This Row],[Initial Risk $]]/Tabla1[[#This Row],[Position Size (shares)]]*1.5+Tabla1[[#This Row],[Entry Price]]</f>
        <v>105.46000000000001</v>
      </c>
      <c r="R613" s="9">
        <f>Tabla1[[#This Row],[Initial Risk $]]/Tabla1[[#This Row],[Position Size (shares)]]*2+Tabla1[[#This Row],[Entry Price]]</f>
        <v>106.06</v>
      </c>
      <c r="S613" s="9">
        <f>Tabla1[[#This Row],[Initial Risk $]]/Tabla1[[#This Row],[Position Size (shares)]]*2.5+Tabla1[[#This Row],[Entry Price]]</f>
        <v>106.66</v>
      </c>
      <c r="T613" s="9">
        <f>Tabla1[[#This Row],[Initial Risk $]]/Tabla1[[#This Row],[Position Size (shares)]]*3+Tabla1[[#This Row],[Entry Price]]</f>
        <v>107.26</v>
      </c>
    </row>
    <row r="614" spans="1:20" hidden="1" x14ac:dyDescent="0.25">
      <c r="A614" s="7" t="str">
        <f t="shared" si="213"/>
        <v>T-613</v>
      </c>
      <c r="B614" s="8">
        <v>46240</v>
      </c>
      <c r="C614" s="7" t="s">
        <v>233</v>
      </c>
      <c r="D614" s="7" t="s">
        <v>28</v>
      </c>
      <c r="E614" s="7" t="s">
        <v>58</v>
      </c>
      <c r="F614" s="7">
        <v>493.19</v>
      </c>
      <c r="G614" s="7">
        <v>489</v>
      </c>
      <c r="H614" s="7">
        <f>Tabla1[[#This Row],[Entry Price]]-(Tabla1[[#This Row],[Entry Price]]-Tabla1[[#This Row],[Initial Stop]])/2</f>
        <v>491.09500000000003</v>
      </c>
      <c r="I614" s="7">
        <v>2</v>
      </c>
      <c r="J614" s="7">
        <f t="shared" si="214"/>
        <v>8.3799999999999955</v>
      </c>
      <c r="K614" s="7">
        <v>1</v>
      </c>
      <c r="L614" s="7">
        <f t="shared" si="215"/>
        <v>8.3799999999999955</v>
      </c>
      <c r="M614" s="7" t="s">
        <v>72</v>
      </c>
      <c r="N614" s="7">
        <f>SUMIF(Executions!B:B,A614,Executions!H:H)</f>
        <v>9.17999999999995</v>
      </c>
      <c r="O614" s="7">
        <f t="shared" si="216"/>
        <v>1.0954653937947441</v>
      </c>
      <c r="P614" s="9">
        <f>Tabla1[[#This Row],[Initial Risk $]]/Tabla1[[#This Row],[Position Size (shares)]]+Tabla1[[#This Row],[Entry Price]]</f>
        <v>497.38</v>
      </c>
      <c r="Q614" s="9">
        <f>Tabla1[[#This Row],[Initial Risk $]]/Tabla1[[#This Row],[Position Size (shares)]]*1.5+Tabla1[[#This Row],[Entry Price]]</f>
        <v>499.47500000000002</v>
      </c>
      <c r="R614" s="9">
        <f>Tabla1[[#This Row],[Initial Risk $]]/Tabla1[[#This Row],[Position Size (shares)]]*2+Tabla1[[#This Row],[Entry Price]]</f>
        <v>501.57</v>
      </c>
      <c r="S614" s="9">
        <f>Tabla1[[#This Row],[Initial Risk $]]/Tabla1[[#This Row],[Position Size (shares)]]*2.5+Tabla1[[#This Row],[Entry Price]]</f>
        <v>503.66499999999996</v>
      </c>
      <c r="T614" s="9">
        <f>Tabla1[[#This Row],[Initial Risk $]]/Tabla1[[#This Row],[Position Size (shares)]]*3+Tabla1[[#This Row],[Entry Price]]</f>
        <v>505.76</v>
      </c>
    </row>
    <row r="615" spans="1:20" hidden="1" x14ac:dyDescent="0.25">
      <c r="A615" s="7" t="str">
        <f t="shared" si="213"/>
        <v>T-614</v>
      </c>
      <c r="B615" s="8">
        <v>46240</v>
      </c>
      <c r="C615" s="7" t="s">
        <v>718</v>
      </c>
      <c r="D615" s="7" t="s">
        <v>28</v>
      </c>
      <c r="E615" s="7" t="s">
        <v>58</v>
      </c>
      <c r="F615" s="7">
        <v>146.66</v>
      </c>
      <c r="G615" s="7">
        <v>144.5</v>
      </c>
      <c r="H615" s="7">
        <f>Tabla1[[#This Row],[Entry Price]]-(Tabla1[[#This Row],[Entry Price]]-Tabla1[[#This Row],[Initial Stop]])/2</f>
        <v>145.57999999999998</v>
      </c>
      <c r="I615" s="7">
        <v>5</v>
      </c>
      <c r="J615" s="7">
        <f t="shared" si="214"/>
        <v>10.799999999999983</v>
      </c>
      <c r="K615" s="7">
        <v>1</v>
      </c>
      <c r="L615" s="7">
        <f t="shared" si="215"/>
        <v>10.799999999999983</v>
      </c>
      <c r="M615" s="7" t="s">
        <v>72</v>
      </c>
      <c r="N615" s="7">
        <f>SUMIF(Executions!B:B,A615,Executions!H:H)</f>
        <v>-7.0499999999999829</v>
      </c>
      <c r="O615" s="7">
        <f t="shared" si="216"/>
        <v>-0.65277777777777724</v>
      </c>
      <c r="P615" s="9">
        <f>Tabla1[[#This Row],[Initial Risk $]]/Tabla1[[#This Row],[Position Size (shares)]]+Tabla1[[#This Row],[Entry Price]]</f>
        <v>148.82</v>
      </c>
      <c r="Q615" s="9">
        <f>Tabla1[[#This Row],[Initial Risk $]]/Tabla1[[#This Row],[Position Size (shares)]]*1.5+Tabla1[[#This Row],[Entry Price]]</f>
        <v>149.89999999999998</v>
      </c>
      <c r="R615" s="9">
        <f>Tabla1[[#This Row],[Initial Risk $]]/Tabla1[[#This Row],[Position Size (shares)]]*2+Tabla1[[#This Row],[Entry Price]]</f>
        <v>150.97999999999999</v>
      </c>
      <c r="S615" s="9">
        <f>Tabla1[[#This Row],[Initial Risk $]]/Tabla1[[#This Row],[Position Size (shares)]]*2.5+Tabla1[[#This Row],[Entry Price]]</f>
        <v>152.06</v>
      </c>
      <c r="T615" s="9">
        <f>Tabla1[[#This Row],[Initial Risk $]]/Tabla1[[#This Row],[Position Size (shares)]]*3+Tabla1[[#This Row],[Entry Price]]</f>
        <v>153.13999999999999</v>
      </c>
    </row>
    <row r="616" spans="1:20" hidden="1" x14ac:dyDescent="0.25">
      <c r="A616" s="7" t="str">
        <f t="shared" si="213"/>
        <v>T-615</v>
      </c>
      <c r="B616" s="8">
        <v>46240</v>
      </c>
      <c r="C616" s="7" t="s">
        <v>154</v>
      </c>
      <c r="D616" s="7" t="s">
        <v>28</v>
      </c>
      <c r="E616" s="7" t="s">
        <v>58</v>
      </c>
      <c r="F616" s="7">
        <v>360.73</v>
      </c>
      <c r="G616" s="7">
        <v>358.13</v>
      </c>
      <c r="H616" s="7">
        <f>Tabla1[[#This Row],[Entry Price]]-(Tabla1[[#This Row],[Entry Price]]-Tabla1[[#This Row],[Initial Stop]])/2</f>
        <v>359.43</v>
      </c>
      <c r="I616" s="7">
        <v>3</v>
      </c>
      <c r="J616" s="7">
        <f t="shared" si="214"/>
        <v>7.8000000000000682</v>
      </c>
      <c r="K616" s="7">
        <v>1</v>
      </c>
      <c r="L616" s="7">
        <f t="shared" si="215"/>
        <v>7.8000000000000682</v>
      </c>
      <c r="M616" s="7" t="s">
        <v>72</v>
      </c>
      <c r="N616" s="7">
        <f>SUMIF(Executions!B:B,A616,Executions!H:H)</f>
        <v>-7.8899999999999864</v>
      </c>
      <c r="O616" s="7">
        <f t="shared" si="216"/>
        <v>-1.0115384615384508</v>
      </c>
      <c r="P616" s="9">
        <f>Tabla1[[#This Row],[Initial Risk $]]/Tabla1[[#This Row],[Position Size (shares)]]+Tabla1[[#This Row],[Entry Price]]</f>
        <v>363.33000000000004</v>
      </c>
      <c r="Q616" s="9">
        <f>Tabla1[[#This Row],[Initial Risk $]]/Tabla1[[#This Row],[Position Size (shares)]]*1.5+Tabla1[[#This Row],[Entry Price]]</f>
        <v>364.63000000000005</v>
      </c>
      <c r="R616" s="9">
        <f>Tabla1[[#This Row],[Initial Risk $]]/Tabla1[[#This Row],[Position Size (shares)]]*2+Tabla1[[#This Row],[Entry Price]]</f>
        <v>365.93000000000006</v>
      </c>
      <c r="S616" s="9">
        <f>Tabla1[[#This Row],[Initial Risk $]]/Tabla1[[#This Row],[Position Size (shares)]]*2.5+Tabla1[[#This Row],[Entry Price]]</f>
        <v>367.23000000000008</v>
      </c>
      <c r="T616" s="9">
        <f>Tabla1[[#This Row],[Initial Risk $]]/Tabla1[[#This Row],[Position Size (shares)]]*3+Tabla1[[#This Row],[Entry Price]]</f>
        <v>368.53000000000009</v>
      </c>
    </row>
    <row r="617" spans="1:20" hidden="1" x14ac:dyDescent="0.25">
      <c r="A617" s="7" t="str">
        <f t="shared" si="213"/>
        <v>T-616</v>
      </c>
      <c r="B617" s="8">
        <v>46240</v>
      </c>
      <c r="C617" s="7" t="s">
        <v>101</v>
      </c>
      <c r="D617" s="7" t="s">
        <v>28</v>
      </c>
      <c r="E617" s="7" t="s">
        <v>27</v>
      </c>
      <c r="F617" s="7">
        <v>13.43</v>
      </c>
      <c r="G617" s="7">
        <v>12.76</v>
      </c>
      <c r="H617" s="7">
        <f>Tabla1[[#This Row],[Entry Price]]-(Tabla1[[#This Row],[Entry Price]]-Tabla1[[#This Row],[Initial Stop]])/2</f>
        <v>13.094999999999999</v>
      </c>
      <c r="I617" s="7">
        <v>20</v>
      </c>
      <c r="J617" s="7">
        <f t="shared" si="214"/>
        <v>13.399999999999999</v>
      </c>
      <c r="K617" s="7">
        <v>1</v>
      </c>
      <c r="L617" s="7">
        <f t="shared" si="215"/>
        <v>13.399999999999999</v>
      </c>
      <c r="M617" s="7" t="s">
        <v>72</v>
      </c>
      <c r="N617" s="7">
        <f>SUMIF(Executions!B:B,A617,Executions!H:H)</f>
        <v>6.2000000000000099</v>
      </c>
      <c r="O617" s="7">
        <f t="shared" si="216"/>
        <v>0.46268656716417988</v>
      </c>
      <c r="P617" s="9">
        <f>Tabla1[[#This Row],[Initial Risk $]]/Tabla1[[#This Row],[Position Size (shares)]]+Tabla1[[#This Row],[Entry Price]]</f>
        <v>14.1</v>
      </c>
      <c r="Q617" s="9">
        <f>Tabla1[[#This Row],[Initial Risk $]]/Tabla1[[#This Row],[Position Size (shares)]]*1.5+Tabla1[[#This Row],[Entry Price]]</f>
        <v>14.434999999999999</v>
      </c>
      <c r="R617" s="9">
        <f>Tabla1[[#This Row],[Initial Risk $]]/Tabla1[[#This Row],[Position Size (shares)]]*2+Tabla1[[#This Row],[Entry Price]]</f>
        <v>14.77</v>
      </c>
      <c r="S617" s="9">
        <f>Tabla1[[#This Row],[Initial Risk $]]/Tabla1[[#This Row],[Position Size (shares)]]*2.5+Tabla1[[#This Row],[Entry Price]]</f>
        <v>15.105</v>
      </c>
      <c r="T617" s="9">
        <f>Tabla1[[#This Row],[Initial Risk $]]/Tabla1[[#This Row],[Position Size (shares)]]*3+Tabla1[[#This Row],[Entry Price]]</f>
        <v>15.44</v>
      </c>
    </row>
    <row r="618" spans="1:20" s="10" customFormat="1" hidden="1" x14ac:dyDescent="0.25">
      <c r="A618" s="10" t="str">
        <f t="shared" si="213"/>
        <v>T-617</v>
      </c>
      <c r="B618" s="11">
        <v>46240</v>
      </c>
      <c r="C618" s="10" t="s">
        <v>181</v>
      </c>
      <c r="D618" s="10" t="s">
        <v>28</v>
      </c>
      <c r="E618" s="10" t="s">
        <v>58</v>
      </c>
      <c r="F618" s="10">
        <v>13.73</v>
      </c>
      <c r="G618" s="10">
        <v>13.37</v>
      </c>
      <c r="H618" s="10">
        <f>Tabla1[[#This Row],[Entry Price]]-(Tabla1[[#This Row],[Entry Price]]-Tabla1[[#This Row],[Initial Stop]])/2</f>
        <v>13.55</v>
      </c>
      <c r="I618" s="10">
        <v>25</v>
      </c>
      <c r="J618" s="10">
        <f t="shared" si="214"/>
        <v>9.0000000000000302</v>
      </c>
      <c r="K618" s="10">
        <v>1</v>
      </c>
      <c r="L618" s="10">
        <f t="shared" si="215"/>
        <v>9.0000000000000302</v>
      </c>
      <c r="M618" s="10" t="s">
        <v>72</v>
      </c>
      <c r="N618" s="10">
        <f>SUMIF(Executions!B:B,A618,Executions!H:H)</f>
        <v>2.0000000000000018</v>
      </c>
      <c r="O618" s="10">
        <f t="shared" si="216"/>
        <v>0.22222222222222168</v>
      </c>
      <c r="P618" s="12">
        <f>Tabla1[[#This Row],[Initial Risk $]]/Tabla1[[#This Row],[Position Size (shares)]]+Tabla1[[#This Row],[Entry Price]]</f>
        <v>14.090000000000002</v>
      </c>
      <c r="Q618" s="12">
        <f>Tabla1[[#This Row],[Initial Risk $]]/Tabla1[[#This Row],[Position Size (shares)]]*1.5+Tabla1[[#This Row],[Entry Price]]</f>
        <v>14.270000000000003</v>
      </c>
      <c r="R618" s="12">
        <f>Tabla1[[#This Row],[Initial Risk $]]/Tabla1[[#This Row],[Position Size (shares)]]*2+Tabla1[[#This Row],[Entry Price]]</f>
        <v>14.450000000000003</v>
      </c>
      <c r="S618" s="12">
        <f>Tabla1[[#This Row],[Initial Risk $]]/Tabla1[[#This Row],[Position Size (shares)]]*2.5+Tabla1[[#This Row],[Entry Price]]</f>
        <v>14.630000000000003</v>
      </c>
      <c r="T618" s="12">
        <f>Tabla1[[#This Row],[Initial Risk $]]/Tabla1[[#This Row],[Position Size (shares)]]*3+Tabla1[[#This Row],[Entry Price]]</f>
        <v>14.810000000000004</v>
      </c>
    </row>
    <row r="619" spans="1:20" hidden="1" x14ac:dyDescent="0.25">
      <c r="A619" s="7" t="str">
        <f t="shared" si="213"/>
        <v>T-618</v>
      </c>
      <c r="B619" s="8">
        <v>46240</v>
      </c>
      <c r="C619" s="7" t="s">
        <v>279</v>
      </c>
      <c r="D619" s="7" t="s">
        <v>28</v>
      </c>
      <c r="E619" s="7" t="s">
        <v>58</v>
      </c>
      <c r="F619" s="7">
        <v>900.61</v>
      </c>
      <c r="G619" s="7">
        <v>890.61</v>
      </c>
      <c r="H619" s="7">
        <f>Tabla1[[#This Row],[Entry Price]]-(Tabla1[[#This Row],[Entry Price]]-Tabla1[[#This Row],[Initial Stop]])/2</f>
        <v>895.61</v>
      </c>
      <c r="I619" s="7">
        <v>1</v>
      </c>
      <c r="J619" s="7">
        <f t="shared" si="214"/>
        <v>10</v>
      </c>
      <c r="K619" s="7">
        <v>1</v>
      </c>
      <c r="L619" s="7">
        <f t="shared" si="215"/>
        <v>10</v>
      </c>
      <c r="M619" s="7" t="s">
        <v>72</v>
      </c>
      <c r="N619" s="7">
        <f>SUMIF(Executions!B:B,A619,Executions!H:H)</f>
        <v>11</v>
      </c>
      <c r="O619" s="7">
        <f t="shared" si="216"/>
        <v>1.1000000000000001</v>
      </c>
      <c r="P619" s="9">
        <f>Tabla1[[#This Row],[Initial Risk $]]/Tabla1[[#This Row],[Position Size (shares)]]+Tabla1[[#This Row],[Entry Price]]</f>
        <v>910.61</v>
      </c>
      <c r="Q619" s="9">
        <f>Tabla1[[#This Row],[Initial Risk $]]/Tabla1[[#This Row],[Position Size (shares)]]*1.5+Tabla1[[#This Row],[Entry Price]]</f>
        <v>915.61</v>
      </c>
      <c r="R619" s="9">
        <f>Tabla1[[#This Row],[Initial Risk $]]/Tabla1[[#This Row],[Position Size (shares)]]*2+Tabla1[[#This Row],[Entry Price]]</f>
        <v>920.61</v>
      </c>
      <c r="S619" s="9">
        <f>Tabla1[[#This Row],[Initial Risk $]]/Tabla1[[#This Row],[Position Size (shares)]]*2.5+Tabla1[[#This Row],[Entry Price]]</f>
        <v>925.61</v>
      </c>
      <c r="T619" s="9">
        <f>Tabla1[[#This Row],[Initial Risk $]]/Tabla1[[#This Row],[Position Size (shares)]]*3+Tabla1[[#This Row],[Entry Price]]</f>
        <v>930.61</v>
      </c>
    </row>
    <row r="620" spans="1:20" hidden="1" x14ac:dyDescent="0.25">
      <c r="A620" s="7" t="str">
        <f t="shared" si="213"/>
        <v>T-619</v>
      </c>
      <c r="B620" s="8">
        <v>46240</v>
      </c>
      <c r="C620" s="7" t="s">
        <v>154</v>
      </c>
      <c r="D620" s="7" t="s">
        <v>28</v>
      </c>
      <c r="E620" s="7" t="s">
        <v>27</v>
      </c>
      <c r="F620" s="7">
        <v>359.28</v>
      </c>
      <c r="G620" s="7">
        <v>356</v>
      </c>
      <c r="H620" s="7">
        <f>Tabla1[[#This Row],[Entry Price]]-(Tabla1[[#This Row],[Entry Price]]-Tabla1[[#This Row],[Initial Stop]])/2</f>
        <v>357.64</v>
      </c>
      <c r="I620" s="7">
        <v>2</v>
      </c>
      <c r="J620" s="7">
        <f t="shared" si="214"/>
        <v>6.5599999999999454</v>
      </c>
      <c r="K620" s="7">
        <v>1</v>
      </c>
      <c r="L620" s="7">
        <f t="shared" si="215"/>
        <v>6.5599999999999454</v>
      </c>
      <c r="M620" s="7" t="s">
        <v>72</v>
      </c>
      <c r="N620" s="7">
        <f>SUMIF(Executions!B:B,A620,Executions!H:H)</f>
        <v>-6.5599999999999454</v>
      </c>
      <c r="O620" s="7">
        <f t="shared" si="216"/>
        <v>-1</v>
      </c>
      <c r="P620" s="9">
        <f>Tabla1[[#This Row],[Initial Risk $]]/Tabla1[[#This Row],[Position Size (shares)]]+Tabla1[[#This Row],[Entry Price]]</f>
        <v>362.55999999999995</v>
      </c>
      <c r="Q620" s="9">
        <f>Tabla1[[#This Row],[Initial Risk $]]/Tabla1[[#This Row],[Position Size (shares)]]*1.5+Tabla1[[#This Row],[Entry Price]]</f>
        <v>364.19999999999993</v>
      </c>
      <c r="R620" s="9">
        <f>Tabla1[[#This Row],[Initial Risk $]]/Tabla1[[#This Row],[Position Size (shares)]]*2+Tabla1[[#This Row],[Entry Price]]</f>
        <v>365.83999999999992</v>
      </c>
      <c r="S620" s="9">
        <f>Tabla1[[#This Row],[Initial Risk $]]/Tabla1[[#This Row],[Position Size (shares)]]*2.5+Tabla1[[#This Row],[Entry Price]]</f>
        <v>367.4799999999999</v>
      </c>
      <c r="T620" s="9">
        <f>Tabla1[[#This Row],[Initial Risk $]]/Tabla1[[#This Row],[Position Size (shares)]]*3+Tabla1[[#This Row],[Entry Price]]</f>
        <v>369.11999999999989</v>
      </c>
    </row>
    <row r="621" spans="1:20" hidden="1" x14ac:dyDescent="0.25">
      <c r="A621" s="7" t="str">
        <f t="shared" si="213"/>
        <v>T-620</v>
      </c>
      <c r="B621" s="8">
        <v>46240</v>
      </c>
      <c r="C621" s="7" t="s">
        <v>202</v>
      </c>
      <c r="D621" s="7" t="s">
        <v>28</v>
      </c>
      <c r="E621" s="7" t="s">
        <v>27</v>
      </c>
      <c r="F621" s="7">
        <v>7.19</v>
      </c>
      <c r="G621" s="7">
        <v>7.01</v>
      </c>
      <c r="H621" s="7">
        <f>Tabla1[[#This Row],[Entry Price]]-(Tabla1[[#This Row],[Entry Price]]-Tabla1[[#This Row],[Initial Stop]])/2</f>
        <v>7.1</v>
      </c>
      <c r="I621" s="7">
        <v>50</v>
      </c>
      <c r="J621" s="7">
        <f t="shared" si="214"/>
        <v>9.0000000000000302</v>
      </c>
      <c r="K621" s="7">
        <v>1</v>
      </c>
      <c r="L621" s="7">
        <f t="shared" si="215"/>
        <v>9.0000000000000302</v>
      </c>
      <c r="M621" s="7" t="s">
        <v>72</v>
      </c>
      <c r="N621" s="7">
        <f>SUMIF(Executions!B:B,A621,Executions!H:H)</f>
        <v>-9.0000000000000302</v>
      </c>
      <c r="O621" s="7">
        <f t="shared" si="216"/>
        <v>-1</v>
      </c>
      <c r="P621" s="9">
        <f>Tabla1[[#This Row],[Initial Risk $]]/Tabla1[[#This Row],[Position Size (shares)]]+Tabla1[[#This Row],[Entry Price]]</f>
        <v>7.370000000000001</v>
      </c>
      <c r="Q621" s="9">
        <f>Tabla1[[#This Row],[Initial Risk $]]/Tabla1[[#This Row],[Position Size (shares)]]*1.5+Tabla1[[#This Row],[Entry Price]]</f>
        <v>7.4600000000000009</v>
      </c>
      <c r="R621" s="9">
        <f>Tabla1[[#This Row],[Initial Risk $]]/Tabla1[[#This Row],[Position Size (shares)]]*2+Tabla1[[#This Row],[Entry Price]]</f>
        <v>7.5500000000000016</v>
      </c>
      <c r="S621" s="9">
        <f>Tabla1[[#This Row],[Initial Risk $]]/Tabla1[[#This Row],[Position Size (shares)]]*2.5+Tabla1[[#This Row],[Entry Price]]</f>
        <v>7.6400000000000023</v>
      </c>
      <c r="T621" s="9">
        <f>Tabla1[[#This Row],[Initial Risk $]]/Tabla1[[#This Row],[Position Size (shares)]]*3+Tabla1[[#This Row],[Entry Price]]</f>
        <v>7.7300000000000022</v>
      </c>
    </row>
    <row r="622" spans="1:20" hidden="1" x14ac:dyDescent="0.25">
      <c r="A622" s="7" t="str">
        <f t="shared" si="213"/>
        <v>T-621</v>
      </c>
      <c r="B622" s="8">
        <v>46240</v>
      </c>
      <c r="C622" s="7" t="s">
        <v>279</v>
      </c>
      <c r="D622" s="7" t="s">
        <v>28</v>
      </c>
      <c r="E622" s="7" t="s">
        <v>119</v>
      </c>
      <c r="F622" s="7">
        <v>893.15</v>
      </c>
      <c r="G622" s="7">
        <v>880.15</v>
      </c>
      <c r="H622" s="7">
        <f>Tabla1[[#This Row],[Entry Price]]-(Tabla1[[#This Row],[Entry Price]]-Tabla1[[#This Row],[Initial Stop]])/2</f>
        <v>886.65</v>
      </c>
      <c r="I622" s="7">
        <v>1</v>
      </c>
      <c r="J622" s="7">
        <f t="shared" si="214"/>
        <v>13</v>
      </c>
      <c r="K622" s="7">
        <v>1</v>
      </c>
      <c r="L622" s="7">
        <f t="shared" si="215"/>
        <v>13</v>
      </c>
      <c r="M622" s="7" t="s">
        <v>72</v>
      </c>
      <c r="N622" s="7">
        <f>SUMIF(Executions!B:B,A622,Executions!H:H)</f>
        <v>-9.7400000000000091</v>
      </c>
      <c r="O622" s="7">
        <f t="shared" si="216"/>
        <v>-0.74923076923076992</v>
      </c>
      <c r="P622" s="9">
        <f>Tabla1[[#This Row],[Initial Risk $]]/Tabla1[[#This Row],[Position Size (shares)]]+Tabla1[[#This Row],[Entry Price]]</f>
        <v>906.15</v>
      </c>
      <c r="Q622" s="9">
        <f>Tabla1[[#This Row],[Initial Risk $]]/Tabla1[[#This Row],[Position Size (shares)]]*1.5+Tabla1[[#This Row],[Entry Price]]</f>
        <v>912.65</v>
      </c>
      <c r="R622" s="9">
        <f>Tabla1[[#This Row],[Initial Risk $]]/Tabla1[[#This Row],[Position Size (shares)]]*2+Tabla1[[#This Row],[Entry Price]]</f>
        <v>919.15</v>
      </c>
      <c r="S622" s="9">
        <f>Tabla1[[#This Row],[Initial Risk $]]/Tabla1[[#This Row],[Position Size (shares)]]*2.5+Tabla1[[#This Row],[Entry Price]]</f>
        <v>925.65</v>
      </c>
      <c r="T622" s="9">
        <f>Tabla1[[#This Row],[Initial Risk $]]/Tabla1[[#This Row],[Position Size (shares)]]*3+Tabla1[[#This Row],[Entry Price]]</f>
        <v>932.15</v>
      </c>
    </row>
    <row r="623" spans="1:20" hidden="1" x14ac:dyDescent="0.25">
      <c r="A623" s="7" t="str">
        <f t="shared" ref="A623:A631" si="217">"T-"&amp; TEXT(ROW()-1,"000")</f>
        <v>T-622</v>
      </c>
      <c r="B623" s="8">
        <v>46241</v>
      </c>
      <c r="C623" s="7" t="s">
        <v>279</v>
      </c>
      <c r="D623" s="7" t="s">
        <v>28</v>
      </c>
      <c r="E623" s="7" t="s">
        <v>58</v>
      </c>
      <c r="F623" s="7">
        <v>900</v>
      </c>
      <c r="G623" s="7">
        <v>890</v>
      </c>
      <c r="H623" s="7">
        <f>Tabla1[[#This Row],[Entry Price]]-(Tabla1[[#This Row],[Entry Price]]-Tabla1[[#This Row],[Initial Stop]])/2</f>
        <v>895</v>
      </c>
      <c r="I623" s="7">
        <v>1</v>
      </c>
      <c r="J623" s="7">
        <f t="shared" ref="J623:J631" si="218">IF(D623="Long",(F623-G623)*I623,(G623-F623)*0)</f>
        <v>10</v>
      </c>
      <c r="K623" s="7">
        <v>1</v>
      </c>
      <c r="L623" s="7">
        <f t="shared" ref="L623:L631" si="219">J623*K623</f>
        <v>10</v>
      </c>
      <c r="M623" s="7" t="s">
        <v>72</v>
      </c>
      <c r="N623" s="7">
        <f>SUMIF(Executions!B:B,A623,Executions!H:H)</f>
        <v>-11</v>
      </c>
      <c r="O623" s="7">
        <f t="shared" ref="O623:O631" si="220">N623/J623</f>
        <v>-1.1000000000000001</v>
      </c>
      <c r="P623" s="9">
        <f>Tabla1[[#This Row],[Initial Risk $]]/Tabla1[[#This Row],[Position Size (shares)]]+Tabla1[[#This Row],[Entry Price]]</f>
        <v>910</v>
      </c>
      <c r="Q623" s="9">
        <f>Tabla1[[#This Row],[Initial Risk $]]/Tabla1[[#This Row],[Position Size (shares)]]*1.5+Tabla1[[#This Row],[Entry Price]]</f>
        <v>915</v>
      </c>
      <c r="R623" s="9">
        <f>Tabla1[[#This Row],[Initial Risk $]]/Tabla1[[#This Row],[Position Size (shares)]]*2+Tabla1[[#This Row],[Entry Price]]</f>
        <v>920</v>
      </c>
      <c r="S623" s="9">
        <f>Tabla1[[#This Row],[Initial Risk $]]/Tabla1[[#This Row],[Position Size (shares)]]*2.5+Tabla1[[#This Row],[Entry Price]]</f>
        <v>925</v>
      </c>
      <c r="T623" s="9">
        <f>Tabla1[[#This Row],[Initial Risk $]]/Tabla1[[#This Row],[Position Size (shares)]]*3+Tabla1[[#This Row],[Entry Price]]</f>
        <v>930</v>
      </c>
    </row>
    <row r="624" spans="1:20" hidden="1" x14ac:dyDescent="0.25">
      <c r="A624" s="7" t="str">
        <f t="shared" si="217"/>
        <v>T-623</v>
      </c>
      <c r="B624" s="8">
        <v>46241</v>
      </c>
      <c r="C624" s="7" t="s">
        <v>181</v>
      </c>
      <c r="D624" s="7" t="s">
        <v>28</v>
      </c>
      <c r="E624" s="7" t="s">
        <v>58</v>
      </c>
      <c r="F624" s="7">
        <v>14.57</v>
      </c>
      <c r="G624" s="7">
        <v>14.21</v>
      </c>
      <c r="H624" s="7">
        <f>Tabla1[[#This Row],[Entry Price]]-(Tabla1[[#This Row],[Entry Price]]-Tabla1[[#This Row],[Initial Stop]])/2</f>
        <v>14.39</v>
      </c>
      <c r="I624" s="7">
        <v>30</v>
      </c>
      <c r="J624" s="7">
        <f t="shared" si="218"/>
        <v>10.799999999999983</v>
      </c>
      <c r="K624" s="7">
        <v>1</v>
      </c>
      <c r="L624" s="7">
        <f t="shared" si="219"/>
        <v>10.799999999999983</v>
      </c>
      <c r="M624" s="7" t="s">
        <v>72</v>
      </c>
      <c r="N624" s="7">
        <f>SUMIF(Executions!B:B,A624,Executions!H:H)</f>
        <v>10.799999999999983</v>
      </c>
      <c r="O624" s="7">
        <f t="shared" si="220"/>
        <v>1</v>
      </c>
      <c r="P624" s="9">
        <f>Tabla1[[#This Row],[Initial Risk $]]/Tabla1[[#This Row],[Position Size (shares)]]+Tabla1[[#This Row],[Entry Price]]</f>
        <v>14.93</v>
      </c>
      <c r="Q624" s="9">
        <f>Tabla1[[#This Row],[Initial Risk $]]/Tabla1[[#This Row],[Position Size (shares)]]*1.5+Tabla1[[#This Row],[Entry Price]]</f>
        <v>15.11</v>
      </c>
      <c r="R624" s="9">
        <f>Tabla1[[#This Row],[Initial Risk $]]/Tabla1[[#This Row],[Position Size (shares)]]*2+Tabla1[[#This Row],[Entry Price]]</f>
        <v>15.29</v>
      </c>
      <c r="S624" s="9">
        <f>Tabla1[[#This Row],[Initial Risk $]]/Tabla1[[#This Row],[Position Size (shares)]]*2.5+Tabla1[[#This Row],[Entry Price]]</f>
        <v>15.469999999999999</v>
      </c>
      <c r="T624" s="9">
        <f>Tabla1[[#This Row],[Initial Risk $]]/Tabla1[[#This Row],[Position Size (shares)]]*3+Tabla1[[#This Row],[Entry Price]]</f>
        <v>15.649999999999999</v>
      </c>
    </row>
    <row r="625" spans="1:20" hidden="1" x14ac:dyDescent="0.25">
      <c r="A625" s="7" t="str">
        <f t="shared" si="217"/>
        <v>T-624</v>
      </c>
      <c r="B625" s="8">
        <v>46241</v>
      </c>
      <c r="C625" s="7" t="s">
        <v>101</v>
      </c>
      <c r="D625" s="7" t="s">
        <v>28</v>
      </c>
      <c r="E625" s="7" t="s">
        <v>58</v>
      </c>
      <c r="F625" s="7">
        <v>15.28</v>
      </c>
      <c r="G625" s="7">
        <v>14.37</v>
      </c>
      <c r="H625" s="7">
        <f>Tabla1[[#This Row],[Entry Price]]-(Tabla1[[#This Row],[Entry Price]]-Tabla1[[#This Row],[Initial Stop]])/2</f>
        <v>14.824999999999999</v>
      </c>
      <c r="I625" s="7">
        <v>12</v>
      </c>
      <c r="J625" s="7">
        <f t="shared" si="218"/>
        <v>10.920000000000002</v>
      </c>
      <c r="K625" s="7">
        <v>1</v>
      </c>
      <c r="L625" s="7">
        <f t="shared" si="219"/>
        <v>10.920000000000002</v>
      </c>
      <c r="M625" s="7" t="s">
        <v>72</v>
      </c>
      <c r="N625" s="7">
        <f>SUMIF(Executions!B:B,A625,Executions!H:H)</f>
        <v>-11.399999999999991</v>
      </c>
      <c r="O625" s="7">
        <f t="shared" si="220"/>
        <v>-1.0439560439560429</v>
      </c>
      <c r="P625" s="9">
        <f>Tabla1[[#This Row],[Initial Risk $]]/Tabla1[[#This Row],[Position Size (shares)]]+Tabla1[[#This Row],[Entry Price]]</f>
        <v>16.189999999999998</v>
      </c>
      <c r="Q625" s="9">
        <f>Tabla1[[#This Row],[Initial Risk $]]/Tabla1[[#This Row],[Position Size (shares)]]*1.5+Tabla1[[#This Row],[Entry Price]]</f>
        <v>16.645</v>
      </c>
      <c r="R625" s="9">
        <f>Tabla1[[#This Row],[Initial Risk $]]/Tabla1[[#This Row],[Position Size (shares)]]*2+Tabla1[[#This Row],[Entry Price]]</f>
        <v>17.100000000000001</v>
      </c>
      <c r="S625" s="9">
        <f>Tabla1[[#This Row],[Initial Risk $]]/Tabla1[[#This Row],[Position Size (shares)]]*2.5+Tabla1[[#This Row],[Entry Price]]</f>
        <v>17.555</v>
      </c>
      <c r="T625" s="9">
        <f>Tabla1[[#This Row],[Initial Risk $]]/Tabla1[[#This Row],[Position Size (shares)]]*3+Tabla1[[#This Row],[Entry Price]]</f>
        <v>18.009999999999998</v>
      </c>
    </row>
    <row r="626" spans="1:20" hidden="1" x14ac:dyDescent="0.25">
      <c r="A626" s="7" t="str">
        <f t="shared" si="217"/>
        <v>T-625</v>
      </c>
      <c r="B626" s="8">
        <v>46241</v>
      </c>
      <c r="C626" s="7" t="s">
        <v>135</v>
      </c>
      <c r="D626" s="7" t="s">
        <v>28</v>
      </c>
      <c r="E626" s="7" t="s">
        <v>58</v>
      </c>
      <c r="F626" s="7">
        <v>295.58999999999997</v>
      </c>
      <c r="G626" s="7">
        <v>282.5</v>
      </c>
      <c r="H626" s="7">
        <f>Tabla1[[#This Row],[Entry Price]]-(Tabla1[[#This Row],[Entry Price]]-Tabla1[[#This Row],[Initial Stop]])/2</f>
        <v>289.04499999999996</v>
      </c>
      <c r="I626" s="7">
        <v>4</v>
      </c>
      <c r="J626" s="7">
        <f t="shared" si="218"/>
        <v>52.3599999999999</v>
      </c>
      <c r="K626" s="7">
        <v>1</v>
      </c>
      <c r="L626" s="7">
        <f t="shared" si="219"/>
        <v>52.3599999999999</v>
      </c>
      <c r="M626" s="7" t="s">
        <v>72</v>
      </c>
      <c r="N626" s="7">
        <f>SUMIF(Executions!B:B,A626,Executions!H:H)</f>
        <v>-52.3599999999999</v>
      </c>
      <c r="O626" s="7">
        <f t="shared" si="220"/>
        <v>-1</v>
      </c>
      <c r="P626" s="9">
        <f>Tabla1[[#This Row],[Initial Risk $]]/Tabla1[[#This Row],[Position Size (shares)]]+Tabla1[[#This Row],[Entry Price]]</f>
        <v>308.67999999999995</v>
      </c>
      <c r="Q626" s="9">
        <f>Tabla1[[#This Row],[Initial Risk $]]/Tabla1[[#This Row],[Position Size (shares)]]*1.5+Tabla1[[#This Row],[Entry Price]]</f>
        <v>315.22499999999991</v>
      </c>
      <c r="R626" s="9">
        <f>Tabla1[[#This Row],[Initial Risk $]]/Tabla1[[#This Row],[Position Size (shares)]]*2+Tabla1[[#This Row],[Entry Price]]</f>
        <v>321.76999999999992</v>
      </c>
      <c r="S626" s="9">
        <f>Tabla1[[#This Row],[Initial Risk $]]/Tabla1[[#This Row],[Position Size (shares)]]*2.5+Tabla1[[#This Row],[Entry Price]]</f>
        <v>328.31499999999994</v>
      </c>
      <c r="T626" s="9">
        <f>Tabla1[[#This Row],[Initial Risk $]]/Tabla1[[#This Row],[Position Size (shares)]]*3+Tabla1[[#This Row],[Entry Price]]</f>
        <v>334.8599999999999</v>
      </c>
    </row>
    <row r="627" spans="1:20" hidden="1" x14ac:dyDescent="0.25">
      <c r="A627" s="7" t="str">
        <f t="shared" si="217"/>
        <v>T-626</v>
      </c>
      <c r="B627" s="8">
        <v>46241</v>
      </c>
      <c r="C627" s="7" t="s">
        <v>173</v>
      </c>
      <c r="D627" s="7" t="s">
        <v>28</v>
      </c>
      <c r="E627" s="7" t="s">
        <v>58</v>
      </c>
      <c r="F627" s="7">
        <v>165.61</v>
      </c>
      <c r="G627" s="7">
        <v>163.01</v>
      </c>
      <c r="H627" s="7">
        <f>Tabla1[[#This Row],[Entry Price]]-(Tabla1[[#This Row],[Entry Price]]-Tabla1[[#This Row],[Initial Stop]])/2</f>
        <v>164.31</v>
      </c>
      <c r="I627" s="7">
        <v>5</v>
      </c>
      <c r="J627" s="7">
        <f t="shared" si="218"/>
        <v>13.000000000000114</v>
      </c>
      <c r="K627" s="7">
        <v>1</v>
      </c>
      <c r="L627" s="7">
        <f t="shared" si="219"/>
        <v>13.000000000000114</v>
      </c>
      <c r="M627" s="7" t="s">
        <v>72</v>
      </c>
      <c r="N627" s="7">
        <f>SUMIF(Executions!B:B,A627,Executions!H:H)</f>
        <v>15.599999999999881</v>
      </c>
      <c r="O627" s="7">
        <f t="shared" si="220"/>
        <v>1.1999999999999804</v>
      </c>
      <c r="P627" s="9">
        <f>Tabla1[[#This Row],[Initial Risk $]]/Tabla1[[#This Row],[Position Size (shares)]]+Tabla1[[#This Row],[Entry Price]]</f>
        <v>168.21000000000004</v>
      </c>
      <c r="Q627" s="9">
        <f>Tabla1[[#This Row],[Initial Risk $]]/Tabla1[[#This Row],[Position Size (shares)]]*1.5+Tabla1[[#This Row],[Entry Price]]</f>
        <v>169.51000000000005</v>
      </c>
      <c r="R627" s="9">
        <f>Tabla1[[#This Row],[Initial Risk $]]/Tabla1[[#This Row],[Position Size (shares)]]*2+Tabla1[[#This Row],[Entry Price]]</f>
        <v>170.81000000000006</v>
      </c>
      <c r="S627" s="9">
        <f>Tabla1[[#This Row],[Initial Risk $]]/Tabla1[[#This Row],[Position Size (shares)]]*2.5+Tabla1[[#This Row],[Entry Price]]</f>
        <v>172.11000000000007</v>
      </c>
      <c r="T627" s="9">
        <f>Tabla1[[#This Row],[Initial Risk $]]/Tabla1[[#This Row],[Position Size (shares)]]*3+Tabla1[[#This Row],[Entry Price]]</f>
        <v>173.41000000000008</v>
      </c>
    </row>
    <row r="628" spans="1:20" hidden="1" x14ac:dyDescent="0.25">
      <c r="A628" s="7" t="str">
        <f t="shared" si="217"/>
        <v>T-627</v>
      </c>
      <c r="B628" s="8">
        <v>46241</v>
      </c>
      <c r="C628" s="7" t="s">
        <v>399</v>
      </c>
      <c r="D628" s="7" t="s">
        <v>28</v>
      </c>
      <c r="E628" s="7" t="s">
        <v>58</v>
      </c>
      <c r="F628" s="7">
        <v>28.79</v>
      </c>
      <c r="G628" s="7">
        <v>28.22</v>
      </c>
      <c r="H628" s="7">
        <f>Tabla1[[#This Row],[Entry Price]]-(Tabla1[[#This Row],[Entry Price]]-Tabla1[[#This Row],[Initial Stop]])/2</f>
        <v>28.504999999999999</v>
      </c>
      <c r="I628" s="7">
        <v>20</v>
      </c>
      <c r="J628" s="7">
        <f t="shared" si="218"/>
        <v>11.400000000000006</v>
      </c>
      <c r="K628" s="7">
        <v>1</v>
      </c>
      <c r="L628" s="7">
        <f t="shared" si="219"/>
        <v>11.400000000000006</v>
      </c>
      <c r="M628" s="7" t="s">
        <v>72</v>
      </c>
      <c r="N628" s="7">
        <f>SUMIF(Executions!B:B,A628,Executions!H:H)</f>
        <v>14.600000000000009</v>
      </c>
      <c r="O628" s="7">
        <f t="shared" si="220"/>
        <v>1.2807017543859651</v>
      </c>
      <c r="P628" s="9">
        <f>Tabla1[[#This Row],[Initial Risk $]]/Tabla1[[#This Row],[Position Size (shares)]]+Tabla1[[#This Row],[Entry Price]]</f>
        <v>29.36</v>
      </c>
      <c r="Q628" s="9">
        <f>Tabla1[[#This Row],[Initial Risk $]]/Tabla1[[#This Row],[Position Size (shares)]]*1.5+Tabla1[[#This Row],[Entry Price]]</f>
        <v>29.645</v>
      </c>
      <c r="R628" s="9">
        <f>Tabla1[[#This Row],[Initial Risk $]]/Tabla1[[#This Row],[Position Size (shares)]]*2+Tabla1[[#This Row],[Entry Price]]</f>
        <v>29.93</v>
      </c>
      <c r="S628" s="9">
        <f>Tabla1[[#This Row],[Initial Risk $]]/Tabla1[[#This Row],[Position Size (shares)]]*2.5+Tabla1[[#This Row],[Entry Price]]</f>
        <v>30.215</v>
      </c>
      <c r="T628" s="9">
        <f>Tabla1[[#This Row],[Initial Risk $]]/Tabla1[[#This Row],[Position Size (shares)]]*3+Tabla1[[#This Row],[Entry Price]]</f>
        <v>30.5</v>
      </c>
    </row>
    <row r="629" spans="1:20" hidden="1" x14ac:dyDescent="0.25">
      <c r="A629" s="7" t="str">
        <f t="shared" si="217"/>
        <v>T-628</v>
      </c>
      <c r="B629" s="8">
        <v>46241</v>
      </c>
      <c r="C629" s="7" t="s">
        <v>750</v>
      </c>
      <c r="D629" s="7" t="s">
        <v>28</v>
      </c>
      <c r="E629" s="7" t="s">
        <v>58</v>
      </c>
      <c r="F629" s="7">
        <v>60</v>
      </c>
      <c r="G629" s="7">
        <v>59.47</v>
      </c>
      <c r="H629" s="7">
        <f>Tabla1[[#This Row],[Entry Price]]-(Tabla1[[#This Row],[Entry Price]]-Tabla1[[#This Row],[Initial Stop]])/2</f>
        <v>59.734999999999999</v>
      </c>
      <c r="I629" s="7">
        <v>20</v>
      </c>
      <c r="J629" s="7">
        <f t="shared" si="218"/>
        <v>10.600000000000023</v>
      </c>
      <c r="K629" s="7">
        <v>1</v>
      </c>
      <c r="L629" s="7">
        <f t="shared" si="219"/>
        <v>10.600000000000023</v>
      </c>
      <c r="M629" s="7" t="s">
        <v>72</v>
      </c>
      <c r="N629" s="7">
        <f>SUMIF(Executions!B:B,A629,Executions!H:H)</f>
        <v>-10.600000000000023</v>
      </c>
      <c r="O629" s="7">
        <f t="shared" si="220"/>
        <v>-1</v>
      </c>
      <c r="P629" s="9">
        <f>Tabla1[[#This Row],[Initial Risk $]]/Tabla1[[#This Row],[Position Size (shares)]]+Tabla1[[#This Row],[Entry Price]]</f>
        <v>60.53</v>
      </c>
      <c r="Q629" s="9">
        <f>Tabla1[[#This Row],[Initial Risk $]]/Tabla1[[#This Row],[Position Size (shares)]]*1.5+Tabla1[[#This Row],[Entry Price]]</f>
        <v>60.795000000000002</v>
      </c>
      <c r="R629" s="9">
        <f>Tabla1[[#This Row],[Initial Risk $]]/Tabla1[[#This Row],[Position Size (shares)]]*2+Tabla1[[#This Row],[Entry Price]]</f>
        <v>61.06</v>
      </c>
      <c r="S629" s="9">
        <f>Tabla1[[#This Row],[Initial Risk $]]/Tabla1[[#This Row],[Position Size (shares)]]*2.5+Tabla1[[#This Row],[Entry Price]]</f>
        <v>61.325000000000003</v>
      </c>
      <c r="T629" s="9">
        <f>Tabla1[[#This Row],[Initial Risk $]]/Tabla1[[#This Row],[Position Size (shares)]]*3+Tabla1[[#This Row],[Entry Price]]</f>
        <v>61.59</v>
      </c>
    </row>
    <row r="630" spans="1:20" hidden="1" x14ac:dyDescent="0.25">
      <c r="A630" s="7" t="str">
        <f t="shared" si="217"/>
        <v>T-629</v>
      </c>
      <c r="B630" s="8">
        <v>46241</v>
      </c>
      <c r="C630" s="7" t="s">
        <v>279</v>
      </c>
      <c r="D630" s="7" t="s">
        <v>28</v>
      </c>
      <c r="E630" s="7" t="s">
        <v>27</v>
      </c>
      <c r="F630" s="7">
        <v>869.6</v>
      </c>
      <c r="G630" s="7">
        <v>859.6</v>
      </c>
      <c r="H630" s="7">
        <f>Tabla1[[#This Row],[Entry Price]]-(Tabla1[[#This Row],[Entry Price]]-Tabla1[[#This Row],[Initial Stop]])/2</f>
        <v>864.6</v>
      </c>
      <c r="I630" s="7">
        <v>2</v>
      </c>
      <c r="J630" s="7">
        <f t="shared" si="218"/>
        <v>20</v>
      </c>
      <c r="K630" s="7">
        <v>1</v>
      </c>
      <c r="L630" s="7">
        <f t="shared" si="219"/>
        <v>20</v>
      </c>
      <c r="M630" s="7" t="s">
        <v>72</v>
      </c>
      <c r="N630" s="7">
        <f>SUMIF(Executions!B:B,A630,Executions!H:H)</f>
        <v>19.919999999999845</v>
      </c>
      <c r="O630" s="7">
        <f t="shared" si="220"/>
        <v>0.99599999999999222</v>
      </c>
      <c r="P630" s="9">
        <f>Tabla1[[#This Row],[Initial Risk $]]/Tabla1[[#This Row],[Position Size (shares)]]+Tabla1[[#This Row],[Entry Price]]</f>
        <v>879.6</v>
      </c>
      <c r="Q630" s="9">
        <f>Tabla1[[#This Row],[Initial Risk $]]/Tabla1[[#This Row],[Position Size (shares)]]*1.5+Tabla1[[#This Row],[Entry Price]]</f>
        <v>884.6</v>
      </c>
      <c r="R630" s="9">
        <f>Tabla1[[#This Row],[Initial Risk $]]/Tabla1[[#This Row],[Position Size (shares)]]*2+Tabla1[[#This Row],[Entry Price]]</f>
        <v>889.6</v>
      </c>
      <c r="S630" s="9">
        <f>Tabla1[[#This Row],[Initial Risk $]]/Tabla1[[#This Row],[Position Size (shares)]]*2.5+Tabla1[[#This Row],[Entry Price]]</f>
        <v>894.6</v>
      </c>
      <c r="T630" s="9">
        <f>Tabla1[[#This Row],[Initial Risk $]]/Tabla1[[#This Row],[Position Size (shares)]]*3+Tabla1[[#This Row],[Entry Price]]</f>
        <v>899.6</v>
      </c>
    </row>
    <row r="631" spans="1:20" hidden="1" x14ac:dyDescent="0.25">
      <c r="A631" s="7" t="str">
        <f t="shared" si="217"/>
        <v>T-630</v>
      </c>
      <c r="B631" s="8">
        <v>46241</v>
      </c>
      <c r="C631" s="7" t="s">
        <v>202</v>
      </c>
      <c r="D631" s="7" t="s">
        <v>28</v>
      </c>
      <c r="E631" s="7" t="s">
        <v>58</v>
      </c>
      <c r="F631" s="7">
        <v>7.67</v>
      </c>
      <c r="G631" s="7">
        <v>7.17</v>
      </c>
      <c r="H631" s="7">
        <f>Tabla1[[#This Row],[Entry Price]]-(Tabla1[[#This Row],[Entry Price]]-Tabla1[[#This Row],[Initial Stop]])/2</f>
        <v>7.42</v>
      </c>
      <c r="I631" s="7">
        <v>20</v>
      </c>
      <c r="J631" s="7">
        <f t="shared" si="218"/>
        <v>10</v>
      </c>
      <c r="K631" s="7">
        <v>1</v>
      </c>
      <c r="L631" s="7">
        <f t="shared" si="219"/>
        <v>10</v>
      </c>
      <c r="M631" s="7" t="s">
        <v>72</v>
      </c>
      <c r="N631" s="7">
        <f>SUMIF(Executions!B:B,A631,Executions!H:H)</f>
        <v>-10.199999999999996</v>
      </c>
      <c r="O631" s="7">
        <f t="shared" si="220"/>
        <v>-1.0199999999999996</v>
      </c>
      <c r="P631" s="9">
        <f>Tabla1[[#This Row],[Initial Risk $]]/Tabla1[[#This Row],[Position Size (shares)]]+Tabla1[[#This Row],[Entry Price]]</f>
        <v>8.17</v>
      </c>
      <c r="Q631" s="9">
        <f>Tabla1[[#This Row],[Initial Risk $]]/Tabla1[[#This Row],[Position Size (shares)]]*1.5+Tabla1[[#This Row],[Entry Price]]</f>
        <v>8.42</v>
      </c>
      <c r="R631" s="9">
        <f>Tabla1[[#This Row],[Initial Risk $]]/Tabla1[[#This Row],[Position Size (shares)]]*2+Tabla1[[#This Row],[Entry Price]]</f>
        <v>8.67</v>
      </c>
      <c r="S631" s="9">
        <f>Tabla1[[#This Row],[Initial Risk $]]/Tabla1[[#This Row],[Position Size (shares)]]*2.5+Tabla1[[#This Row],[Entry Price]]</f>
        <v>8.92</v>
      </c>
      <c r="T631" s="9">
        <f>Tabla1[[#This Row],[Initial Risk $]]/Tabla1[[#This Row],[Position Size (shares)]]*3+Tabla1[[#This Row],[Entry Price]]</f>
        <v>9.17</v>
      </c>
    </row>
    <row r="632" spans="1:20" hidden="1" x14ac:dyDescent="0.25">
      <c r="A632" s="7" t="str">
        <f t="shared" ref="A632:A640" si="221">"T-"&amp; TEXT(ROW()-1,"000")</f>
        <v>T-631</v>
      </c>
      <c r="B632" s="8">
        <v>46244</v>
      </c>
      <c r="C632" s="7" t="s">
        <v>279</v>
      </c>
      <c r="D632" s="7" t="s">
        <v>28</v>
      </c>
      <c r="E632" s="7" t="s">
        <v>58</v>
      </c>
      <c r="F632" s="7">
        <v>866.98</v>
      </c>
      <c r="G632" s="7">
        <v>854</v>
      </c>
      <c r="H632" s="7">
        <f>Tabla1[[#This Row],[Entry Price]]-(Tabla1[[#This Row],[Entry Price]]-Tabla1[[#This Row],[Initial Stop]])/2</f>
        <v>860.49</v>
      </c>
      <c r="I632" s="7">
        <v>1</v>
      </c>
      <c r="J632" s="7">
        <f t="shared" ref="J632:J640" si="222">IF(D632="Long",(F632-G632)*I632,(G632-F632)*0)</f>
        <v>12.980000000000018</v>
      </c>
      <c r="K632" s="7">
        <v>1</v>
      </c>
      <c r="L632" s="7">
        <f t="shared" ref="L632:L640" si="223">J632*K632</f>
        <v>12.980000000000018</v>
      </c>
      <c r="M632" s="7" t="s">
        <v>72</v>
      </c>
      <c r="N632" s="7">
        <f>SUMIF(Executions!B:B,A632,Executions!H:H)</f>
        <v>11.019999999999982</v>
      </c>
      <c r="O632" s="7">
        <f t="shared" ref="O632:O640" si="224">N632/J632</f>
        <v>0.84899845916794814</v>
      </c>
      <c r="P632" s="9">
        <f>Tabla1[[#This Row],[Initial Risk $]]/Tabla1[[#This Row],[Position Size (shares)]]+Tabla1[[#This Row],[Entry Price]]</f>
        <v>879.96</v>
      </c>
      <c r="Q632" s="9">
        <f>Tabla1[[#This Row],[Initial Risk $]]/Tabla1[[#This Row],[Position Size (shares)]]*1.5+Tabla1[[#This Row],[Entry Price]]</f>
        <v>886.45</v>
      </c>
      <c r="R632" s="9">
        <f>Tabla1[[#This Row],[Initial Risk $]]/Tabla1[[#This Row],[Position Size (shares)]]*2+Tabla1[[#This Row],[Entry Price]]</f>
        <v>892.94</v>
      </c>
      <c r="S632" s="9">
        <f>Tabla1[[#This Row],[Initial Risk $]]/Tabla1[[#This Row],[Position Size (shares)]]*2.5+Tabla1[[#This Row],[Entry Price]]</f>
        <v>899.43000000000006</v>
      </c>
      <c r="T632" s="9">
        <f>Tabla1[[#This Row],[Initial Risk $]]/Tabla1[[#This Row],[Position Size (shares)]]*3+Tabla1[[#This Row],[Entry Price]]</f>
        <v>905.92000000000007</v>
      </c>
    </row>
    <row r="633" spans="1:20" hidden="1" x14ac:dyDescent="0.25">
      <c r="A633" s="7" t="str">
        <f t="shared" si="221"/>
        <v>T-632</v>
      </c>
      <c r="B633" s="8">
        <v>46244</v>
      </c>
      <c r="C633" s="7" t="s">
        <v>130</v>
      </c>
      <c r="D633" s="7" t="s">
        <v>28</v>
      </c>
      <c r="E633" s="7" t="s">
        <v>119</v>
      </c>
      <c r="F633" s="7">
        <v>476.74</v>
      </c>
      <c r="G633" s="7">
        <v>470</v>
      </c>
      <c r="H633" s="7">
        <f>Tabla1[[#This Row],[Entry Price]]-(Tabla1[[#This Row],[Entry Price]]-Tabla1[[#This Row],[Initial Stop]])/2</f>
        <v>473.37</v>
      </c>
      <c r="I633" s="7">
        <v>2</v>
      </c>
      <c r="J633" s="7">
        <f t="shared" si="222"/>
        <v>13.480000000000018</v>
      </c>
      <c r="K633" s="7">
        <v>1</v>
      </c>
      <c r="L633" s="7">
        <f t="shared" si="223"/>
        <v>13.480000000000018</v>
      </c>
      <c r="M633" s="7" t="s">
        <v>72</v>
      </c>
      <c r="N633" s="7">
        <f>SUMIF(Executions!B:B,A633,Executions!H:H)</f>
        <v>-4.0600000000000591</v>
      </c>
      <c r="O633" s="7">
        <f t="shared" si="224"/>
        <v>-0.301186943620182</v>
      </c>
      <c r="P633" s="9">
        <f>Tabla1[[#This Row],[Initial Risk $]]/Tabla1[[#This Row],[Position Size (shares)]]+Tabla1[[#This Row],[Entry Price]]</f>
        <v>483.48</v>
      </c>
      <c r="Q633" s="9">
        <f>Tabla1[[#This Row],[Initial Risk $]]/Tabla1[[#This Row],[Position Size (shares)]]*1.5+Tabla1[[#This Row],[Entry Price]]</f>
        <v>486.85</v>
      </c>
      <c r="R633" s="9">
        <f>Tabla1[[#This Row],[Initial Risk $]]/Tabla1[[#This Row],[Position Size (shares)]]*2+Tabla1[[#This Row],[Entry Price]]</f>
        <v>490.22</v>
      </c>
      <c r="S633" s="9">
        <f>Tabla1[[#This Row],[Initial Risk $]]/Tabla1[[#This Row],[Position Size (shares)]]*2.5+Tabla1[[#This Row],[Entry Price]]</f>
        <v>493.59000000000003</v>
      </c>
      <c r="T633" s="9">
        <f>Tabla1[[#This Row],[Initial Risk $]]/Tabla1[[#This Row],[Position Size (shares)]]*3+Tabla1[[#This Row],[Entry Price]]</f>
        <v>496.96000000000004</v>
      </c>
    </row>
    <row r="634" spans="1:20" hidden="1" x14ac:dyDescent="0.25">
      <c r="A634" s="7" t="str">
        <f t="shared" si="221"/>
        <v>T-633</v>
      </c>
      <c r="B634" s="8">
        <v>46244</v>
      </c>
      <c r="C634" s="7" t="s">
        <v>181</v>
      </c>
      <c r="D634" s="7" t="s">
        <v>28</v>
      </c>
      <c r="E634" s="7" t="s">
        <v>119</v>
      </c>
      <c r="F634" s="7">
        <v>14.96</v>
      </c>
      <c r="G634" s="7">
        <v>14.71</v>
      </c>
      <c r="H634" s="7">
        <f>Tabla1[[#This Row],[Entry Price]]-(Tabla1[[#This Row],[Entry Price]]-Tabla1[[#This Row],[Initial Stop]])/2</f>
        <v>14.835000000000001</v>
      </c>
      <c r="I634" s="7">
        <v>30</v>
      </c>
      <c r="J634" s="7">
        <f t="shared" si="222"/>
        <v>7.5</v>
      </c>
      <c r="K634" s="7">
        <v>1</v>
      </c>
      <c r="L634" s="7">
        <f t="shared" si="223"/>
        <v>7.5</v>
      </c>
      <c r="M634" s="7" t="s">
        <v>72</v>
      </c>
      <c r="N634" s="7">
        <f>SUMIF(Executions!B:B,A634,Executions!H:H)</f>
        <v>15</v>
      </c>
      <c r="O634" s="7">
        <f t="shared" si="224"/>
        <v>2</v>
      </c>
      <c r="P634" s="9">
        <f>Tabla1[[#This Row],[Initial Risk $]]/Tabla1[[#This Row],[Position Size (shares)]]+Tabla1[[#This Row],[Entry Price]]</f>
        <v>15.21</v>
      </c>
      <c r="Q634" s="9">
        <f>Tabla1[[#This Row],[Initial Risk $]]/Tabla1[[#This Row],[Position Size (shares)]]*1.5+Tabla1[[#This Row],[Entry Price]]</f>
        <v>15.335000000000001</v>
      </c>
      <c r="R634" s="9">
        <f>Tabla1[[#This Row],[Initial Risk $]]/Tabla1[[#This Row],[Position Size (shares)]]*2+Tabla1[[#This Row],[Entry Price]]</f>
        <v>15.46</v>
      </c>
      <c r="S634" s="9">
        <f>Tabla1[[#This Row],[Initial Risk $]]/Tabla1[[#This Row],[Position Size (shares)]]*2.5+Tabla1[[#This Row],[Entry Price]]</f>
        <v>15.585000000000001</v>
      </c>
      <c r="T634" s="9">
        <f>Tabla1[[#This Row],[Initial Risk $]]/Tabla1[[#This Row],[Position Size (shares)]]*3+Tabla1[[#This Row],[Entry Price]]</f>
        <v>15.71</v>
      </c>
    </row>
    <row r="635" spans="1:20" hidden="1" x14ac:dyDescent="0.25">
      <c r="A635" s="7" t="str">
        <f t="shared" si="221"/>
        <v>T-634</v>
      </c>
      <c r="B635" s="8">
        <v>46244</v>
      </c>
      <c r="C635" s="7" t="s">
        <v>173</v>
      </c>
      <c r="D635" s="7" t="s">
        <v>28</v>
      </c>
      <c r="E635" s="7" t="s">
        <v>58</v>
      </c>
      <c r="F635" s="7">
        <v>176.75</v>
      </c>
      <c r="G635" s="7">
        <v>173.54</v>
      </c>
      <c r="H635" s="7">
        <f>Tabla1[[#This Row],[Entry Price]]-(Tabla1[[#This Row],[Entry Price]]-Tabla1[[#This Row],[Initial Stop]])/2</f>
        <v>175.14499999999998</v>
      </c>
      <c r="I635" s="7">
        <v>3</v>
      </c>
      <c r="J635" s="7">
        <f t="shared" si="222"/>
        <v>9.6300000000000239</v>
      </c>
      <c r="K635" s="7">
        <v>1</v>
      </c>
      <c r="L635" s="7">
        <f t="shared" si="223"/>
        <v>9.6300000000000239</v>
      </c>
      <c r="M635" s="7" t="s">
        <v>72</v>
      </c>
      <c r="N635" s="7">
        <f>SUMIF(Executions!B:B,A635,Executions!H:H)</f>
        <v>1.6500000000000341</v>
      </c>
      <c r="O635" s="7">
        <f t="shared" si="224"/>
        <v>0.17133956386293148</v>
      </c>
      <c r="P635" s="9">
        <f>Tabla1[[#This Row],[Initial Risk $]]/Tabla1[[#This Row],[Position Size (shares)]]+Tabla1[[#This Row],[Entry Price]]</f>
        <v>179.96</v>
      </c>
      <c r="Q635" s="9">
        <f>Tabla1[[#This Row],[Initial Risk $]]/Tabla1[[#This Row],[Position Size (shares)]]*1.5+Tabla1[[#This Row],[Entry Price]]</f>
        <v>181.565</v>
      </c>
      <c r="R635" s="9">
        <f>Tabla1[[#This Row],[Initial Risk $]]/Tabla1[[#This Row],[Position Size (shares)]]*2+Tabla1[[#This Row],[Entry Price]]</f>
        <v>183.17000000000002</v>
      </c>
      <c r="S635" s="9">
        <f>Tabla1[[#This Row],[Initial Risk $]]/Tabla1[[#This Row],[Position Size (shares)]]*2.5+Tabla1[[#This Row],[Entry Price]]</f>
        <v>184.77500000000003</v>
      </c>
      <c r="T635" s="9">
        <f>Tabla1[[#This Row],[Initial Risk $]]/Tabla1[[#This Row],[Position Size (shares)]]*3+Tabla1[[#This Row],[Entry Price]]</f>
        <v>186.38000000000002</v>
      </c>
    </row>
    <row r="636" spans="1:20" hidden="1" x14ac:dyDescent="0.25">
      <c r="A636" s="7" t="str">
        <f t="shared" si="221"/>
        <v>T-635</v>
      </c>
      <c r="B636" s="8">
        <v>46244</v>
      </c>
      <c r="C636" s="7" t="s">
        <v>294</v>
      </c>
      <c r="D636" s="7" t="s">
        <v>28</v>
      </c>
      <c r="E636" s="7" t="s">
        <v>58</v>
      </c>
      <c r="F636" s="7">
        <v>149.30000000000001</v>
      </c>
      <c r="G636" s="7">
        <v>146.44999999999999</v>
      </c>
      <c r="H636" s="7">
        <f>Tabla1[[#This Row],[Entry Price]]-(Tabla1[[#This Row],[Entry Price]]-Tabla1[[#This Row],[Initial Stop]])/2</f>
        <v>147.875</v>
      </c>
      <c r="I636" s="7">
        <v>4</v>
      </c>
      <c r="J636" s="7">
        <f t="shared" si="222"/>
        <v>11.400000000000091</v>
      </c>
      <c r="K636" s="7">
        <v>1</v>
      </c>
      <c r="L636" s="7">
        <f t="shared" si="223"/>
        <v>11.400000000000091</v>
      </c>
      <c r="M636" s="7" t="s">
        <v>72</v>
      </c>
      <c r="N636" s="7">
        <f>SUMIF(Executions!B:B,A636,Executions!H:H)</f>
        <v>8.7999999999999545</v>
      </c>
      <c r="O636" s="7">
        <f t="shared" si="224"/>
        <v>0.77192982456139336</v>
      </c>
      <c r="P636" s="9">
        <f>Tabla1[[#This Row],[Initial Risk $]]/Tabla1[[#This Row],[Position Size (shares)]]+Tabla1[[#This Row],[Entry Price]]</f>
        <v>152.15000000000003</v>
      </c>
      <c r="Q636" s="9">
        <f>Tabla1[[#This Row],[Initial Risk $]]/Tabla1[[#This Row],[Position Size (shares)]]*1.5+Tabla1[[#This Row],[Entry Price]]</f>
        <v>153.57500000000005</v>
      </c>
      <c r="R636" s="9">
        <f>Tabla1[[#This Row],[Initial Risk $]]/Tabla1[[#This Row],[Position Size (shares)]]*2+Tabla1[[#This Row],[Entry Price]]</f>
        <v>155.00000000000006</v>
      </c>
      <c r="S636" s="9">
        <f>Tabla1[[#This Row],[Initial Risk $]]/Tabla1[[#This Row],[Position Size (shares)]]*2.5+Tabla1[[#This Row],[Entry Price]]</f>
        <v>156.42500000000007</v>
      </c>
      <c r="T636" s="9">
        <f>Tabla1[[#This Row],[Initial Risk $]]/Tabla1[[#This Row],[Position Size (shares)]]*3+Tabla1[[#This Row],[Entry Price]]</f>
        <v>157.85000000000008</v>
      </c>
    </row>
    <row r="637" spans="1:20" hidden="1" x14ac:dyDescent="0.25">
      <c r="A637" s="7" t="str">
        <f t="shared" si="221"/>
        <v>T-636</v>
      </c>
      <c r="B637" s="8">
        <v>46244</v>
      </c>
      <c r="C637" s="7" t="s">
        <v>154</v>
      </c>
      <c r="D637" s="7" t="s">
        <v>28</v>
      </c>
      <c r="E637" s="7" t="s">
        <v>27</v>
      </c>
      <c r="F637" s="7">
        <v>353.15</v>
      </c>
      <c r="G637" s="7">
        <v>351</v>
      </c>
      <c r="H637" s="7">
        <f>Tabla1[[#This Row],[Entry Price]]-(Tabla1[[#This Row],[Entry Price]]-Tabla1[[#This Row],[Initial Stop]])/2</f>
        <v>352.07499999999999</v>
      </c>
      <c r="I637" s="7">
        <v>3</v>
      </c>
      <c r="J637" s="7">
        <f t="shared" si="222"/>
        <v>6.4499999999999318</v>
      </c>
      <c r="K637" s="7">
        <v>1</v>
      </c>
      <c r="L637" s="7">
        <f t="shared" si="223"/>
        <v>6.4499999999999318</v>
      </c>
      <c r="M637" s="7" t="s">
        <v>72</v>
      </c>
      <c r="N637" s="7">
        <f>SUMIF(Executions!B:B,A637,Executions!H:H)</f>
        <v>2.4900000000001228</v>
      </c>
      <c r="O637" s="7">
        <f t="shared" si="224"/>
        <v>0.38604651162793008</v>
      </c>
      <c r="P637" s="9">
        <f>Tabla1[[#This Row],[Initial Risk $]]/Tabla1[[#This Row],[Position Size (shares)]]+Tabla1[[#This Row],[Entry Price]]</f>
        <v>355.29999999999995</v>
      </c>
      <c r="Q637" s="9">
        <f>Tabla1[[#This Row],[Initial Risk $]]/Tabla1[[#This Row],[Position Size (shares)]]*1.5+Tabla1[[#This Row],[Entry Price]]</f>
        <v>356.37499999999994</v>
      </c>
      <c r="R637" s="9">
        <f>Tabla1[[#This Row],[Initial Risk $]]/Tabla1[[#This Row],[Position Size (shares)]]*2+Tabla1[[#This Row],[Entry Price]]</f>
        <v>357.44999999999993</v>
      </c>
      <c r="S637" s="9">
        <f>Tabla1[[#This Row],[Initial Risk $]]/Tabla1[[#This Row],[Position Size (shares)]]*2.5+Tabla1[[#This Row],[Entry Price]]</f>
        <v>358.52499999999992</v>
      </c>
      <c r="T637" s="9">
        <f>Tabla1[[#This Row],[Initial Risk $]]/Tabla1[[#This Row],[Position Size (shares)]]*3+Tabla1[[#This Row],[Entry Price]]</f>
        <v>359.59999999999991</v>
      </c>
    </row>
    <row r="638" spans="1:20" hidden="1" x14ac:dyDescent="0.25">
      <c r="A638" s="7" t="str">
        <f t="shared" si="221"/>
        <v>T-637</v>
      </c>
      <c r="B638" s="8">
        <v>46244</v>
      </c>
      <c r="C638" s="7" t="s">
        <v>161</v>
      </c>
      <c r="D638" s="7" t="s">
        <v>28</v>
      </c>
      <c r="E638" s="7" t="s">
        <v>27</v>
      </c>
      <c r="F638" s="7">
        <v>98.39</v>
      </c>
      <c r="G638" s="7">
        <v>97.01</v>
      </c>
      <c r="H638" s="7">
        <f>Tabla1[[#This Row],[Entry Price]]-(Tabla1[[#This Row],[Entry Price]]-Tabla1[[#This Row],[Initial Stop]])/2</f>
        <v>97.7</v>
      </c>
      <c r="I638" s="7">
        <v>5</v>
      </c>
      <c r="J638" s="7">
        <f t="shared" si="222"/>
        <v>6.8999999999999773</v>
      </c>
      <c r="K638" s="7">
        <v>1</v>
      </c>
      <c r="L638" s="7">
        <f t="shared" si="223"/>
        <v>6.8999999999999773</v>
      </c>
      <c r="M638" s="7" t="s">
        <v>72</v>
      </c>
      <c r="N638" s="7">
        <f>SUMIF(Executions!B:B,A638,Executions!H:H)</f>
        <v>-3.1499999999999773</v>
      </c>
      <c r="O638" s="7">
        <f t="shared" si="224"/>
        <v>-0.45652173913043298</v>
      </c>
      <c r="P638" s="9">
        <f>Tabla1[[#This Row],[Initial Risk $]]/Tabla1[[#This Row],[Position Size (shares)]]+Tabla1[[#This Row],[Entry Price]]</f>
        <v>99.77</v>
      </c>
      <c r="Q638" s="9">
        <f>Tabla1[[#This Row],[Initial Risk $]]/Tabla1[[#This Row],[Position Size (shares)]]*1.5+Tabla1[[#This Row],[Entry Price]]</f>
        <v>100.46</v>
      </c>
      <c r="R638" s="9">
        <f>Tabla1[[#This Row],[Initial Risk $]]/Tabla1[[#This Row],[Position Size (shares)]]*2+Tabla1[[#This Row],[Entry Price]]</f>
        <v>101.14999999999999</v>
      </c>
      <c r="S638" s="9">
        <f>Tabla1[[#This Row],[Initial Risk $]]/Tabla1[[#This Row],[Position Size (shares)]]*2.5+Tabla1[[#This Row],[Entry Price]]</f>
        <v>101.83999999999999</v>
      </c>
      <c r="T638" s="9">
        <f>Tabla1[[#This Row],[Initial Risk $]]/Tabla1[[#This Row],[Position Size (shares)]]*3+Tabla1[[#This Row],[Entry Price]]</f>
        <v>102.52999999999999</v>
      </c>
    </row>
    <row r="639" spans="1:20" hidden="1" x14ac:dyDescent="0.25">
      <c r="A639" s="7" t="str">
        <f t="shared" si="221"/>
        <v>T-638</v>
      </c>
      <c r="B639" s="8">
        <v>46244</v>
      </c>
      <c r="C639" s="7" t="s">
        <v>135</v>
      </c>
      <c r="D639" s="7" t="s">
        <v>28</v>
      </c>
      <c r="E639" s="7" t="s">
        <v>27</v>
      </c>
      <c r="F639" s="7">
        <v>272.45999999999998</v>
      </c>
      <c r="G639" s="7">
        <v>270.27999999999997</v>
      </c>
      <c r="H639" s="7">
        <f>Tabla1[[#This Row],[Entry Price]]-(Tabla1[[#This Row],[Entry Price]]-Tabla1[[#This Row],[Initial Stop]])/2</f>
        <v>271.37</v>
      </c>
      <c r="I639" s="7">
        <v>4</v>
      </c>
      <c r="J639" s="7">
        <f t="shared" si="222"/>
        <v>8.7200000000000273</v>
      </c>
      <c r="K639" s="7">
        <v>1</v>
      </c>
      <c r="L639" s="7">
        <f t="shared" si="223"/>
        <v>8.7200000000000273</v>
      </c>
      <c r="M639" s="7" t="s">
        <v>72</v>
      </c>
      <c r="N639" s="7">
        <f>SUMIF(Executions!B:B,A639,Executions!H:H)</f>
        <v>-8.5199999999999818</v>
      </c>
      <c r="O639" s="7">
        <f t="shared" si="224"/>
        <v>-0.97706422018348105</v>
      </c>
      <c r="P639" s="9">
        <f>Tabla1[[#This Row],[Initial Risk $]]/Tabla1[[#This Row],[Position Size (shares)]]+Tabla1[[#This Row],[Entry Price]]</f>
        <v>274.64</v>
      </c>
      <c r="Q639" s="9">
        <f>Tabla1[[#This Row],[Initial Risk $]]/Tabla1[[#This Row],[Position Size (shares)]]*1.5+Tabla1[[#This Row],[Entry Price]]</f>
        <v>275.73</v>
      </c>
      <c r="R639" s="9">
        <f>Tabla1[[#This Row],[Initial Risk $]]/Tabla1[[#This Row],[Position Size (shares)]]*2+Tabla1[[#This Row],[Entry Price]]</f>
        <v>276.82</v>
      </c>
      <c r="S639" s="9">
        <f>Tabla1[[#This Row],[Initial Risk $]]/Tabla1[[#This Row],[Position Size (shares)]]*2.5+Tabla1[[#This Row],[Entry Price]]</f>
        <v>277.90999999999997</v>
      </c>
      <c r="T639" s="9">
        <f>Tabla1[[#This Row],[Initial Risk $]]/Tabla1[[#This Row],[Position Size (shares)]]*3+Tabla1[[#This Row],[Entry Price]]</f>
        <v>279</v>
      </c>
    </row>
    <row r="640" spans="1:20" hidden="1" x14ac:dyDescent="0.25">
      <c r="A640" s="7" t="str">
        <f t="shared" si="221"/>
        <v>T-639</v>
      </c>
      <c r="B640" s="8">
        <v>46244</v>
      </c>
      <c r="C640" s="7" t="s">
        <v>101</v>
      </c>
      <c r="D640" s="7" t="s">
        <v>28</v>
      </c>
      <c r="E640" s="7" t="s">
        <v>27</v>
      </c>
      <c r="F640" s="7">
        <v>14.68</v>
      </c>
      <c r="G640" s="7">
        <v>14.42</v>
      </c>
      <c r="H640" s="7">
        <f>Tabla1[[#This Row],[Entry Price]]-(Tabla1[[#This Row],[Entry Price]]-Tabla1[[#This Row],[Initial Stop]])/2</f>
        <v>14.55</v>
      </c>
      <c r="I640" s="7">
        <v>30</v>
      </c>
      <c r="J640" s="7">
        <f t="shared" si="222"/>
        <v>7.7999999999999936</v>
      </c>
      <c r="K640" s="7">
        <v>1</v>
      </c>
      <c r="L640" s="7">
        <f t="shared" si="223"/>
        <v>7.7999999999999936</v>
      </c>
      <c r="M640" s="7" t="s">
        <v>72</v>
      </c>
      <c r="N640" s="7">
        <f>SUMIF(Executions!B:B,A640,Executions!H:H)</f>
        <v>-8.6999999999999744</v>
      </c>
      <c r="O640" s="7">
        <f t="shared" si="224"/>
        <v>-1.115384615384613</v>
      </c>
      <c r="P640" s="9">
        <f>Tabla1[[#This Row],[Initial Risk $]]/Tabla1[[#This Row],[Position Size (shares)]]+Tabla1[[#This Row],[Entry Price]]</f>
        <v>14.94</v>
      </c>
      <c r="Q640" s="9">
        <f>Tabla1[[#This Row],[Initial Risk $]]/Tabla1[[#This Row],[Position Size (shares)]]*1.5+Tabla1[[#This Row],[Entry Price]]</f>
        <v>15.07</v>
      </c>
      <c r="R640" s="9">
        <f>Tabla1[[#This Row],[Initial Risk $]]/Tabla1[[#This Row],[Position Size (shares)]]*2+Tabla1[[#This Row],[Entry Price]]</f>
        <v>15.2</v>
      </c>
      <c r="S640" s="9">
        <f>Tabla1[[#This Row],[Initial Risk $]]/Tabla1[[#This Row],[Position Size (shares)]]*2.5+Tabla1[[#This Row],[Entry Price]]</f>
        <v>15.329999999999998</v>
      </c>
      <c r="T640" s="9">
        <f>Tabla1[[#This Row],[Initial Risk $]]/Tabla1[[#This Row],[Position Size (shares)]]*3+Tabla1[[#This Row],[Entry Price]]</f>
        <v>15.459999999999999</v>
      </c>
    </row>
    <row r="641" spans="1:20" hidden="1" x14ac:dyDescent="0.25">
      <c r="A641" s="7" t="str">
        <f t="shared" ref="A641:A650" si="225">"T-"&amp; TEXT(ROW()-1,"000")</f>
        <v>T-640</v>
      </c>
      <c r="B641" s="8">
        <v>46245</v>
      </c>
      <c r="C641" s="7" t="s">
        <v>279</v>
      </c>
      <c r="D641" s="7" t="s">
        <v>28</v>
      </c>
      <c r="E641" s="7" t="s">
        <v>58</v>
      </c>
      <c r="F641" s="7">
        <v>871</v>
      </c>
      <c r="G641" s="7">
        <v>864</v>
      </c>
      <c r="H641" s="7">
        <f>Tabla1[[#This Row],[Entry Price]]-(Tabla1[[#This Row],[Entry Price]]-Tabla1[[#This Row],[Initial Stop]])/2</f>
        <v>867.5</v>
      </c>
      <c r="I641" s="7">
        <v>1</v>
      </c>
      <c r="J641" s="7">
        <f t="shared" ref="J641:J650" si="226">IF(D641="Long",(F641-G641)*I641,(G641-F641)*0)</f>
        <v>7</v>
      </c>
      <c r="K641" s="7">
        <v>1</v>
      </c>
      <c r="L641" s="7">
        <f t="shared" ref="L641:L650" si="227">J641*K641</f>
        <v>7</v>
      </c>
      <c r="M641" s="7" t="s">
        <v>72</v>
      </c>
      <c r="N641" s="7">
        <f>SUMIF(Executions!B:B,A641,Executions!H:H)</f>
        <v>-6.2300000000000182</v>
      </c>
      <c r="O641" s="7">
        <f t="shared" ref="O641:O650" si="228">N641/J641</f>
        <v>-0.89000000000000257</v>
      </c>
      <c r="P641" s="9">
        <f>Tabla1[[#This Row],[Initial Risk $]]/Tabla1[[#This Row],[Position Size (shares)]]+Tabla1[[#This Row],[Entry Price]]</f>
        <v>878</v>
      </c>
      <c r="Q641" s="9">
        <f>Tabla1[[#This Row],[Initial Risk $]]/Tabla1[[#This Row],[Position Size (shares)]]*1.5+Tabla1[[#This Row],[Entry Price]]</f>
        <v>881.5</v>
      </c>
      <c r="R641" s="9">
        <f>Tabla1[[#This Row],[Initial Risk $]]/Tabla1[[#This Row],[Position Size (shares)]]*2+Tabla1[[#This Row],[Entry Price]]</f>
        <v>885</v>
      </c>
      <c r="S641" s="9">
        <f>Tabla1[[#This Row],[Initial Risk $]]/Tabla1[[#This Row],[Position Size (shares)]]*2.5+Tabla1[[#This Row],[Entry Price]]</f>
        <v>888.5</v>
      </c>
      <c r="T641" s="9">
        <f>Tabla1[[#This Row],[Initial Risk $]]/Tabla1[[#This Row],[Position Size (shares)]]*3+Tabla1[[#This Row],[Entry Price]]</f>
        <v>892</v>
      </c>
    </row>
    <row r="642" spans="1:20" hidden="1" x14ac:dyDescent="0.25">
      <c r="A642" s="7" t="str">
        <f t="shared" si="225"/>
        <v>T-641</v>
      </c>
      <c r="B642" s="8">
        <v>46245</v>
      </c>
      <c r="C642" s="7" t="s">
        <v>750</v>
      </c>
      <c r="D642" s="7" t="s">
        <v>28</v>
      </c>
      <c r="E642" s="7" t="s">
        <v>58</v>
      </c>
      <c r="F642" s="7">
        <v>59.34</v>
      </c>
      <c r="G642" s="7">
        <v>58.91</v>
      </c>
      <c r="H642" s="7">
        <f>Tabla1[[#This Row],[Entry Price]]-(Tabla1[[#This Row],[Entry Price]]-Tabla1[[#This Row],[Initial Stop]])/2</f>
        <v>59.125</v>
      </c>
      <c r="I642" s="7">
        <v>15</v>
      </c>
      <c r="J642" s="7">
        <f t="shared" si="226"/>
        <v>6.4500000000001023</v>
      </c>
      <c r="K642" s="7">
        <v>1</v>
      </c>
      <c r="L642" s="7">
        <f t="shared" si="227"/>
        <v>6.4500000000001023</v>
      </c>
      <c r="M642" s="7" t="s">
        <v>72</v>
      </c>
      <c r="N642" s="7">
        <f>SUMIF(Executions!B:B,A642,Executions!H:H)</f>
        <v>-5.1000000000000512</v>
      </c>
      <c r="O642" s="7">
        <f t="shared" si="228"/>
        <v>-0.79069767441860006</v>
      </c>
      <c r="P642" s="9">
        <f>Tabla1[[#This Row],[Initial Risk $]]/Tabla1[[#This Row],[Position Size (shares)]]+Tabla1[[#This Row],[Entry Price]]</f>
        <v>59.77000000000001</v>
      </c>
      <c r="Q642" s="9">
        <f>Tabla1[[#This Row],[Initial Risk $]]/Tabla1[[#This Row],[Position Size (shares)]]*1.5+Tabla1[[#This Row],[Entry Price]]</f>
        <v>59.985000000000014</v>
      </c>
      <c r="R642" s="9">
        <f>Tabla1[[#This Row],[Initial Risk $]]/Tabla1[[#This Row],[Position Size (shares)]]*2+Tabla1[[#This Row],[Entry Price]]</f>
        <v>60.200000000000017</v>
      </c>
      <c r="S642" s="9">
        <f>Tabla1[[#This Row],[Initial Risk $]]/Tabla1[[#This Row],[Position Size (shares)]]*2.5+Tabla1[[#This Row],[Entry Price]]</f>
        <v>60.41500000000002</v>
      </c>
      <c r="T642" s="9">
        <f>Tabla1[[#This Row],[Initial Risk $]]/Tabla1[[#This Row],[Position Size (shares)]]*3+Tabla1[[#This Row],[Entry Price]]</f>
        <v>60.630000000000024</v>
      </c>
    </row>
    <row r="643" spans="1:20" hidden="1" x14ac:dyDescent="0.25">
      <c r="A643" s="7" t="str">
        <f t="shared" si="225"/>
        <v>T-642</v>
      </c>
      <c r="B643" s="8">
        <v>46245</v>
      </c>
      <c r="C643" s="7" t="s">
        <v>533</v>
      </c>
      <c r="D643" s="7" t="s">
        <v>28</v>
      </c>
      <c r="E643" s="7" t="s">
        <v>119</v>
      </c>
      <c r="F643" s="7">
        <v>134.9</v>
      </c>
      <c r="G643" s="7">
        <v>133.21</v>
      </c>
      <c r="H643" s="7">
        <f>Tabla1[[#This Row],[Entry Price]]-(Tabla1[[#This Row],[Entry Price]]-Tabla1[[#This Row],[Initial Stop]])/2</f>
        <v>134.05500000000001</v>
      </c>
      <c r="I643" s="7">
        <v>5</v>
      </c>
      <c r="J643" s="7">
        <f t="shared" si="226"/>
        <v>8.4499999999999886</v>
      </c>
      <c r="K643" s="7">
        <v>1</v>
      </c>
      <c r="L643" s="7">
        <f t="shared" si="227"/>
        <v>8.4499999999999886</v>
      </c>
      <c r="M643" s="7" t="s">
        <v>72</v>
      </c>
      <c r="N643" s="7">
        <f>SUMIF(Executions!B:B,A643,Executions!H:H)</f>
        <v>-6.7000000000000171</v>
      </c>
      <c r="O643" s="7">
        <f t="shared" si="228"/>
        <v>-0.79289940828402672</v>
      </c>
      <c r="P643" s="9">
        <f>Tabla1[[#This Row],[Initial Risk $]]/Tabla1[[#This Row],[Position Size (shares)]]+Tabla1[[#This Row],[Entry Price]]</f>
        <v>136.59</v>
      </c>
      <c r="Q643" s="9">
        <f>Tabla1[[#This Row],[Initial Risk $]]/Tabla1[[#This Row],[Position Size (shares)]]*1.5+Tabla1[[#This Row],[Entry Price]]</f>
        <v>137.435</v>
      </c>
      <c r="R643" s="9">
        <f>Tabla1[[#This Row],[Initial Risk $]]/Tabla1[[#This Row],[Position Size (shares)]]*2+Tabla1[[#This Row],[Entry Price]]</f>
        <v>138.28</v>
      </c>
      <c r="S643" s="9">
        <f>Tabla1[[#This Row],[Initial Risk $]]/Tabla1[[#This Row],[Position Size (shares)]]*2.5+Tabla1[[#This Row],[Entry Price]]</f>
        <v>139.125</v>
      </c>
      <c r="T643" s="9">
        <f>Tabla1[[#This Row],[Initial Risk $]]/Tabla1[[#This Row],[Position Size (shares)]]*3+Tabla1[[#This Row],[Entry Price]]</f>
        <v>139.97</v>
      </c>
    </row>
    <row r="644" spans="1:20" hidden="1" x14ac:dyDescent="0.25">
      <c r="A644" s="7" t="str">
        <f t="shared" si="225"/>
        <v>T-643</v>
      </c>
      <c r="B644" s="8">
        <v>46245</v>
      </c>
      <c r="C644" s="7" t="s">
        <v>370</v>
      </c>
      <c r="D644" s="7" t="s">
        <v>28</v>
      </c>
      <c r="E644" s="7" t="s">
        <v>58</v>
      </c>
      <c r="F644" s="7">
        <v>41.15</v>
      </c>
      <c r="G644" s="7">
        <v>40.49</v>
      </c>
      <c r="H644" s="7">
        <f>Tabla1[[#This Row],[Entry Price]]-(Tabla1[[#This Row],[Entry Price]]-Tabla1[[#This Row],[Initial Stop]])/2</f>
        <v>40.82</v>
      </c>
      <c r="I644" s="7">
        <v>18</v>
      </c>
      <c r="J644" s="7">
        <f t="shared" si="226"/>
        <v>11.879999999999939</v>
      </c>
      <c r="K644" s="7">
        <v>1</v>
      </c>
      <c r="L644" s="7">
        <f t="shared" si="227"/>
        <v>11.879999999999939</v>
      </c>
      <c r="M644" s="7" t="s">
        <v>72</v>
      </c>
      <c r="N644" s="7">
        <f>SUMIF(Executions!B:B,A644,Executions!H:H)</f>
        <v>13.5</v>
      </c>
      <c r="O644" s="7">
        <f t="shared" si="228"/>
        <v>1.1363636363636422</v>
      </c>
      <c r="P644" s="9">
        <f>Tabla1[[#This Row],[Initial Risk $]]/Tabla1[[#This Row],[Position Size (shares)]]+Tabla1[[#This Row],[Entry Price]]</f>
        <v>41.809999999999995</v>
      </c>
      <c r="Q644" s="9">
        <f>Tabla1[[#This Row],[Initial Risk $]]/Tabla1[[#This Row],[Position Size (shares)]]*1.5+Tabla1[[#This Row],[Entry Price]]</f>
        <v>42.139999999999993</v>
      </c>
      <c r="R644" s="9">
        <f>Tabla1[[#This Row],[Initial Risk $]]/Tabla1[[#This Row],[Position Size (shares)]]*2+Tabla1[[#This Row],[Entry Price]]</f>
        <v>42.469999999999992</v>
      </c>
      <c r="S644" s="9">
        <f>Tabla1[[#This Row],[Initial Risk $]]/Tabla1[[#This Row],[Position Size (shares)]]*2.5+Tabla1[[#This Row],[Entry Price]]</f>
        <v>42.79999999999999</v>
      </c>
      <c r="T644" s="9">
        <f>Tabla1[[#This Row],[Initial Risk $]]/Tabla1[[#This Row],[Position Size (shares)]]*3+Tabla1[[#This Row],[Entry Price]]</f>
        <v>43.129999999999988</v>
      </c>
    </row>
    <row r="645" spans="1:20" hidden="1" x14ac:dyDescent="0.25">
      <c r="A645" s="7" t="str">
        <f t="shared" si="225"/>
        <v>T-644</v>
      </c>
      <c r="B645" s="8">
        <v>46245</v>
      </c>
      <c r="C645" s="7" t="s">
        <v>130</v>
      </c>
      <c r="D645" s="7" t="s">
        <v>28</v>
      </c>
      <c r="E645" s="7" t="s">
        <v>27</v>
      </c>
      <c r="F645" s="7">
        <v>466.88</v>
      </c>
      <c r="G645" s="7">
        <v>463.43</v>
      </c>
      <c r="H645" s="7">
        <f>Tabla1[[#This Row],[Entry Price]]-(Tabla1[[#This Row],[Entry Price]]-Tabla1[[#This Row],[Initial Stop]])/2</f>
        <v>465.15499999999997</v>
      </c>
      <c r="I645" s="7">
        <v>2</v>
      </c>
      <c r="J645" s="7">
        <f t="shared" si="226"/>
        <v>6.8999999999999773</v>
      </c>
      <c r="K645" s="7">
        <v>1</v>
      </c>
      <c r="L645" s="7">
        <f t="shared" si="227"/>
        <v>6.8999999999999773</v>
      </c>
      <c r="M645" s="7" t="s">
        <v>72</v>
      </c>
      <c r="N645" s="7">
        <f>SUMIF(Executions!B:B,A645,Executions!H:H)</f>
        <v>10.480000000000018</v>
      </c>
      <c r="O645" s="7">
        <f t="shared" si="228"/>
        <v>1.5188405797101525</v>
      </c>
      <c r="P645" s="9">
        <f>Tabla1[[#This Row],[Initial Risk $]]/Tabla1[[#This Row],[Position Size (shares)]]+Tabla1[[#This Row],[Entry Price]]</f>
        <v>470.33</v>
      </c>
      <c r="Q645" s="9">
        <f>Tabla1[[#This Row],[Initial Risk $]]/Tabla1[[#This Row],[Position Size (shares)]]*1.5+Tabla1[[#This Row],[Entry Price]]</f>
        <v>472.05499999999995</v>
      </c>
      <c r="R645" s="9">
        <f>Tabla1[[#This Row],[Initial Risk $]]/Tabla1[[#This Row],[Position Size (shares)]]*2+Tabla1[[#This Row],[Entry Price]]</f>
        <v>473.78</v>
      </c>
      <c r="S645" s="9">
        <f>Tabla1[[#This Row],[Initial Risk $]]/Tabla1[[#This Row],[Position Size (shares)]]*2.5+Tabla1[[#This Row],[Entry Price]]</f>
        <v>475.505</v>
      </c>
      <c r="T645" s="9">
        <f>Tabla1[[#This Row],[Initial Risk $]]/Tabla1[[#This Row],[Position Size (shares)]]*3+Tabla1[[#This Row],[Entry Price]]</f>
        <v>477.22999999999996</v>
      </c>
    </row>
    <row r="646" spans="1:20" hidden="1" x14ac:dyDescent="0.25">
      <c r="A646" s="7" t="str">
        <f t="shared" si="225"/>
        <v>T-645</v>
      </c>
      <c r="B646" s="8">
        <v>46245</v>
      </c>
      <c r="C646" s="7" t="s">
        <v>161</v>
      </c>
      <c r="D646" s="7" t="s">
        <v>28</v>
      </c>
      <c r="E646" s="7" t="s">
        <v>58</v>
      </c>
      <c r="F646" s="7">
        <v>97.95</v>
      </c>
      <c r="G646" s="7">
        <v>96.08</v>
      </c>
      <c r="H646" s="7">
        <f>Tabla1[[#This Row],[Entry Price]]-(Tabla1[[#This Row],[Entry Price]]-Tabla1[[#This Row],[Initial Stop]])/2</f>
        <v>97.015000000000001</v>
      </c>
      <c r="I646" s="7">
        <v>5</v>
      </c>
      <c r="J646" s="7">
        <f t="shared" si="226"/>
        <v>9.3500000000000227</v>
      </c>
      <c r="K646" s="7">
        <v>1</v>
      </c>
      <c r="L646" s="7">
        <f t="shared" si="227"/>
        <v>9.3500000000000227</v>
      </c>
      <c r="M646" s="7" t="s">
        <v>72</v>
      </c>
      <c r="N646" s="7">
        <f>SUMIF(Executions!B:B,A646,Executions!H:H)</f>
        <v>-6.4000000000000057</v>
      </c>
      <c r="O646" s="7">
        <f t="shared" si="228"/>
        <v>-0.68449197860962463</v>
      </c>
      <c r="P646" s="9">
        <f>Tabla1[[#This Row],[Initial Risk $]]/Tabla1[[#This Row],[Position Size (shares)]]+Tabla1[[#This Row],[Entry Price]]</f>
        <v>99.820000000000007</v>
      </c>
      <c r="Q646" s="9">
        <f>Tabla1[[#This Row],[Initial Risk $]]/Tabla1[[#This Row],[Position Size (shares)]]*1.5+Tabla1[[#This Row],[Entry Price]]</f>
        <v>100.75500000000001</v>
      </c>
      <c r="R646" s="9">
        <f>Tabla1[[#This Row],[Initial Risk $]]/Tabla1[[#This Row],[Position Size (shares)]]*2+Tabla1[[#This Row],[Entry Price]]</f>
        <v>101.69000000000001</v>
      </c>
      <c r="S646" s="9">
        <f>Tabla1[[#This Row],[Initial Risk $]]/Tabla1[[#This Row],[Position Size (shares)]]*2.5+Tabla1[[#This Row],[Entry Price]]</f>
        <v>102.62500000000001</v>
      </c>
      <c r="T646" s="9">
        <f>Tabla1[[#This Row],[Initial Risk $]]/Tabla1[[#This Row],[Position Size (shares)]]*3+Tabla1[[#This Row],[Entry Price]]</f>
        <v>103.56000000000002</v>
      </c>
    </row>
    <row r="647" spans="1:20" hidden="1" x14ac:dyDescent="0.25">
      <c r="A647" s="7" t="str">
        <f t="shared" si="225"/>
        <v>T-646</v>
      </c>
      <c r="B647" s="8">
        <v>46245</v>
      </c>
      <c r="C647" s="7" t="s">
        <v>279</v>
      </c>
      <c r="D647" s="7" t="s">
        <v>28</v>
      </c>
      <c r="E647" s="7" t="s">
        <v>27</v>
      </c>
      <c r="F647" s="7">
        <v>865.22</v>
      </c>
      <c r="G647" s="7">
        <v>854.22</v>
      </c>
      <c r="H647" s="7">
        <f>Tabla1[[#This Row],[Entry Price]]-(Tabla1[[#This Row],[Entry Price]]-Tabla1[[#This Row],[Initial Stop]])/2</f>
        <v>859.72</v>
      </c>
      <c r="I647" s="7">
        <v>1</v>
      </c>
      <c r="J647" s="7">
        <f t="shared" si="226"/>
        <v>11</v>
      </c>
      <c r="K647" s="7">
        <v>1</v>
      </c>
      <c r="L647" s="7">
        <f t="shared" si="227"/>
        <v>11</v>
      </c>
      <c r="M647" s="7" t="s">
        <v>72</v>
      </c>
      <c r="N647" s="7">
        <f>SUMIF(Executions!B:B,A647,Executions!H:H)</f>
        <v>2.7200000000000273</v>
      </c>
      <c r="O647" s="7">
        <f t="shared" si="228"/>
        <v>0.24727272727272975</v>
      </c>
      <c r="P647" s="9">
        <f>Tabla1[[#This Row],[Initial Risk $]]/Tabla1[[#This Row],[Position Size (shares)]]+Tabla1[[#This Row],[Entry Price]]</f>
        <v>876.22</v>
      </c>
      <c r="Q647" s="9">
        <f>Tabla1[[#This Row],[Initial Risk $]]/Tabla1[[#This Row],[Position Size (shares)]]*1.5+Tabla1[[#This Row],[Entry Price]]</f>
        <v>881.72</v>
      </c>
      <c r="R647" s="9">
        <f>Tabla1[[#This Row],[Initial Risk $]]/Tabla1[[#This Row],[Position Size (shares)]]*2+Tabla1[[#This Row],[Entry Price]]</f>
        <v>887.22</v>
      </c>
      <c r="S647" s="9">
        <f>Tabla1[[#This Row],[Initial Risk $]]/Tabla1[[#This Row],[Position Size (shares)]]*2.5+Tabla1[[#This Row],[Entry Price]]</f>
        <v>892.72</v>
      </c>
      <c r="T647" s="9">
        <f>Tabla1[[#This Row],[Initial Risk $]]/Tabla1[[#This Row],[Position Size (shares)]]*3+Tabla1[[#This Row],[Entry Price]]</f>
        <v>898.22</v>
      </c>
    </row>
    <row r="648" spans="1:20" hidden="1" x14ac:dyDescent="0.25">
      <c r="A648" s="7" t="str">
        <f t="shared" si="225"/>
        <v>T-647</v>
      </c>
      <c r="B648" s="8">
        <v>46245</v>
      </c>
      <c r="C648" s="7" t="s">
        <v>181</v>
      </c>
      <c r="D648" s="7" t="s">
        <v>28</v>
      </c>
      <c r="E648" s="7" t="s">
        <v>58</v>
      </c>
      <c r="F648" s="7">
        <v>15.87</v>
      </c>
      <c r="G648" s="7">
        <v>15.68</v>
      </c>
      <c r="H648" s="7">
        <f>Tabla1[[#This Row],[Entry Price]]-(Tabla1[[#This Row],[Entry Price]]-Tabla1[[#This Row],[Initial Stop]])/2</f>
        <v>15.774999999999999</v>
      </c>
      <c r="I648" s="7">
        <v>60</v>
      </c>
      <c r="J648" s="7">
        <f t="shared" si="226"/>
        <v>11.39999999999997</v>
      </c>
      <c r="K648" s="7">
        <v>1</v>
      </c>
      <c r="L648" s="7">
        <f t="shared" si="227"/>
        <v>11.39999999999997</v>
      </c>
      <c r="M648" s="7" t="s">
        <v>72</v>
      </c>
      <c r="N648" s="7">
        <f>SUMIF(Executions!B:B,A648,Executions!H:H)</f>
        <v>-11.39999999999997</v>
      </c>
      <c r="O648" s="7">
        <f t="shared" si="228"/>
        <v>-1</v>
      </c>
      <c r="P648" s="9">
        <f>Tabla1[[#This Row],[Initial Risk $]]/Tabla1[[#This Row],[Position Size (shares)]]+Tabla1[[#This Row],[Entry Price]]</f>
        <v>16.059999999999999</v>
      </c>
      <c r="Q648" s="9">
        <f>Tabla1[[#This Row],[Initial Risk $]]/Tabla1[[#This Row],[Position Size (shares)]]*1.5+Tabla1[[#This Row],[Entry Price]]</f>
        <v>16.154999999999998</v>
      </c>
      <c r="R648" s="9">
        <f>Tabla1[[#This Row],[Initial Risk $]]/Tabla1[[#This Row],[Position Size (shares)]]*2+Tabla1[[#This Row],[Entry Price]]</f>
        <v>16.25</v>
      </c>
      <c r="S648" s="9">
        <f>Tabla1[[#This Row],[Initial Risk $]]/Tabla1[[#This Row],[Position Size (shares)]]*2.5+Tabla1[[#This Row],[Entry Price]]</f>
        <v>16.344999999999999</v>
      </c>
      <c r="T648" s="9">
        <f>Tabla1[[#This Row],[Initial Risk $]]/Tabla1[[#This Row],[Position Size (shares)]]*3+Tabla1[[#This Row],[Entry Price]]</f>
        <v>16.439999999999998</v>
      </c>
    </row>
    <row r="649" spans="1:20" hidden="1" x14ac:dyDescent="0.25">
      <c r="A649" s="7" t="str">
        <f t="shared" si="225"/>
        <v>T-648</v>
      </c>
      <c r="B649" s="8">
        <v>46245</v>
      </c>
      <c r="C649" s="7" t="s">
        <v>718</v>
      </c>
      <c r="D649" s="7" t="s">
        <v>28</v>
      </c>
      <c r="E649" s="7" t="s">
        <v>58</v>
      </c>
      <c r="F649" s="7">
        <v>153.94999999999999</v>
      </c>
      <c r="G649" s="7">
        <v>152.1</v>
      </c>
      <c r="H649" s="7">
        <f>Tabla1[[#This Row],[Entry Price]]-(Tabla1[[#This Row],[Entry Price]]-Tabla1[[#This Row],[Initial Stop]])/2</f>
        <v>153.02499999999998</v>
      </c>
      <c r="I649" s="7">
        <v>5</v>
      </c>
      <c r="J649" s="7">
        <f t="shared" si="226"/>
        <v>9.2499999999999716</v>
      </c>
      <c r="K649" s="7">
        <v>1</v>
      </c>
      <c r="L649" s="7">
        <f t="shared" si="227"/>
        <v>9.2499999999999716</v>
      </c>
      <c r="M649" s="7" t="s">
        <v>72</v>
      </c>
      <c r="N649" s="7">
        <f>SUMIF(Executions!B:B,A649,Executions!H:H)</f>
        <v>-9.3999999999999773</v>
      </c>
      <c r="O649" s="7">
        <f t="shared" si="228"/>
        <v>-1.0162162162162169</v>
      </c>
      <c r="P649" s="9">
        <f>Tabla1[[#This Row],[Initial Risk $]]/Tabla1[[#This Row],[Position Size (shares)]]+Tabla1[[#This Row],[Entry Price]]</f>
        <v>155.79999999999998</v>
      </c>
      <c r="Q649" s="9">
        <f>Tabla1[[#This Row],[Initial Risk $]]/Tabla1[[#This Row],[Position Size (shares)]]*1.5+Tabla1[[#This Row],[Entry Price]]</f>
        <v>156.72499999999997</v>
      </c>
      <c r="R649" s="9">
        <f>Tabla1[[#This Row],[Initial Risk $]]/Tabla1[[#This Row],[Position Size (shares)]]*2+Tabla1[[#This Row],[Entry Price]]</f>
        <v>157.64999999999998</v>
      </c>
      <c r="S649" s="9">
        <f>Tabla1[[#This Row],[Initial Risk $]]/Tabla1[[#This Row],[Position Size (shares)]]*2.5+Tabla1[[#This Row],[Entry Price]]</f>
        <v>158.57499999999999</v>
      </c>
      <c r="T649" s="9">
        <f>Tabla1[[#This Row],[Initial Risk $]]/Tabla1[[#This Row],[Position Size (shares)]]*3+Tabla1[[#This Row],[Entry Price]]</f>
        <v>159.49999999999997</v>
      </c>
    </row>
    <row r="650" spans="1:20" hidden="1" x14ac:dyDescent="0.25">
      <c r="A650" s="7" t="str">
        <f t="shared" si="225"/>
        <v>T-649</v>
      </c>
      <c r="B650" s="8">
        <v>46245</v>
      </c>
      <c r="C650" s="7" t="s">
        <v>233</v>
      </c>
      <c r="D650" s="7" t="s">
        <v>28</v>
      </c>
      <c r="E650" s="7" t="s">
        <v>58</v>
      </c>
      <c r="F650" s="7">
        <v>504.19</v>
      </c>
      <c r="G650" s="7">
        <v>500</v>
      </c>
      <c r="H650" s="7">
        <f>Tabla1[[#This Row],[Entry Price]]-(Tabla1[[#This Row],[Entry Price]]-Tabla1[[#This Row],[Initial Stop]])/2</f>
        <v>502.09500000000003</v>
      </c>
      <c r="I650" s="7">
        <v>1</v>
      </c>
      <c r="J650" s="7">
        <f t="shared" si="226"/>
        <v>4.1899999999999977</v>
      </c>
      <c r="K650" s="7">
        <v>1</v>
      </c>
      <c r="L650" s="7">
        <f t="shared" si="227"/>
        <v>4.1899999999999977</v>
      </c>
      <c r="M650" s="7" t="s">
        <v>72</v>
      </c>
      <c r="N650" s="7">
        <f>SUMIF(Executions!B:B,A650,Executions!H:H)</f>
        <v>-1.8299999999999841</v>
      </c>
      <c r="O650" s="7">
        <f t="shared" si="228"/>
        <v>-0.43675417661097493</v>
      </c>
      <c r="P650" s="9">
        <f>Tabla1[[#This Row],[Initial Risk $]]/Tabla1[[#This Row],[Position Size (shares)]]+Tabla1[[#This Row],[Entry Price]]</f>
        <v>508.38</v>
      </c>
      <c r="Q650" s="9">
        <f>Tabla1[[#This Row],[Initial Risk $]]/Tabla1[[#This Row],[Position Size (shares)]]*1.5+Tabla1[[#This Row],[Entry Price]]</f>
        <v>510.47500000000002</v>
      </c>
      <c r="R650" s="9">
        <f>Tabla1[[#This Row],[Initial Risk $]]/Tabla1[[#This Row],[Position Size (shares)]]*2+Tabla1[[#This Row],[Entry Price]]</f>
        <v>512.56999999999994</v>
      </c>
      <c r="S650" s="9">
        <f>Tabla1[[#This Row],[Initial Risk $]]/Tabla1[[#This Row],[Position Size (shares)]]*2.5+Tabla1[[#This Row],[Entry Price]]</f>
        <v>514.66499999999996</v>
      </c>
      <c r="T650" s="9">
        <f>Tabla1[[#This Row],[Initial Risk $]]/Tabla1[[#This Row],[Position Size (shares)]]*3+Tabla1[[#This Row],[Entry Price]]</f>
        <v>516.76</v>
      </c>
    </row>
    <row r="651" spans="1:20" hidden="1" x14ac:dyDescent="0.25">
      <c r="A651" s="7" t="str">
        <f t="shared" ref="A651:A659" si="229">"T-"&amp; TEXT(ROW()-1,"000")</f>
        <v>T-650</v>
      </c>
      <c r="B651" s="8">
        <v>46246</v>
      </c>
      <c r="C651" s="7" t="s">
        <v>279</v>
      </c>
      <c r="D651" s="7" t="s">
        <v>28</v>
      </c>
      <c r="E651" s="7" t="s">
        <v>58</v>
      </c>
      <c r="F651" s="7">
        <v>914.82</v>
      </c>
      <c r="G651" s="7">
        <v>904.82</v>
      </c>
      <c r="H651" s="7">
        <f>Tabla1[[#This Row],[Entry Price]]-(Tabla1[[#This Row],[Entry Price]]-Tabla1[[#This Row],[Initial Stop]])/2</f>
        <v>909.82</v>
      </c>
      <c r="I651" s="7">
        <v>1</v>
      </c>
      <c r="J651" s="7">
        <f t="shared" ref="J651:J659" si="230">IF(D651="Long",(F651-G651)*I651,(G651-F651)*0)</f>
        <v>10</v>
      </c>
      <c r="K651" s="7">
        <v>1</v>
      </c>
      <c r="L651" s="7">
        <f t="shared" ref="L651:L659" si="231">J651*K651</f>
        <v>10</v>
      </c>
      <c r="M651" s="7" t="s">
        <v>72</v>
      </c>
      <c r="N651" s="7">
        <f>SUMIF(Executions!B:B,A651,Executions!H:H)</f>
        <v>-10.650000000000091</v>
      </c>
      <c r="O651" s="7">
        <f t="shared" ref="O651:O659" si="232">N651/J651</f>
        <v>-1.0650000000000091</v>
      </c>
      <c r="P651" s="9">
        <f>Tabla1[[#This Row],[Initial Risk $]]/Tabla1[[#This Row],[Position Size (shares)]]+Tabla1[[#This Row],[Entry Price]]</f>
        <v>924.82</v>
      </c>
      <c r="Q651" s="9">
        <f>Tabla1[[#This Row],[Initial Risk $]]/Tabla1[[#This Row],[Position Size (shares)]]*1.5+Tabla1[[#This Row],[Entry Price]]</f>
        <v>929.82</v>
      </c>
      <c r="R651" s="9">
        <f>Tabla1[[#This Row],[Initial Risk $]]/Tabla1[[#This Row],[Position Size (shares)]]*2+Tabla1[[#This Row],[Entry Price]]</f>
        <v>934.82</v>
      </c>
      <c r="S651" s="9">
        <f>Tabla1[[#This Row],[Initial Risk $]]/Tabla1[[#This Row],[Position Size (shares)]]*2.5+Tabla1[[#This Row],[Entry Price]]</f>
        <v>939.82</v>
      </c>
      <c r="T651" s="9">
        <f>Tabla1[[#This Row],[Initial Risk $]]/Tabla1[[#This Row],[Position Size (shares)]]*3+Tabla1[[#This Row],[Entry Price]]</f>
        <v>944.82</v>
      </c>
    </row>
    <row r="652" spans="1:20" hidden="1" x14ac:dyDescent="0.25">
      <c r="A652" s="7" t="str">
        <f t="shared" si="229"/>
        <v>T-651</v>
      </c>
      <c r="B652" s="8">
        <v>46246</v>
      </c>
      <c r="C652" s="7" t="s">
        <v>59</v>
      </c>
      <c r="D652" s="7" t="s">
        <v>28</v>
      </c>
      <c r="E652" s="7" t="s">
        <v>119</v>
      </c>
      <c r="F652" s="7">
        <v>9.83</v>
      </c>
      <c r="G652" s="7">
        <v>9.65</v>
      </c>
      <c r="H652" s="7">
        <f>Tabla1[[#This Row],[Entry Price]]-(Tabla1[[#This Row],[Entry Price]]-Tabla1[[#This Row],[Initial Stop]])/2</f>
        <v>9.74</v>
      </c>
      <c r="I652" s="7">
        <v>50</v>
      </c>
      <c r="J652" s="7">
        <f t="shared" si="230"/>
        <v>8.9999999999999858</v>
      </c>
      <c r="K652" s="7">
        <v>1</v>
      </c>
      <c r="L652" s="7">
        <f t="shared" si="231"/>
        <v>8.9999999999999858</v>
      </c>
      <c r="M652" s="7" t="s">
        <v>72</v>
      </c>
      <c r="N652" s="7">
        <f>SUMIF(Executions!B:B,A652,Executions!H:H)</f>
        <v>-8.9999999999999858</v>
      </c>
      <c r="O652" s="7">
        <f t="shared" si="232"/>
        <v>-1</v>
      </c>
      <c r="P652" s="9">
        <f>Tabla1[[#This Row],[Initial Risk $]]/Tabla1[[#This Row],[Position Size (shares)]]+Tabla1[[#This Row],[Entry Price]]</f>
        <v>10.01</v>
      </c>
      <c r="Q652" s="9">
        <f>Tabla1[[#This Row],[Initial Risk $]]/Tabla1[[#This Row],[Position Size (shares)]]*1.5+Tabla1[[#This Row],[Entry Price]]</f>
        <v>10.1</v>
      </c>
      <c r="R652" s="9">
        <f>Tabla1[[#This Row],[Initial Risk $]]/Tabla1[[#This Row],[Position Size (shares)]]*2+Tabla1[[#This Row],[Entry Price]]</f>
        <v>10.19</v>
      </c>
      <c r="S652" s="9">
        <f>Tabla1[[#This Row],[Initial Risk $]]/Tabla1[[#This Row],[Position Size (shares)]]*2.5+Tabla1[[#This Row],[Entry Price]]</f>
        <v>10.28</v>
      </c>
      <c r="T652" s="9">
        <f>Tabla1[[#This Row],[Initial Risk $]]/Tabla1[[#This Row],[Position Size (shares)]]*3+Tabla1[[#This Row],[Entry Price]]</f>
        <v>10.37</v>
      </c>
    </row>
    <row r="653" spans="1:20" hidden="1" x14ac:dyDescent="0.25">
      <c r="A653" s="7" t="str">
        <f t="shared" si="229"/>
        <v>T-652</v>
      </c>
      <c r="B653" s="8">
        <v>46246</v>
      </c>
      <c r="C653" s="7" t="s">
        <v>102</v>
      </c>
      <c r="D653" s="7" t="s">
        <v>28</v>
      </c>
      <c r="E653" s="7" t="s">
        <v>50</v>
      </c>
      <c r="F653" s="7">
        <v>63.87</v>
      </c>
      <c r="G653" s="7">
        <v>63.01</v>
      </c>
      <c r="H653" s="7">
        <f>Tabla1[[#This Row],[Entry Price]]-(Tabla1[[#This Row],[Entry Price]]-Tabla1[[#This Row],[Initial Stop]])/2</f>
        <v>63.44</v>
      </c>
      <c r="I653" s="7">
        <v>10</v>
      </c>
      <c r="J653" s="7">
        <f t="shared" si="230"/>
        <v>8.5999999999999943</v>
      </c>
      <c r="K653" s="7">
        <v>1</v>
      </c>
      <c r="L653" s="7">
        <f t="shared" si="231"/>
        <v>8.5999999999999943</v>
      </c>
      <c r="M653" s="7" t="s">
        <v>72</v>
      </c>
      <c r="N653" s="7">
        <f>SUMIF(Executions!B:B,A653,Executions!H:H)</f>
        <v>-8.9000000000000057</v>
      </c>
      <c r="O653" s="7">
        <f t="shared" si="232"/>
        <v>-1.034883720930234</v>
      </c>
      <c r="P653" s="9">
        <f>Tabla1[[#This Row],[Initial Risk $]]/Tabla1[[#This Row],[Position Size (shares)]]+Tabla1[[#This Row],[Entry Price]]</f>
        <v>64.72999999999999</v>
      </c>
      <c r="Q653" s="9">
        <f>Tabla1[[#This Row],[Initial Risk $]]/Tabla1[[#This Row],[Position Size (shares)]]*1.5+Tabla1[[#This Row],[Entry Price]]</f>
        <v>65.16</v>
      </c>
      <c r="R653" s="9">
        <f>Tabla1[[#This Row],[Initial Risk $]]/Tabla1[[#This Row],[Position Size (shares)]]*2+Tabla1[[#This Row],[Entry Price]]</f>
        <v>65.59</v>
      </c>
      <c r="S653" s="9">
        <f>Tabla1[[#This Row],[Initial Risk $]]/Tabla1[[#This Row],[Position Size (shares)]]*2.5+Tabla1[[#This Row],[Entry Price]]</f>
        <v>66.02</v>
      </c>
      <c r="T653" s="9">
        <f>Tabla1[[#This Row],[Initial Risk $]]/Tabla1[[#This Row],[Position Size (shares)]]*3+Tabla1[[#This Row],[Entry Price]]</f>
        <v>66.449999999999989</v>
      </c>
    </row>
    <row r="654" spans="1:20" hidden="1" x14ac:dyDescent="0.25">
      <c r="A654" s="7" t="str">
        <f t="shared" si="229"/>
        <v>T-653</v>
      </c>
      <c r="B654" s="8">
        <v>46246</v>
      </c>
      <c r="C654" s="7" t="s">
        <v>130</v>
      </c>
      <c r="D654" s="7" t="s">
        <v>28</v>
      </c>
      <c r="E654" s="7" t="s">
        <v>58</v>
      </c>
      <c r="F654" s="7">
        <v>485.31</v>
      </c>
      <c r="G654" s="7">
        <v>480</v>
      </c>
      <c r="H654" s="7">
        <f>Tabla1[[#This Row],[Entry Price]]-(Tabla1[[#This Row],[Entry Price]]-Tabla1[[#This Row],[Initial Stop]])/2</f>
        <v>482.65499999999997</v>
      </c>
      <c r="I654" s="7">
        <v>2</v>
      </c>
      <c r="J654" s="7">
        <f t="shared" si="230"/>
        <v>10.620000000000005</v>
      </c>
      <c r="K654" s="7">
        <v>1</v>
      </c>
      <c r="L654" s="7">
        <f t="shared" si="231"/>
        <v>10.620000000000005</v>
      </c>
      <c r="M654" s="7" t="s">
        <v>72</v>
      </c>
      <c r="N654" s="7">
        <f>SUMIF(Executions!B:B,A654,Executions!H:H)</f>
        <v>-1.7200000000000273</v>
      </c>
      <c r="O654" s="7">
        <f t="shared" si="232"/>
        <v>-0.16195856873823225</v>
      </c>
      <c r="P654" s="9">
        <f>Tabla1[[#This Row],[Initial Risk $]]/Tabla1[[#This Row],[Position Size (shares)]]+Tabla1[[#This Row],[Entry Price]]</f>
        <v>490.62</v>
      </c>
      <c r="Q654" s="9">
        <f>Tabla1[[#This Row],[Initial Risk $]]/Tabla1[[#This Row],[Position Size (shares)]]*1.5+Tabla1[[#This Row],[Entry Price]]</f>
        <v>493.27499999999998</v>
      </c>
      <c r="R654" s="9">
        <f>Tabla1[[#This Row],[Initial Risk $]]/Tabla1[[#This Row],[Position Size (shares)]]*2+Tabla1[[#This Row],[Entry Price]]</f>
        <v>495.93</v>
      </c>
      <c r="S654" s="9">
        <f>Tabla1[[#This Row],[Initial Risk $]]/Tabla1[[#This Row],[Position Size (shares)]]*2.5+Tabla1[[#This Row],[Entry Price]]</f>
        <v>498.58500000000004</v>
      </c>
      <c r="T654" s="9">
        <f>Tabla1[[#This Row],[Initial Risk $]]/Tabla1[[#This Row],[Position Size (shares)]]*3+Tabla1[[#This Row],[Entry Price]]</f>
        <v>501.24</v>
      </c>
    </row>
    <row r="655" spans="1:20" hidden="1" x14ac:dyDescent="0.25">
      <c r="A655" s="7" t="str">
        <f t="shared" si="229"/>
        <v>T-654</v>
      </c>
      <c r="B655" s="8">
        <v>46246</v>
      </c>
      <c r="C655" s="7" t="s">
        <v>279</v>
      </c>
      <c r="D655" s="7" t="s">
        <v>28</v>
      </c>
      <c r="E655" s="7" t="s">
        <v>58</v>
      </c>
      <c r="F655" s="7">
        <v>914.69</v>
      </c>
      <c r="G655" s="7">
        <v>904.69</v>
      </c>
      <c r="H655" s="7">
        <f>Tabla1[[#This Row],[Entry Price]]-(Tabla1[[#This Row],[Entry Price]]-Tabla1[[#This Row],[Initial Stop]])/2</f>
        <v>909.69</v>
      </c>
      <c r="I655" s="7">
        <v>1</v>
      </c>
      <c r="J655" s="7">
        <f t="shared" si="230"/>
        <v>10</v>
      </c>
      <c r="K655" s="7">
        <v>1</v>
      </c>
      <c r="L655" s="7">
        <f t="shared" si="231"/>
        <v>10</v>
      </c>
      <c r="M655" s="7" t="s">
        <v>72</v>
      </c>
      <c r="N655" s="7">
        <f>SUMIF(Executions!B:B,A655,Executions!H:H)</f>
        <v>14.889999999999986</v>
      </c>
      <c r="O655" s="7">
        <f t="shared" si="232"/>
        <v>1.4889999999999985</v>
      </c>
      <c r="P655" s="9">
        <f>Tabla1[[#This Row],[Initial Risk $]]/Tabla1[[#This Row],[Position Size (shares)]]+Tabla1[[#This Row],[Entry Price]]</f>
        <v>924.69</v>
      </c>
      <c r="Q655" s="9">
        <f>Tabla1[[#This Row],[Initial Risk $]]/Tabla1[[#This Row],[Position Size (shares)]]*1.5+Tabla1[[#This Row],[Entry Price]]</f>
        <v>929.69</v>
      </c>
      <c r="R655" s="9">
        <f>Tabla1[[#This Row],[Initial Risk $]]/Tabla1[[#This Row],[Position Size (shares)]]*2+Tabla1[[#This Row],[Entry Price]]</f>
        <v>934.69</v>
      </c>
      <c r="S655" s="9">
        <f>Tabla1[[#This Row],[Initial Risk $]]/Tabla1[[#This Row],[Position Size (shares)]]*2.5+Tabla1[[#This Row],[Entry Price]]</f>
        <v>939.69</v>
      </c>
      <c r="T655" s="9">
        <f>Tabla1[[#This Row],[Initial Risk $]]/Tabla1[[#This Row],[Position Size (shares)]]*3+Tabla1[[#This Row],[Entry Price]]</f>
        <v>944.69</v>
      </c>
    </row>
    <row r="656" spans="1:20" hidden="1" x14ac:dyDescent="0.25">
      <c r="A656" s="7" t="str">
        <f t="shared" si="229"/>
        <v>T-655</v>
      </c>
      <c r="B656" s="8">
        <v>46246</v>
      </c>
      <c r="C656" s="7" t="s">
        <v>294</v>
      </c>
      <c r="D656" s="7" t="s">
        <v>28</v>
      </c>
      <c r="E656" s="7" t="s">
        <v>27</v>
      </c>
      <c r="F656" s="7">
        <v>150.47</v>
      </c>
      <c r="G656" s="7">
        <v>149</v>
      </c>
      <c r="H656" s="7">
        <f>Tabla1[[#This Row],[Entry Price]]-(Tabla1[[#This Row],[Entry Price]]-Tabla1[[#This Row],[Initial Stop]])/2</f>
        <v>149.73500000000001</v>
      </c>
      <c r="I656" s="7">
        <v>7</v>
      </c>
      <c r="J656" s="7">
        <f t="shared" si="230"/>
        <v>10.289999999999992</v>
      </c>
      <c r="K656" s="7">
        <v>1</v>
      </c>
      <c r="L656" s="7">
        <f t="shared" si="231"/>
        <v>10.289999999999992</v>
      </c>
      <c r="M656" s="7" t="s">
        <v>72</v>
      </c>
      <c r="N656" s="7">
        <f>SUMIF(Executions!B:B,A656,Executions!H:H)</f>
        <v>-10.710000000000008</v>
      </c>
      <c r="O656" s="7">
        <f t="shared" si="232"/>
        <v>-1.0408163265306138</v>
      </c>
      <c r="P656" s="9">
        <f>Tabla1[[#This Row],[Initial Risk $]]/Tabla1[[#This Row],[Position Size (shares)]]+Tabla1[[#This Row],[Entry Price]]</f>
        <v>151.94</v>
      </c>
      <c r="Q656" s="9">
        <f>Tabla1[[#This Row],[Initial Risk $]]/Tabla1[[#This Row],[Position Size (shares)]]*1.5+Tabla1[[#This Row],[Entry Price]]</f>
        <v>152.67500000000001</v>
      </c>
      <c r="R656" s="9">
        <f>Tabla1[[#This Row],[Initial Risk $]]/Tabla1[[#This Row],[Position Size (shares)]]*2+Tabla1[[#This Row],[Entry Price]]</f>
        <v>153.41</v>
      </c>
      <c r="S656" s="9">
        <f>Tabla1[[#This Row],[Initial Risk $]]/Tabla1[[#This Row],[Position Size (shares)]]*2.5+Tabla1[[#This Row],[Entry Price]]</f>
        <v>154.14499999999998</v>
      </c>
      <c r="T656" s="9">
        <f>Tabla1[[#This Row],[Initial Risk $]]/Tabla1[[#This Row],[Position Size (shares)]]*3+Tabla1[[#This Row],[Entry Price]]</f>
        <v>154.88</v>
      </c>
    </row>
    <row r="657" spans="1:20" hidden="1" x14ac:dyDescent="0.25">
      <c r="A657" s="7" t="str">
        <f t="shared" si="229"/>
        <v>T-656</v>
      </c>
      <c r="B657" s="8">
        <v>46246</v>
      </c>
      <c r="C657" s="7" t="s">
        <v>161</v>
      </c>
      <c r="D657" s="7" t="s">
        <v>28</v>
      </c>
      <c r="E657" s="7" t="s">
        <v>27</v>
      </c>
      <c r="F657" s="7">
        <v>101.61</v>
      </c>
      <c r="G657" s="7">
        <v>100.61</v>
      </c>
      <c r="H657" s="7">
        <f>Tabla1[[#This Row],[Entry Price]]-(Tabla1[[#This Row],[Entry Price]]-Tabla1[[#This Row],[Initial Stop]])/2</f>
        <v>101.11</v>
      </c>
      <c r="I657" s="7">
        <v>10</v>
      </c>
      <c r="J657" s="7">
        <f t="shared" si="230"/>
        <v>10</v>
      </c>
      <c r="K657" s="7">
        <v>1</v>
      </c>
      <c r="L657" s="7">
        <f t="shared" si="231"/>
        <v>10</v>
      </c>
      <c r="M657" s="7" t="s">
        <v>72</v>
      </c>
      <c r="N657" s="7">
        <f>SUMIF(Executions!B:B,A657,Executions!H:H)</f>
        <v>-10.100000000000051</v>
      </c>
      <c r="O657" s="7">
        <f t="shared" si="232"/>
        <v>-1.0100000000000051</v>
      </c>
      <c r="P657" s="9">
        <f>Tabla1[[#This Row],[Initial Risk $]]/Tabla1[[#This Row],[Position Size (shares)]]+Tabla1[[#This Row],[Entry Price]]</f>
        <v>102.61</v>
      </c>
      <c r="Q657" s="9">
        <f>Tabla1[[#This Row],[Initial Risk $]]/Tabla1[[#This Row],[Position Size (shares)]]*1.5+Tabla1[[#This Row],[Entry Price]]</f>
        <v>103.11</v>
      </c>
      <c r="R657" s="9">
        <f>Tabla1[[#This Row],[Initial Risk $]]/Tabla1[[#This Row],[Position Size (shares)]]*2+Tabla1[[#This Row],[Entry Price]]</f>
        <v>103.61</v>
      </c>
      <c r="S657" s="9">
        <f>Tabla1[[#This Row],[Initial Risk $]]/Tabla1[[#This Row],[Position Size (shares)]]*2.5+Tabla1[[#This Row],[Entry Price]]</f>
        <v>104.11</v>
      </c>
      <c r="T657" s="9">
        <f>Tabla1[[#This Row],[Initial Risk $]]/Tabla1[[#This Row],[Position Size (shares)]]*3+Tabla1[[#This Row],[Entry Price]]</f>
        <v>104.61</v>
      </c>
    </row>
    <row r="658" spans="1:20" hidden="1" x14ac:dyDescent="0.25">
      <c r="A658" s="7" t="str">
        <f t="shared" si="229"/>
        <v>T-657</v>
      </c>
      <c r="B658" s="8">
        <v>46246</v>
      </c>
      <c r="C658" s="7" t="s">
        <v>370</v>
      </c>
      <c r="D658" s="7" t="s">
        <v>28</v>
      </c>
      <c r="E658" s="7" t="s">
        <v>27</v>
      </c>
      <c r="F658" s="7">
        <v>41.61</v>
      </c>
      <c r="G658" s="7">
        <v>41.01</v>
      </c>
      <c r="H658" s="7">
        <f>Tabla1[[#This Row],[Entry Price]]-(Tabla1[[#This Row],[Entry Price]]-Tabla1[[#This Row],[Initial Stop]])/2</f>
        <v>41.31</v>
      </c>
      <c r="I658" s="7">
        <v>12</v>
      </c>
      <c r="J658" s="7">
        <f t="shared" si="230"/>
        <v>7.2000000000000171</v>
      </c>
      <c r="K658" s="7">
        <v>1</v>
      </c>
      <c r="L658" s="7">
        <f t="shared" si="231"/>
        <v>7.2000000000000171</v>
      </c>
      <c r="M658" s="7" t="s">
        <v>72</v>
      </c>
      <c r="N658" s="7">
        <f>SUMIF(Executions!B:B,A658,Executions!H:H)</f>
        <v>-7.2599999999999625</v>
      </c>
      <c r="O658" s="7">
        <f t="shared" si="232"/>
        <v>-1.0083333333333258</v>
      </c>
      <c r="P658" s="9">
        <f>Tabla1[[#This Row],[Initial Risk $]]/Tabla1[[#This Row],[Position Size (shares)]]+Tabla1[[#This Row],[Entry Price]]</f>
        <v>42.21</v>
      </c>
      <c r="Q658" s="9">
        <f>Tabla1[[#This Row],[Initial Risk $]]/Tabla1[[#This Row],[Position Size (shares)]]*1.5+Tabla1[[#This Row],[Entry Price]]</f>
        <v>42.510000000000005</v>
      </c>
      <c r="R658" s="9">
        <f>Tabla1[[#This Row],[Initial Risk $]]/Tabla1[[#This Row],[Position Size (shares)]]*2+Tabla1[[#This Row],[Entry Price]]</f>
        <v>42.81</v>
      </c>
      <c r="S658" s="9">
        <f>Tabla1[[#This Row],[Initial Risk $]]/Tabla1[[#This Row],[Position Size (shares)]]*2.5+Tabla1[[#This Row],[Entry Price]]</f>
        <v>43.11</v>
      </c>
      <c r="T658" s="9">
        <f>Tabla1[[#This Row],[Initial Risk $]]/Tabla1[[#This Row],[Position Size (shares)]]*3+Tabla1[[#This Row],[Entry Price]]</f>
        <v>43.410000000000004</v>
      </c>
    </row>
    <row r="659" spans="1:20" hidden="1" x14ac:dyDescent="0.25">
      <c r="A659" s="7" t="str">
        <f t="shared" si="229"/>
        <v>T-658</v>
      </c>
      <c r="B659" s="8">
        <v>46246</v>
      </c>
      <c r="C659" s="7" t="s">
        <v>207</v>
      </c>
      <c r="D659" s="7" t="s">
        <v>28</v>
      </c>
      <c r="E659" s="7" t="s">
        <v>27</v>
      </c>
      <c r="F659" s="7">
        <v>36.25</v>
      </c>
      <c r="G659" s="7">
        <v>35.25</v>
      </c>
      <c r="H659" s="7">
        <f>Tabla1[[#This Row],[Entry Price]]-(Tabla1[[#This Row],[Entry Price]]-Tabla1[[#This Row],[Initial Stop]])/2</f>
        <v>35.75</v>
      </c>
      <c r="I659" s="7">
        <v>10</v>
      </c>
      <c r="J659" s="7">
        <f t="shared" si="230"/>
        <v>10</v>
      </c>
      <c r="K659" s="7">
        <v>1</v>
      </c>
      <c r="L659" s="7">
        <f t="shared" si="231"/>
        <v>10</v>
      </c>
      <c r="M659" s="7" t="s">
        <v>72</v>
      </c>
      <c r="N659" s="7">
        <f>SUMIF(Executions!B:B,A659,Executions!H:H)</f>
        <v>-9.5000000000000284</v>
      </c>
      <c r="O659" s="7">
        <f t="shared" si="232"/>
        <v>-0.95000000000000284</v>
      </c>
      <c r="P659" s="9">
        <f>Tabla1[[#This Row],[Initial Risk $]]/Tabla1[[#This Row],[Position Size (shares)]]+Tabla1[[#This Row],[Entry Price]]</f>
        <v>37.25</v>
      </c>
      <c r="Q659" s="9">
        <f>Tabla1[[#This Row],[Initial Risk $]]/Tabla1[[#This Row],[Position Size (shares)]]*1.5+Tabla1[[#This Row],[Entry Price]]</f>
        <v>37.75</v>
      </c>
      <c r="R659" s="9">
        <f>Tabla1[[#This Row],[Initial Risk $]]/Tabla1[[#This Row],[Position Size (shares)]]*2+Tabla1[[#This Row],[Entry Price]]</f>
        <v>38.25</v>
      </c>
      <c r="S659" s="9">
        <f>Tabla1[[#This Row],[Initial Risk $]]/Tabla1[[#This Row],[Position Size (shares)]]*2.5+Tabla1[[#This Row],[Entry Price]]</f>
        <v>38.75</v>
      </c>
      <c r="T659" s="9">
        <f>Tabla1[[#This Row],[Initial Risk $]]/Tabla1[[#This Row],[Position Size (shares)]]*3+Tabla1[[#This Row],[Entry Price]]</f>
        <v>39.25</v>
      </c>
    </row>
    <row r="660" spans="1:20" hidden="1" x14ac:dyDescent="0.25">
      <c r="A660" s="7" t="str">
        <f t="shared" ref="A660:A670" si="233">"T-"&amp; TEXT(ROW()-1,"000")</f>
        <v>T-659</v>
      </c>
      <c r="B660" s="8">
        <v>46247</v>
      </c>
      <c r="C660" s="7" t="s">
        <v>279</v>
      </c>
      <c r="D660" s="7" t="s">
        <v>28</v>
      </c>
      <c r="E660" s="7" t="s">
        <v>54</v>
      </c>
      <c r="F660" s="7">
        <v>916.52</v>
      </c>
      <c r="G660" s="7">
        <v>906</v>
      </c>
      <c r="H660" s="7">
        <f>Tabla1[[#This Row],[Entry Price]]-(Tabla1[[#This Row],[Entry Price]]-Tabla1[[#This Row],[Initial Stop]])/2</f>
        <v>911.26</v>
      </c>
      <c r="I660" s="7">
        <v>1</v>
      </c>
      <c r="J660" s="7">
        <f t="shared" ref="J660:J670" si="234">IF(D660="Long",(F660-G660)*I660,(G660-F660)*0)</f>
        <v>10.519999999999982</v>
      </c>
      <c r="K660" s="7">
        <v>1</v>
      </c>
      <c r="L660" s="7">
        <f t="shared" ref="L660:L670" si="235">J660*K660</f>
        <v>10.519999999999982</v>
      </c>
      <c r="M660" s="7" t="s">
        <v>72</v>
      </c>
      <c r="N660" s="7">
        <f>SUMIF(Executions!B:B,A660,Executions!H:H)</f>
        <v>32.480000000000018</v>
      </c>
      <c r="O660" s="7">
        <f t="shared" ref="O660:O670" si="236">N660/J660</f>
        <v>3.0874524714828966</v>
      </c>
      <c r="P660" s="9">
        <f>Tabla1[[#This Row],[Initial Risk $]]/Tabla1[[#This Row],[Position Size (shares)]]+Tabla1[[#This Row],[Entry Price]]</f>
        <v>927.04</v>
      </c>
      <c r="Q660" s="9">
        <f>Tabla1[[#This Row],[Initial Risk $]]/Tabla1[[#This Row],[Position Size (shares)]]*1.5+Tabla1[[#This Row],[Entry Price]]</f>
        <v>932.3</v>
      </c>
      <c r="R660" s="9">
        <f>Tabla1[[#This Row],[Initial Risk $]]/Tabla1[[#This Row],[Position Size (shares)]]*2+Tabla1[[#This Row],[Entry Price]]</f>
        <v>937.56</v>
      </c>
      <c r="S660" s="9">
        <f>Tabla1[[#This Row],[Initial Risk $]]/Tabla1[[#This Row],[Position Size (shares)]]*2.5+Tabla1[[#This Row],[Entry Price]]</f>
        <v>942.81999999999994</v>
      </c>
      <c r="T660" s="9">
        <f>Tabla1[[#This Row],[Initial Risk $]]/Tabla1[[#This Row],[Position Size (shares)]]*3+Tabla1[[#This Row],[Entry Price]]</f>
        <v>948.07999999999993</v>
      </c>
    </row>
    <row r="661" spans="1:20" hidden="1" x14ac:dyDescent="0.25">
      <c r="A661" s="7" t="str">
        <f t="shared" si="233"/>
        <v>T-660</v>
      </c>
      <c r="B661" s="8">
        <v>46247</v>
      </c>
      <c r="C661" s="7" t="s">
        <v>294</v>
      </c>
      <c r="D661" s="7" t="s">
        <v>28</v>
      </c>
      <c r="E661" s="7" t="s">
        <v>58</v>
      </c>
      <c r="F661" s="7">
        <v>155.76</v>
      </c>
      <c r="G661" s="7">
        <v>153.76</v>
      </c>
      <c r="H661" s="7">
        <f>Tabla1[[#This Row],[Entry Price]]-(Tabla1[[#This Row],[Entry Price]]-Tabla1[[#This Row],[Initial Stop]])/2</f>
        <v>154.76</v>
      </c>
      <c r="I661" s="7">
        <v>5</v>
      </c>
      <c r="J661" s="7">
        <f t="shared" si="234"/>
        <v>10</v>
      </c>
      <c r="K661" s="7">
        <v>1</v>
      </c>
      <c r="L661" s="7">
        <f t="shared" si="235"/>
        <v>10</v>
      </c>
      <c r="M661" s="7" t="s">
        <v>72</v>
      </c>
      <c r="N661" s="7">
        <f>SUMIF(Executions!B:B,A661,Executions!H:H)</f>
        <v>3.5000000000000853</v>
      </c>
      <c r="O661" s="7">
        <f t="shared" si="236"/>
        <v>0.35000000000000853</v>
      </c>
      <c r="P661" s="9">
        <f>Tabla1[[#This Row],[Initial Risk $]]/Tabla1[[#This Row],[Position Size (shares)]]+Tabla1[[#This Row],[Entry Price]]</f>
        <v>157.76</v>
      </c>
      <c r="Q661" s="9">
        <f>Tabla1[[#This Row],[Initial Risk $]]/Tabla1[[#This Row],[Position Size (shares)]]*1.5+Tabla1[[#This Row],[Entry Price]]</f>
        <v>158.76</v>
      </c>
      <c r="R661" s="9">
        <f>Tabla1[[#This Row],[Initial Risk $]]/Tabla1[[#This Row],[Position Size (shares)]]*2+Tabla1[[#This Row],[Entry Price]]</f>
        <v>159.76</v>
      </c>
      <c r="S661" s="9">
        <f>Tabla1[[#This Row],[Initial Risk $]]/Tabla1[[#This Row],[Position Size (shares)]]*2.5+Tabla1[[#This Row],[Entry Price]]</f>
        <v>160.76</v>
      </c>
      <c r="T661" s="9">
        <f>Tabla1[[#This Row],[Initial Risk $]]/Tabla1[[#This Row],[Position Size (shares)]]*3+Tabla1[[#This Row],[Entry Price]]</f>
        <v>161.76</v>
      </c>
    </row>
    <row r="662" spans="1:20" hidden="1" x14ac:dyDescent="0.25">
      <c r="A662" s="7" t="str">
        <f t="shared" si="233"/>
        <v>T-661</v>
      </c>
      <c r="B662" s="8">
        <v>46247</v>
      </c>
      <c r="C662" s="7" t="s">
        <v>912</v>
      </c>
      <c r="D662" s="7" t="s">
        <v>28</v>
      </c>
      <c r="E662" s="7" t="s">
        <v>58</v>
      </c>
      <c r="F662" s="7">
        <v>47.05</v>
      </c>
      <c r="G662" s="7">
        <v>46.43</v>
      </c>
      <c r="H662" s="7">
        <f>Tabla1[[#This Row],[Entry Price]]-(Tabla1[[#This Row],[Entry Price]]-Tabla1[[#This Row],[Initial Stop]])/2</f>
        <v>46.739999999999995</v>
      </c>
      <c r="I662" s="7">
        <v>20</v>
      </c>
      <c r="J662" s="7">
        <f t="shared" si="234"/>
        <v>12.399999999999949</v>
      </c>
      <c r="K662" s="7">
        <v>1</v>
      </c>
      <c r="L662" s="7">
        <f t="shared" si="235"/>
        <v>12.399999999999949</v>
      </c>
      <c r="M662" s="7" t="s">
        <v>72</v>
      </c>
      <c r="N662" s="7">
        <f>SUMIF(Executions!B:B,A662,Executions!H:H)</f>
        <v>-12.599999999999909</v>
      </c>
      <c r="O662" s="7">
        <f t="shared" si="236"/>
        <v>-1.0161290322580614</v>
      </c>
      <c r="P662" s="9">
        <f>Tabla1[[#This Row],[Initial Risk $]]/Tabla1[[#This Row],[Position Size (shares)]]+Tabla1[[#This Row],[Entry Price]]</f>
        <v>47.669999999999995</v>
      </c>
      <c r="Q662" s="9">
        <f>Tabla1[[#This Row],[Initial Risk $]]/Tabla1[[#This Row],[Position Size (shares)]]*1.5+Tabla1[[#This Row],[Entry Price]]</f>
        <v>47.97999999999999</v>
      </c>
      <c r="R662" s="9">
        <f>Tabla1[[#This Row],[Initial Risk $]]/Tabla1[[#This Row],[Position Size (shares)]]*2+Tabla1[[#This Row],[Entry Price]]</f>
        <v>48.289999999999992</v>
      </c>
      <c r="S662" s="9">
        <f>Tabla1[[#This Row],[Initial Risk $]]/Tabla1[[#This Row],[Position Size (shares)]]*2.5+Tabla1[[#This Row],[Entry Price]]</f>
        <v>48.599999999999994</v>
      </c>
      <c r="T662" s="9">
        <f>Tabla1[[#This Row],[Initial Risk $]]/Tabla1[[#This Row],[Position Size (shares)]]*3+Tabla1[[#This Row],[Entry Price]]</f>
        <v>48.909999999999989</v>
      </c>
    </row>
    <row r="663" spans="1:20" hidden="1" x14ac:dyDescent="0.25">
      <c r="A663" s="7" t="str">
        <f t="shared" si="233"/>
        <v>T-662</v>
      </c>
      <c r="B663" s="8">
        <v>46247</v>
      </c>
      <c r="C663" s="7" t="s">
        <v>161</v>
      </c>
      <c r="D663" s="7" t="s">
        <v>28</v>
      </c>
      <c r="E663" s="7" t="s">
        <v>58</v>
      </c>
      <c r="F663" s="7">
        <v>102.51</v>
      </c>
      <c r="G663" s="7">
        <v>101.01</v>
      </c>
      <c r="H663" s="7">
        <f>Tabla1[[#This Row],[Entry Price]]-(Tabla1[[#This Row],[Entry Price]]-Tabla1[[#This Row],[Initial Stop]])/2</f>
        <v>101.76</v>
      </c>
      <c r="I663" s="7">
        <v>7</v>
      </c>
      <c r="J663" s="7">
        <f t="shared" si="234"/>
        <v>10.5</v>
      </c>
      <c r="K663" s="7">
        <v>1</v>
      </c>
      <c r="L663" s="7">
        <f t="shared" si="235"/>
        <v>10.5</v>
      </c>
      <c r="M663" s="7" t="s">
        <v>72</v>
      </c>
      <c r="N663" s="7">
        <f>SUMIF(Executions!B:B,A663,Executions!H:H)</f>
        <v>26.25</v>
      </c>
      <c r="O663" s="7">
        <f t="shared" si="236"/>
        <v>2.5</v>
      </c>
      <c r="P663" s="9">
        <f>Tabla1[[#This Row],[Initial Risk $]]/Tabla1[[#This Row],[Position Size (shares)]]+Tabla1[[#This Row],[Entry Price]]</f>
        <v>104.01</v>
      </c>
      <c r="Q663" s="9">
        <f>Tabla1[[#This Row],[Initial Risk $]]/Tabla1[[#This Row],[Position Size (shares)]]*1.5+Tabla1[[#This Row],[Entry Price]]</f>
        <v>104.76</v>
      </c>
      <c r="R663" s="9">
        <f>Tabla1[[#This Row],[Initial Risk $]]/Tabla1[[#This Row],[Position Size (shares)]]*2+Tabla1[[#This Row],[Entry Price]]</f>
        <v>105.51</v>
      </c>
      <c r="S663" s="9">
        <f>Tabla1[[#This Row],[Initial Risk $]]/Tabla1[[#This Row],[Position Size (shares)]]*2.5+Tabla1[[#This Row],[Entry Price]]</f>
        <v>106.26</v>
      </c>
      <c r="T663" s="9">
        <f>Tabla1[[#This Row],[Initial Risk $]]/Tabla1[[#This Row],[Position Size (shares)]]*3+Tabla1[[#This Row],[Entry Price]]</f>
        <v>107.01</v>
      </c>
    </row>
    <row r="664" spans="1:20" hidden="1" x14ac:dyDescent="0.25">
      <c r="A664" s="7" t="str">
        <f t="shared" si="233"/>
        <v>T-663</v>
      </c>
      <c r="B664" s="8">
        <v>46247</v>
      </c>
      <c r="C664" s="7" t="s">
        <v>428</v>
      </c>
      <c r="D664" s="7" t="s">
        <v>28</v>
      </c>
      <c r="E664" s="7" t="s">
        <v>119</v>
      </c>
      <c r="F664" s="7">
        <v>499.29</v>
      </c>
      <c r="G664" s="7">
        <v>493.29</v>
      </c>
      <c r="H664" s="7">
        <f>Tabla1[[#This Row],[Entry Price]]-(Tabla1[[#This Row],[Entry Price]]-Tabla1[[#This Row],[Initial Stop]])/2</f>
        <v>496.29</v>
      </c>
      <c r="I664" s="7">
        <v>1</v>
      </c>
      <c r="J664" s="7">
        <f t="shared" si="234"/>
        <v>6</v>
      </c>
      <c r="K664" s="7">
        <v>1</v>
      </c>
      <c r="L664" s="7">
        <f t="shared" si="235"/>
        <v>6</v>
      </c>
      <c r="M664" s="7" t="s">
        <v>72</v>
      </c>
      <c r="N664" s="7">
        <f>SUMIF(Executions!B:B,A664,Executions!H:H)</f>
        <v>-3.5100000000000477</v>
      </c>
      <c r="O664" s="7">
        <f t="shared" si="236"/>
        <v>-0.58500000000000796</v>
      </c>
      <c r="P664" s="9">
        <f>Tabla1[[#This Row],[Initial Risk $]]/Tabla1[[#This Row],[Position Size (shares)]]+Tabla1[[#This Row],[Entry Price]]</f>
        <v>505.29</v>
      </c>
      <c r="Q664" s="9">
        <f>Tabla1[[#This Row],[Initial Risk $]]/Tabla1[[#This Row],[Position Size (shares)]]*1.5+Tabla1[[#This Row],[Entry Price]]</f>
        <v>508.29</v>
      </c>
      <c r="R664" s="9">
        <f>Tabla1[[#This Row],[Initial Risk $]]/Tabla1[[#This Row],[Position Size (shares)]]*2+Tabla1[[#This Row],[Entry Price]]</f>
        <v>511.29</v>
      </c>
      <c r="S664" s="9">
        <f>Tabla1[[#This Row],[Initial Risk $]]/Tabla1[[#This Row],[Position Size (shares)]]*2.5+Tabla1[[#This Row],[Entry Price]]</f>
        <v>514.29</v>
      </c>
      <c r="T664" s="9">
        <f>Tabla1[[#This Row],[Initial Risk $]]/Tabla1[[#This Row],[Position Size (shares)]]*3+Tabla1[[#This Row],[Entry Price]]</f>
        <v>517.29</v>
      </c>
    </row>
    <row r="665" spans="1:20" hidden="1" x14ac:dyDescent="0.25">
      <c r="A665" s="7" t="str">
        <f t="shared" si="233"/>
        <v>T-664</v>
      </c>
      <c r="B665" s="8">
        <v>46247</v>
      </c>
      <c r="C665" s="7" t="s">
        <v>718</v>
      </c>
      <c r="D665" s="7" t="s">
        <v>28</v>
      </c>
      <c r="E665" s="7" t="s">
        <v>58</v>
      </c>
      <c r="F665" s="7">
        <v>153.93</v>
      </c>
      <c r="G665" s="7">
        <v>152.49</v>
      </c>
      <c r="H665" s="7">
        <f>Tabla1[[#This Row],[Entry Price]]-(Tabla1[[#This Row],[Entry Price]]-Tabla1[[#This Row],[Initial Stop]])/2</f>
        <v>153.21</v>
      </c>
      <c r="I665" s="7">
        <v>4</v>
      </c>
      <c r="J665" s="7">
        <f t="shared" si="234"/>
        <v>5.7599999999999909</v>
      </c>
      <c r="K665" s="7">
        <v>1</v>
      </c>
      <c r="L665" s="7">
        <f t="shared" si="235"/>
        <v>5.7599999999999909</v>
      </c>
      <c r="M665" s="7" t="s">
        <v>72</v>
      </c>
      <c r="N665" s="7">
        <f>SUMIF(Executions!B:B,A665,Executions!H:H)</f>
        <v>-5.8799999999999955</v>
      </c>
      <c r="O665" s="7">
        <f t="shared" si="236"/>
        <v>-1.0208333333333341</v>
      </c>
      <c r="P665" s="9">
        <f>Tabla1[[#This Row],[Initial Risk $]]/Tabla1[[#This Row],[Position Size (shares)]]+Tabla1[[#This Row],[Entry Price]]</f>
        <v>155.37</v>
      </c>
      <c r="Q665" s="9">
        <f>Tabla1[[#This Row],[Initial Risk $]]/Tabla1[[#This Row],[Position Size (shares)]]*1.5+Tabla1[[#This Row],[Entry Price]]</f>
        <v>156.09</v>
      </c>
      <c r="R665" s="9">
        <f>Tabla1[[#This Row],[Initial Risk $]]/Tabla1[[#This Row],[Position Size (shares)]]*2+Tabla1[[#This Row],[Entry Price]]</f>
        <v>156.81</v>
      </c>
      <c r="S665" s="9">
        <f>Tabla1[[#This Row],[Initial Risk $]]/Tabla1[[#This Row],[Position Size (shares)]]*2.5+Tabla1[[#This Row],[Entry Price]]</f>
        <v>157.53</v>
      </c>
      <c r="T665" s="9">
        <f>Tabla1[[#This Row],[Initial Risk $]]/Tabla1[[#This Row],[Position Size (shares)]]*3+Tabla1[[#This Row],[Entry Price]]</f>
        <v>158.25</v>
      </c>
    </row>
    <row r="666" spans="1:20" hidden="1" x14ac:dyDescent="0.25">
      <c r="A666" s="7" t="str">
        <f t="shared" si="233"/>
        <v>T-665</v>
      </c>
      <c r="B666" s="8">
        <v>46247</v>
      </c>
      <c r="C666" s="7" t="s">
        <v>164</v>
      </c>
      <c r="D666" s="7" t="s">
        <v>28</v>
      </c>
      <c r="E666" s="7" t="s">
        <v>119</v>
      </c>
      <c r="F666" s="7">
        <v>226.16</v>
      </c>
      <c r="G666" s="7">
        <v>225.01</v>
      </c>
      <c r="H666" s="7">
        <f>Tabla1[[#This Row],[Entry Price]]-(Tabla1[[#This Row],[Entry Price]]-Tabla1[[#This Row],[Initial Stop]])/2</f>
        <v>225.58499999999998</v>
      </c>
      <c r="I666" s="7">
        <v>5</v>
      </c>
      <c r="J666" s="7">
        <f t="shared" si="234"/>
        <v>5.7500000000000284</v>
      </c>
      <c r="K666" s="7">
        <v>1</v>
      </c>
      <c r="L666" s="7">
        <f t="shared" si="235"/>
        <v>5.7500000000000284</v>
      </c>
      <c r="M666" s="7" t="s">
        <v>72</v>
      </c>
      <c r="N666" s="7">
        <f>SUMIF(Executions!B:B,A666,Executions!H:H)</f>
        <v>-5.7500000000000284</v>
      </c>
      <c r="O666" s="7">
        <f t="shared" si="236"/>
        <v>-1</v>
      </c>
      <c r="P666" s="9">
        <f>Tabla1[[#This Row],[Initial Risk $]]/Tabla1[[#This Row],[Position Size (shares)]]+Tabla1[[#This Row],[Entry Price]]</f>
        <v>227.31</v>
      </c>
      <c r="Q666" s="9">
        <f>Tabla1[[#This Row],[Initial Risk $]]/Tabla1[[#This Row],[Position Size (shares)]]*1.5+Tabla1[[#This Row],[Entry Price]]</f>
        <v>227.88499999999999</v>
      </c>
      <c r="R666" s="9">
        <f>Tabla1[[#This Row],[Initial Risk $]]/Tabla1[[#This Row],[Position Size (shares)]]*2+Tabla1[[#This Row],[Entry Price]]</f>
        <v>228.46</v>
      </c>
      <c r="S666" s="9">
        <f>Tabla1[[#This Row],[Initial Risk $]]/Tabla1[[#This Row],[Position Size (shares)]]*2.5+Tabla1[[#This Row],[Entry Price]]</f>
        <v>229.03500000000003</v>
      </c>
      <c r="T666" s="9">
        <f>Tabla1[[#This Row],[Initial Risk $]]/Tabla1[[#This Row],[Position Size (shares)]]*3+Tabla1[[#This Row],[Entry Price]]</f>
        <v>229.61</v>
      </c>
    </row>
    <row r="667" spans="1:20" hidden="1" x14ac:dyDescent="0.25">
      <c r="A667" s="7" t="str">
        <f t="shared" si="233"/>
        <v>T-666</v>
      </c>
      <c r="B667" s="8">
        <v>46247</v>
      </c>
      <c r="C667" s="7" t="s">
        <v>399</v>
      </c>
      <c r="D667" s="7" t="s">
        <v>28</v>
      </c>
      <c r="E667" s="7" t="s">
        <v>58</v>
      </c>
      <c r="F667" s="7">
        <v>30.45</v>
      </c>
      <c r="G667" s="7">
        <v>30.12</v>
      </c>
      <c r="H667" s="7">
        <f>Tabla1[[#This Row],[Entry Price]]-(Tabla1[[#This Row],[Entry Price]]-Tabla1[[#This Row],[Initial Stop]])/2</f>
        <v>30.285</v>
      </c>
      <c r="I667" s="7">
        <v>20</v>
      </c>
      <c r="J667" s="7">
        <f t="shared" si="234"/>
        <v>6.5999999999999659</v>
      </c>
      <c r="K667" s="7">
        <v>1</v>
      </c>
      <c r="L667" s="7">
        <f t="shared" si="235"/>
        <v>6.5999999999999659</v>
      </c>
      <c r="M667" s="7" t="s">
        <v>72</v>
      </c>
      <c r="N667" s="7">
        <f>SUMIF(Executions!B:B,A667,Executions!H:H)</f>
        <v>-6.7999999999999972</v>
      </c>
      <c r="O667" s="7">
        <f t="shared" si="236"/>
        <v>-1.0303030303030352</v>
      </c>
      <c r="P667" s="9">
        <f>Tabla1[[#This Row],[Initial Risk $]]/Tabla1[[#This Row],[Position Size (shares)]]+Tabla1[[#This Row],[Entry Price]]</f>
        <v>30.779999999999998</v>
      </c>
      <c r="Q667" s="9">
        <f>Tabla1[[#This Row],[Initial Risk $]]/Tabla1[[#This Row],[Position Size (shares)]]*1.5+Tabla1[[#This Row],[Entry Price]]</f>
        <v>30.944999999999997</v>
      </c>
      <c r="R667" s="9">
        <f>Tabla1[[#This Row],[Initial Risk $]]/Tabla1[[#This Row],[Position Size (shares)]]*2+Tabla1[[#This Row],[Entry Price]]</f>
        <v>31.109999999999996</v>
      </c>
      <c r="S667" s="9">
        <f>Tabla1[[#This Row],[Initial Risk $]]/Tabla1[[#This Row],[Position Size (shares)]]*2.5+Tabla1[[#This Row],[Entry Price]]</f>
        <v>31.274999999999995</v>
      </c>
      <c r="T667" s="9">
        <f>Tabla1[[#This Row],[Initial Risk $]]/Tabla1[[#This Row],[Position Size (shares)]]*3+Tabla1[[#This Row],[Entry Price]]</f>
        <v>31.439999999999994</v>
      </c>
    </row>
    <row r="668" spans="1:20" hidden="1" x14ac:dyDescent="0.25">
      <c r="A668" s="7" t="str">
        <f t="shared" si="233"/>
        <v>T-667</v>
      </c>
      <c r="B668" s="8">
        <v>46247</v>
      </c>
      <c r="C668" s="7" t="s">
        <v>211</v>
      </c>
      <c r="D668" s="7" t="s">
        <v>28</v>
      </c>
      <c r="E668" s="7" t="s">
        <v>119</v>
      </c>
      <c r="F668" s="7">
        <v>10.37</v>
      </c>
      <c r="G668" s="7">
        <v>10.14</v>
      </c>
      <c r="H668" s="7">
        <f>Tabla1[[#This Row],[Entry Price]]-(Tabla1[[#This Row],[Entry Price]]-Tabla1[[#This Row],[Initial Stop]])/2</f>
        <v>10.254999999999999</v>
      </c>
      <c r="I668" s="7">
        <v>40</v>
      </c>
      <c r="J668" s="7">
        <f t="shared" si="234"/>
        <v>9.199999999999946</v>
      </c>
      <c r="K668" s="7">
        <v>1</v>
      </c>
      <c r="L668" s="7">
        <f t="shared" si="235"/>
        <v>9.199999999999946</v>
      </c>
      <c r="M668" s="7" t="s">
        <v>72</v>
      </c>
      <c r="N668" s="7">
        <f>SUMIF(Executions!B:B,A668,Executions!H:H)</f>
        <v>-9.5999999999999375</v>
      </c>
      <c r="O668" s="7">
        <f t="shared" si="236"/>
        <v>-1.0434782608695645</v>
      </c>
      <c r="P668" s="9">
        <f>Tabla1[[#This Row],[Initial Risk $]]/Tabla1[[#This Row],[Position Size (shares)]]+Tabla1[[#This Row],[Entry Price]]</f>
        <v>10.599999999999998</v>
      </c>
      <c r="Q668" s="9">
        <f>Tabla1[[#This Row],[Initial Risk $]]/Tabla1[[#This Row],[Position Size (shares)]]*1.5+Tabla1[[#This Row],[Entry Price]]</f>
        <v>10.714999999999996</v>
      </c>
      <c r="R668" s="9">
        <f>Tabla1[[#This Row],[Initial Risk $]]/Tabla1[[#This Row],[Position Size (shares)]]*2+Tabla1[[#This Row],[Entry Price]]</f>
        <v>10.829999999999997</v>
      </c>
      <c r="S668" s="9">
        <f>Tabla1[[#This Row],[Initial Risk $]]/Tabla1[[#This Row],[Position Size (shares)]]*2.5+Tabla1[[#This Row],[Entry Price]]</f>
        <v>10.944999999999997</v>
      </c>
      <c r="T668" s="9">
        <f>Tabla1[[#This Row],[Initial Risk $]]/Tabla1[[#This Row],[Position Size (shares)]]*3+Tabla1[[#This Row],[Entry Price]]</f>
        <v>11.059999999999995</v>
      </c>
    </row>
    <row r="669" spans="1:20" hidden="1" x14ac:dyDescent="0.25">
      <c r="A669" s="7" t="str">
        <f t="shared" si="233"/>
        <v>T-668</v>
      </c>
      <c r="B669" s="8">
        <v>46247</v>
      </c>
      <c r="C669" s="7" t="s">
        <v>279</v>
      </c>
      <c r="D669" s="7" t="s">
        <v>28</v>
      </c>
      <c r="E669" s="7" t="s">
        <v>119</v>
      </c>
      <c r="F669" s="7">
        <v>959.73</v>
      </c>
      <c r="G669" s="7">
        <v>949.73</v>
      </c>
      <c r="H669" s="7">
        <f>Tabla1[[#This Row],[Entry Price]]-(Tabla1[[#This Row],[Entry Price]]-Tabla1[[#This Row],[Initial Stop]])/2</f>
        <v>954.73</v>
      </c>
      <c r="I669" s="7">
        <v>1</v>
      </c>
      <c r="J669" s="7">
        <f t="shared" si="234"/>
        <v>10</v>
      </c>
      <c r="K669" s="7">
        <v>1</v>
      </c>
      <c r="L669" s="7">
        <f t="shared" si="235"/>
        <v>10</v>
      </c>
      <c r="M669" s="7" t="s">
        <v>72</v>
      </c>
      <c r="N669" s="7">
        <f>SUMIF(Executions!B:B,A669,Executions!H:H)</f>
        <v>4.67999999999995</v>
      </c>
      <c r="O669" s="7">
        <f t="shared" si="236"/>
        <v>0.46799999999999498</v>
      </c>
      <c r="P669" s="9">
        <f>Tabla1[[#This Row],[Initial Risk $]]/Tabla1[[#This Row],[Position Size (shares)]]+Tabla1[[#This Row],[Entry Price]]</f>
        <v>969.73</v>
      </c>
      <c r="Q669" s="9">
        <f>Tabla1[[#This Row],[Initial Risk $]]/Tabla1[[#This Row],[Position Size (shares)]]*1.5+Tabla1[[#This Row],[Entry Price]]</f>
        <v>974.73</v>
      </c>
      <c r="R669" s="9">
        <f>Tabla1[[#This Row],[Initial Risk $]]/Tabla1[[#This Row],[Position Size (shares)]]*2+Tabla1[[#This Row],[Entry Price]]</f>
        <v>979.73</v>
      </c>
      <c r="S669" s="9">
        <f>Tabla1[[#This Row],[Initial Risk $]]/Tabla1[[#This Row],[Position Size (shares)]]*2.5+Tabla1[[#This Row],[Entry Price]]</f>
        <v>984.73</v>
      </c>
      <c r="T669" s="9">
        <f>Tabla1[[#This Row],[Initial Risk $]]/Tabla1[[#This Row],[Position Size (shares)]]*3+Tabla1[[#This Row],[Entry Price]]</f>
        <v>989.73</v>
      </c>
    </row>
    <row r="670" spans="1:20" hidden="1" x14ac:dyDescent="0.25">
      <c r="A670" s="7" t="str">
        <f t="shared" si="233"/>
        <v>T-669</v>
      </c>
      <c r="B670" s="8">
        <v>46247</v>
      </c>
      <c r="C670" s="7" t="s">
        <v>161</v>
      </c>
      <c r="D670" s="7" t="s">
        <v>28</v>
      </c>
      <c r="E670" s="7" t="s">
        <v>119</v>
      </c>
      <c r="F670" s="7">
        <v>105.24</v>
      </c>
      <c r="G670" s="7">
        <v>100.24</v>
      </c>
      <c r="H670" s="7">
        <f>Tabla1[[#This Row],[Entry Price]]-(Tabla1[[#This Row],[Entry Price]]-Tabla1[[#This Row],[Initial Stop]])/2</f>
        <v>102.74</v>
      </c>
      <c r="I670" s="7">
        <v>1</v>
      </c>
      <c r="J670" s="7">
        <f t="shared" si="234"/>
        <v>5</v>
      </c>
      <c r="K670" s="7">
        <v>1</v>
      </c>
      <c r="L670" s="7">
        <f t="shared" si="235"/>
        <v>5</v>
      </c>
      <c r="M670" s="7" t="s">
        <v>72</v>
      </c>
      <c r="N670" s="7">
        <f>SUMIF(Executions!B:B,A670,Executions!H:H)</f>
        <v>-10.280000000000001</v>
      </c>
      <c r="O670" s="7">
        <f t="shared" si="236"/>
        <v>-2.056</v>
      </c>
      <c r="P670" s="9">
        <f>Tabla1[[#This Row],[Initial Risk $]]/Tabla1[[#This Row],[Position Size (shares)]]+Tabla1[[#This Row],[Entry Price]]</f>
        <v>110.24</v>
      </c>
      <c r="Q670" s="9">
        <f>Tabla1[[#This Row],[Initial Risk $]]/Tabla1[[#This Row],[Position Size (shares)]]*1.5+Tabla1[[#This Row],[Entry Price]]</f>
        <v>112.74</v>
      </c>
      <c r="R670" s="9">
        <f>Tabla1[[#This Row],[Initial Risk $]]/Tabla1[[#This Row],[Position Size (shares)]]*2+Tabla1[[#This Row],[Entry Price]]</f>
        <v>115.24</v>
      </c>
      <c r="S670" s="9">
        <f>Tabla1[[#This Row],[Initial Risk $]]/Tabla1[[#This Row],[Position Size (shares)]]*2.5+Tabla1[[#This Row],[Entry Price]]</f>
        <v>117.74</v>
      </c>
      <c r="T670" s="9">
        <f>Tabla1[[#This Row],[Initial Risk $]]/Tabla1[[#This Row],[Position Size (shares)]]*3+Tabla1[[#This Row],[Entry Price]]</f>
        <v>120.24</v>
      </c>
    </row>
    <row r="671" spans="1:20" hidden="1" x14ac:dyDescent="0.25">
      <c r="A671" s="7" t="str">
        <f t="shared" ref="A671:A678" si="237">"T-"&amp; TEXT(ROW()-1,"000")</f>
        <v>T-670</v>
      </c>
      <c r="B671" s="8">
        <v>46248</v>
      </c>
      <c r="C671" s="7" t="s">
        <v>923</v>
      </c>
      <c r="D671" s="7" t="s">
        <v>28</v>
      </c>
      <c r="E671" s="7" t="s">
        <v>51</v>
      </c>
      <c r="F671" s="7">
        <v>15.92</v>
      </c>
      <c r="G671" s="7">
        <v>15.62</v>
      </c>
      <c r="H671" s="7">
        <f>Tabla1[[#This Row],[Entry Price]]-(Tabla1[[#This Row],[Entry Price]]-Tabla1[[#This Row],[Initial Stop]])/2</f>
        <v>15.77</v>
      </c>
      <c r="I671" s="7">
        <v>30</v>
      </c>
      <c r="J671" s="7">
        <f t="shared" ref="J671:J678" si="238">IF(D671="Long",(F671-G671)*I671,(G671-F671)*0)</f>
        <v>9.0000000000000213</v>
      </c>
      <c r="K671" s="7">
        <v>1</v>
      </c>
      <c r="L671" s="7">
        <f t="shared" ref="L671:L678" si="239">J671*K671</f>
        <v>9.0000000000000213</v>
      </c>
      <c r="M671" s="7" t="s">
        <v>72</v>
      </c>
      <c r="N671" s="7">
        <f>SUMIF(Executions!B:B,A671,Executions!H:H)</f>
        <v>-9.3000000000000149</v>
      </c>
      <c r="O671" s="7">
        <f t="shared" ref="O671:O678" si="240">N671/J671</f>
        <v>-1.0333333333333325</v>
      </c>
      <c r="P671" s="9">
        <f>Tabla1[[#This Row],[Initial Risk $]]/Tabla1[[#This Row],[Position Size (shares)]]+Tabla1[[#This Row],[Entry Price]]</f>
        <v>16.22</v>
      </c>
      <c r="Q671" s="9">
        <f>Tabla1[[#This Row],[Initial Risk $]]/Tabla1[[#This Row],[Position Size (shares)]]*1.5+Tabla1[[#This Row],[Entry Price]]</f>
        <v>16.37</v>
      </c>
      <c r="R671" s="9">
        <f>Tabla1[[#This Row],[Initial Risk $]]/Tabla1[[#This Row],[Position Size (shares)]]*2+Tabla1[[#This Row],[Entry Price]]</f>
        <v>16.520000000000003</v>
      </c>
      <c r="S671" s="9">
        <f>Tabla1[[#This Row],[Initial Risk $]]/Tabla1[[#This Row],[Position Size (shares)]]*2.5+Tabla1[[#This Row],[Entry Price]]</f>
        <v>16.670000000000002</v>
      </c>
      <c r="T671" s="9">
        <f>Tabla1[[#This Row],[Initial Risk $]]/Tabla1[[#This Row],[Position Size (shares)]]*3+Tabla1[[#This Row],[Entry Price]]</f>
        <v>16.82</v>
      </c>
    </row>
    <row r="672" spans="1:20" hidden="1" x14ac:dyDescent="0.25">
      <c r="A672" s="7" t="str">
        <f t="shared" si="237"/>
        <v>T-671</v>
      </c>
      <c r="B672" s="8">
        <v>46248</v>
      </c>
      <c r="C672" s="7" t="s">
        <v>154</v>
      </c>
      <c r="D672" s="7" t="s">
        <v>28</v>
      </c>
      <c r="E672" s="7" t="s">
        <v>58</v>
      </c>
      <c r="F672" s="7">
        <v>347.54</v>
      </c>
      <c r="G672" s="7">
        <v>343.54</v>
      </c>
      <c r="H672" s="7">
        <f>Tabla1[[#This Row],[Entry Price]]-(Tabla1[[#This Row],[Entry Price]]-Tabla1[[#This Row],[Initial Stop]])/2</f>
        <v>345.54</v>
      </c>
      <c r="I672" s="7">
        <v>2</v>
      </c>
      <c r="J672" s="7">
        <f t="shared" si="238"/>
        <v>8</v>
      </c>
      <c r="K672" s="7">
        <v>1</v>
      </c>
      <c r="L672" s="7">
        <f t="shared" si="239"/>
        <v>8</v>
      </c>
      <c r="M672" s="7" t="s">
        <v>72</v>
      </c>
      <c r="N672" s="7">
        <f>SUMIF(Executions!B:B,A672,Executions!H:H)</f>
        <v>-7.9800000000000182</v>
      </c>
      <c r="O672" s="7">
        <f t="shared" si="240"/>
        <v>-0.99750000000000227</v>
      </c>
      <c r="P672" s="9">
        <f>Tabla1[[#This Row],[Initial Risk $]]/Tabla1[[#This Row],[Position Size (shares)]]+Tabla1[[#This Row],[Entry Price]]</f>
        <v>351.54</v>
      </c>
      <c r="Q672" s="9">
        <f>Tabla1[[#This Row],[Initial Risk $]]/Tabla1[[#This Row],[Position Size (shares)]]*1.5+Tabla1[[#This Row],[Entry Price]]</f>
        <v>353.54</v>
      </c>
      <c r="R672" s="9">
        <f>Tabla1[[#This Row],[Initial Risk $]]/Tabla1[[#This Row],[Position Size (shares)]]*2+Tabla1[[#This Row],[Entry Price]]</f>
        <v>355.54</v>
      </c>
      <c r="S672" s="9">
        <f>Tabla1[[#This Row],[Initial Risk $]]/Tabla1[[#This Row],[Position Size (shares)]]*2.5+Tabla1[[#This Row],[Entry Price]]</f>
        <v>357.54</v>
      </c>
      <c r="T672" s="9">
        <f>Tabla1[[#This Row],[Initial Risk $]]/Tabla1[[#This Row],[Position Size (shares)]]*3+Tabla1[[#This Row],[Entry Price]]</f>
        <v>359.54</v>
      </c>
    </row>
    <row r="673" spans="1:20" hidden="1" x14ac:dyDescent="0.25">
      <c r="A673" s="7" t="str">
        <f t="shared" si="237"/>
        <v>T-672</v>
      </c>
      <c r="B673" s="8">
        <v>46248</v>
      </c>
      <c r="C673" s="7" t="s">
        <v>294</v>
      </c>
      <c r="D673" s="7" t="s">
        <v>28</v>
      </c>
      <c r="E673" s="7" t="s">
        <v>119</v>
      </c>
      <c r="F673" s="7">
        <v>155.16999999999999</v>
      </c>
      <c r="G673" s="7">
        <v>153.87</v>
      </c>
      <c r="H673" s="7">
        <f>Tabla1[[#This Row],[Entry Price]]-(Tabla1[[#This Row],[Entry Price]]-Tabla1[[#This Row],[Initial Stop]])/2</f>
        <v>154.51999999999998</v>
      </c>
      <c r="I673" s="7">
        <v>10</v>
      </c>
      <c r="J673" s="7">
        <f t="shared" si="238"/>
        <v>12.999999999999829</v>
      </c>
      <c r="K673" s="7">
        <v>1</v>
      </c>
      <c r="L673" s="7">
        <f t="shared" si="239"/>
        <v>12.999999999999829</v>
      </c>
      <c r="M673" s="7" t="s">
        <v>72</v>
      </c>
      <c r="N673" s="7">
        <f>SUMIF(Executions!B:B,A673,Executions!H:H)</f>
        <v>-13.299999999999841</v>
      </c>
      <c r="O673" s="7">
        <f t="shared" si="240"/>
        <v>-1.0230769230769243</v>
      </c>
      <c r="P673" s="9">
        <f>Tabla1[[#This Row],[Initial Risk $]]/Tabla1[[#This Row],[Position Size (shares)]]+Tabla1[[#This Row],[Entry Price]]</f>
        <v>156.46999999999997</v>
      </c>
      <c r="Q673" s="9">
        <f>Tabla1[[#This Row],[Initial Risk $]]/Tabla1[[#This Row],[Position Size (shares)]]*1.5+Tabla1[[#This Row],[Entry Price]]</f>
        <v>157.11999999999995</v>
      </c>
      <c r="R673" s="9">
        <f>Tabla1[[#This Row],[Initial Risk $]]/Tabla1[[#This Row],[Position Size (shares)]]*2+Tabla1[[#This Row],[Entry Price]]</f>
        <v>157.76999999999995</v>
      </c>
      <c r="S673" s="9">
        <f>Tabla1[[#This Row],[Initial Risk $]]/Tabla1[[#This Row],[Position Size (shares)]]*2.5+Tabla1[[#This Row],[Entry Price]]</f>
        <v>158.41999999999996</v>
      </c>
      <c r="T673" s="9">
        <f>Tabla1[[#This Row],[Initial Risk $]]/Tabla1[[#This Row],[Position Size (shares)]]*3+Tabla1[[#This Row],[Entry Price]]</f>
        <v>159.06999999999994</v>
      </c>
    </row>
    <row r="674" spans="1:20" hidden="1" x14ac:dyDescent="0.25">
      <c r="A674" s="7" t="str">
        <f t="shared" si="237"/>
        <v>T-673</v>
      </c>
      <c r="B674" s="8">
        <v>46248</v>
      </c>
      <c r="C674" s="7" t="s">
        <v>279</v>
      </c>
      <c r="D674" s="7" t="s">
        <v>28</v>
      </c>
      <c r="E674" s="7" t="s">
        <v>119</v>
      </c>
      <c r="F674" s="7">
        <v>970.83</v>
      </c>
      <c r="G674" s="7">
        <v>960.83</v>
      </c>
      <c r="H674" s="7">
        <f>Tabla1[[#This Row],[Entry Price]]-(Tabla1[[#This Row],[Entry Price]]-Tabla1[[#This Row],[Initial Stop]])/2</f>
        <v>965.83</v>
      </c>
      <c r="I674" s="7">
        <v>1</v>
      </c>
      <c r="J674" s="7">
        <f t="shared" si="238"/>
        <v>10</v>
      </c>
      <c r="K674" s="7">
        <v>1</v>
      </c>
      <c r="L674" s="7">
        <f t="shared" si="239"/>
        <v>10</v>
      </c>
      <c r="M674" s="7" t="s">
        <v>72</v>
      </c>
      <c r="N674" s="7">
        <f>SUMIF(Executions!B:B,A674,Executions!H:H)</f>
        <v>-7.7400000000000091</v>
      </c>
      <c r="O674" s="7">
        <f t="shared" si="240"/>
        <v>-0.77400000000000091</v>
      </c>
      <c r="P674" s="9">
        <f>Tabla1[[#This Row],[Initial Risk $]]/Tabla1[[#This Row],[Position Size (shares)]]+Tabla1[[#This Row],[Entry Price]]</f>
        <v>980.83</v>
      </c>
      <c r="Q674" s="9">
        <f>Tabla1[[#This Row],[Initial Risk $]]/Tabla1[[#This Row],[Position Size (shares)]]*1.5+Tabla1[[#This Row],[Entry Price]]</f>
        <v>985.83</v>
      </c>
      <c r="R674" s="9">
        <f>Tabla1[[#This Row],[Initial Risk $]]/Tabla1[[#This Row],[Position Size (shares)]]*2+Tabla1[[#This Row],[Entry Price]]</f>
        <v>990.83</v>
      </c>
      <c r="S674" s="9">
        <f>Tabla1[[#This Row],[Initial Risk $]]/Tabla1[[#This Row],[Position Size (shares)]]*2.5+Tabla1[[#This Row],[Entry Price]]</f>
        <v>995.83</v>
      </c>
      <c r="T674" s="9">
        <f>Tabla1[[#This Row],[Initial Risk $]]/Tabla1[[#This Row],[Position Size (shares)]]*3+Tabla1[[#This Row],[Entry Price]]</f>
        <v>1000.83</v>
      </c>
    </row>
    <row r="675" spans="1:20" hidden="1" x14ac:dyDescent="0.25">
      <c r="A675" s="7" t="str">
        <f t="shared" si="237"/>
        <v>T-674</v>
      </c>
      <c r="B675" s="8">
        <v>46248</v>
      </c>
      <c r="C675" s="7" t="s">
        <v>359</v>
      </c>
      <c r="D675" s="7" t="s">
        <v>28</v>
      </c>
      <c r="E675" s="7" t="s">
        <v>119</v>
      </c>
      <c r="F675" s="7">
        <v>78.44</v>
      </c>
      <c r="G675" s="7">
        <v>77.72</v>
      </c>
      <c r="H675" s="7">
        <f>Tabla1[[#This Row],[Entry Price]]-(Tabla1[[#This Row],[Entry Price]]-Tabla1[[#This Row],[Initial Stop]])/2</f>
        <v>78.08</v>
      </c>
      <c r="I675" s="7">
        <v>15</v>
      </c>
      <c r="J675" s="7">
        <f t="shared" si="238"/>
        <v>10.799999999999983</v>
      </c>
      <c r="K675" s="7">
        <v>1</v>
      </c>
      <c r="L675" s="7">
        <f t="shared" si="239"/>
        <v>10.799999999999983</v>
      </c>
      <c r="M675" s="7" t="s">
        <v>72</v>
      </c>
      <c r="N675" s="7">
        <f>SUMIF(Executions!B:B,A675,Executions!H:H)</f>
        <v>-5.2499999999999147</v>
      </c>
      <c r="O675" s="7">
        <f t="shared" si="240"/>
        <v>-0.486111111111104</v>
      </c>
      <c r="P675" s="9">
        <f>Tabla1[[#This Row],[Initial Risk $]]/Tabla1[[#This Row],[Position Size (shares)]]+Tabla1[[#This Row],[Entry Price]]</f>
        <v>79.16</v>
      </c>
      <c r="Q675" s="9">
        <f>Tabla1[[#This Row],[Initial Risk $]]/Tabla1[[#This Row],[Position Size (shares)]]*1.5+Tabla1[[#This Row],[Entry Price]]</f>
        <v>79.52</v>
      </c>
      <c r="R675" s="9">
        <f>Tabla1[[#This Row],[Initial Risk $]]/Tabla1[[#This Row],[Position Size (shares)]]*2+Tabla1[[#This Row],[Entry Price]]</f>
        <v>79.88</v>
      </c>
      <c r="S675" s="9">
        <f>Tabla1[[#This Row],[Initial Risk $]]/Tabla1[[#This Row],[Position Size (shares)]]*2.5+Tabla1[[#This Row],[Entry Price]]</f>
        <v>80.239999999999995</v>
      </c>
      <c r="T675" s="9">
        <f>Tabla1[[#This Row],[Initial Risk $]]/Tabla1[[#This Row],[Position Size (shares)]]*3+Tabla1[[#This Row],[Entry Price]]</f>
        <v>80.599999999999994</v>
      </c>
    </row>
    <row r="676" spans="1:20" hidden="1" x14ac:dyDescent="0.25">
      <c r="A676" s="7" t="str">
        <f t="shared" si="237"/>
        <v>T-675</v>
      </c>
      <c r="B676" s="8">
        <v>46248</v>
      </c>
      <c r="C676" s="7" t="s">
        <v>561</v>
      </c>
      <c r="D676" s="7" t="s">
        <v>28</v>
      </c>
      <c r="E676" s="7" t="s">
        <v>50</v>
      </c>
      <c r="F676" s="7">
        <v>185.43</v>
      </c>
      <c r="G676" s="7">
        <v>184.22</v>
      </c>
      <c r="H676" s="7">
        <f>Tabla1[[#This Row],[Entry Price]]-(Tabla1[[#This Row],[Entry Price]]-Tabla1[[#This Row],[Initial Stop]])/2</f>
        <v>184.82499999999999</v>
      </c>
      <c r="I676" s="7">
        <v>5</v>
      </c>
      <c r="J676" s="7">
        <f t="shared" si="238"/>
        <v>6.0500000000000398</v>
      </c>
      <c r="K676" s="7">
        <v>1</v>
      </c>
      <c r="L676" s="7">
        <f t="shared" si="239"/>
        <v>6.0500000000000398</v>
      </c>
      <c r="M676" s="7" t="s">
        <v>72</v>
      </c>
      <c r="N676" s="7">
        <f>SUMIF(Executions!B:B,A676,Executions!H:H)</f>
        <v>-4.7500000000000853</v>
      </c>
      <c r="O676" s="7">
        <f t="shared" si="240"/>
        <v>-0.78512396694215769</v>
      </c>
      <c r="P676" s="9">
        <f>Tabla1[[#This Row],[Initial Risk $]]/Tabla1[[#This Row],[Position Size (shares)]]+Tabla1[[#This Row],[Entry Price]]</f>
        <v>186.64000000000001</v>
      </c>
      <c r="Q676" s="9">
        <f>Tabla1[[#This Row],[Initial Risk $]]/Tabla1[[#This Row],[Position Size (shares)]]*1.5+Tabla1[[#This Row],[Entry Price]]</f>
        <v>187.245</v>
      </c>
      <c r="R676" s="9">
        <f>Tabla1[[#This Row],[Initial Risk $]]/Tabla1[[#This Row],[Position Size (shares)]]*2+Tabla1[[#This Row],[Entry Price]]</f>
        <v>187.85000000000002</v>
      </c>
      <c r="S676" s="9">
        <f>Tabla1[[#This Row],[Initial Risk $]]/Tabla1[[#This Row],[Position Size (shares)]]*2.5+Tabla1[[#This Row],[Entry Price]]</f>
        <v>188.45500000000004</v>
      </c>
      <c r="T676" s="9">
        <f>Tabla1[[#This Row],[Initial Risk $]]/Tabla1[[#This Row],[Position Size (shares)]]*3+Tabla1[[#This Row],[Entry Price]]</f>
        <v>189.06000000000003</v>
      </c>
    </row>
    <row r="677" spans="1:20" hidden="1" x14ac:dyDescent="0.25">
      <c r="A677" s="7" t="str">
        <f t="shared" si="237"/>
        <v>T-676</v>
      </c>
      <c r="B677" s="8">
        <v>46248</v>
      </c>
      <c r="C677" s="7" t="s">
        <v>161</v>
      </c>
      <c r="D677" s="7" t="s">
        <v>28</v>
      </c>
      <c r="E677" s="7" t="s">
        <v>52</v>
      </c>
      <c r="F677" s="7">
        <v>106.51</v>
      </c>
      <c r="G677" s="7">
        <v>103.72</v>
      </c>
      <c r="H677" s="7">
        <f>Tabla1[[#This Row],[Entry Price]]-(Tabla1[[#This Row],[Entry Price]]-Tabla1[[#This Row],[Initial Stop]])/2</f>
        <v>105.11500000000001</v>
      </c>
      <c r="I677" s="7">
        <v>9</v>
      </c>
      <c r="J677" s="7">
        <f t="shared" si="238"/>
        <v>25.110000000000056</v>
      </c>
      <c r="K677" s="7">
        <v>1</v>
      </c>
      <c r="L677" s="7">
        <f t="shared" si="239"/>
        <v>25.110000000000056</v>
      </c>
      <c r="M677" s="7" t="s">
        <v>72</v>
      </c>
      <c r="N677" s="7">
        <f>SUMIF(Executions!B:B,A677,Executions!H:H)</f>
        <v>-103.9500000000001</v>
      </c>
      <c r="O677" s="7">
        <f t="shared" si="240"/>
        <v>-4.1397849462365537</v>
      </c>
      <c r="P677" s="9">
        <f>Tabla1[[#This Row],[Initial Risk $]]/Tabla1[[#This Row],[Position Size (shares)]]+Tabla1[[#This Row],[Entry Price]]</f>
        <v>109.30000000000001</v>
      </c>
      <c r="Q677" s="9">
        <f>Tabla1[[#This Row],[Initial Risk $]]/Tabla1[[#This Row],[Position Size (shares)]]*1.5+Tabla1[[#This Row],[Entry Price]]</f>
        <v>110.69500000000002</v>
      </c>
      <c r="R677" s="9">
        <f>Tabla1[[#This Row],[Initial Risk $]]/Tabla1[[#This Row],[Position Size (shares)]]*2+Tabla1[[#This Row],[Entry Price]]</f>
        <v>112.09000000000002</v>
      </c>
      <c r="S677" s="9">
        <f>Tabla1[[#This Row],[Initial Risk $]]/Tabla1[[#This Row],[Position Size (shares)]]*2.5+Tabla1[[#This Row],[Entry Price]]</f>
        <v>113.48500000000001</v>
      </c>
      <c r="T677" s="9">
        <f>Tabla1[[#This Row],[Initial Risk $]]/Tabla1[[#This Row],[Position Size (shares)]]*3+Tabla1[[#This Row],[Entry Price]]</f>
        <v>114.88000000000002</v>
      </c>
    </row>
    <row r="678" spans="1:20" hidden="1" x14ac:dyDescent="0.25">
      <c r="A678" s="7" t="str">
        <f t="shared" si="237"/>
        <v>T-677</v>
      </c>
      <c r="B678" s="8">
        <v>46248</v>
      </c>
      <c r="C678" s="7" t="s">
        <v>370</v>
      </c>
      <c r="D678" s="7" t="s">
        <v>28</v>
      </c>
      <c r="E678" s="7" t="s">
        <v>58</v>
      </c>
      <c r="F678" s="7">
        <v>42.69</v>
      </c>
      <c r="G678" s="7">
        <v>42.25</v>
      </c>
      <c r="H678" s="7">
        <f>Tabla1[[#This Row],[Entry Price]]-(Tabla1[[#This Row],[Entry Price]]-Tabla1[[#This Row],[Initial Stop]])/2</f>
        <v>42.47</v>
      </c>
      <c r="I678" s="7">
        <v>20</v>
      </c>
      <c r="J678" s="7">
        <f t="shared" si="238"/>
        <v>8.7999999999999545</v>
      </c>
      <c r="K678" s="7">
        <v>1</v>
      </c>
      <c r="L678" s="7">
        <f t="shared" si="239"/>
        <v>8.7999999999999545</v>
      </c>
      <c r="M678" s="7" t="s">
        <v>72</v>
      </c>
      <c r="N678" s="7">
        <f>SUMIF(Executions!B:B,A678,Executions!H:H)</f>
        <v>-2.3999999999999488</v>
      </c>
      <c r="O678" s="7">
        <f t="shared" si="240"/>
        <v>-0.27272727272726832</v>
      </c>
      <c r="P678" s="9">
        <f>Tabla1[[#This Row],[Initial Risk $]]/Tabla1[[#This Row],[Position Size (shares)]]+Tabla1[[#This Row],[Entry Price]]</f>
        <v>43.129999999999995</v>
      </c>
      <c r="Q678" s="9">
        <f>Tabla1[[#This Row],[Initial Risk $]]/Tabla1[[#This Row],[Position Size (shares)]]*1.5+Tabla1[[#This Row],[Entry Price]]</f>
        <v>43.349999999999994</v>
      </c>
      <c r="R678" s="9">
        <f>Tabla1[[#This Row],[Initial Risk $]]/Tabla1[[#This Row],[Position Size (shares)]]*2+Tabla1[[#This Row],[Entry Price]]</f>
        <v>43.569999999999993</v>
      </c>
      <c r="S678" s="9">
        <f>Tabla1[[#This Row],[Initial Risk $]]/Tabla1[[#This Row],[Position Size (shares)]]*2.5+Tabla1[[#This Row],[Entry Price]]</f>
        <v>43.789999999999992</v>
      </c>
      <c r="T678" s="9">
        <f>Tabla1[[#This Row],[Initial Risk $]]/Tabla1[[#This Row],[Position Size (shares)]]*3+Tabla1[[#This Row],[Entry Price]]</f>
        <v>44.009999999999991</v>
      </c>
    </row>
    <row r="679" spans="1:20" hidden="1" x14ac:dyDescent="0.25">
      <c r="A679" s="7" t="str">
        <f t="shared" ref="A679:A686" si="241">"T-"&amp; TEXT(ROW()-1,"000")</f>
        <v>T-678</v>
      </c>
      <c r="B679" s="8">
        <v>46251</v>
      </c>
      <c r="C679" s="7" t="s">
        <v>193</v>
      </c>
      <c r="D679" s="7" t="s">
        <v>28</v>
      </c>
      <c r="E679" s="7" t="s">
        <v>58</v>
      </c>
      <c r="F679" s="7">
        <v>233.21</v>
      </c>
      <c r="G679" s="7">
        <v>230.21</v>
      </c>
      <c r="H679" s="7">
        <f>Tabla1[[#This Row],[Entry Price]]-(Tabla1[[#This Row],[Entry Price]]-Tabla1[[#This Row],[Initial Stop]])/2</f>
        <v>231.71</v>
      </c>
      <c r="I679" s="7">
        <v>5</v>
      </c>
      <c r="J679" s="7">
        <f t="shared" ref="J679:J686" si="242">IF(D679="Long",(F679-G679)*I679,(G679-F679)*0)</f>
        <v>15</v>
      </c>
      <c r="K679" s="7">
        <v>1</v>
      </c>
      <c r="L679" s="7">
        <f t="shared" ref="L679:L686" si="243">J679*K679</f>
        <v>15</v>
      </c>
      <c r="M679" s="7" t="s">
        <v>72</v>
      </c>
      <c r="N679" s="7">
        <f>SUMIF(Executions!B:B,A679,Executions!H:H)</f>
        <v>30.999999999999943</v>
      </c>
      <c r="O679" s="7">
        <f t="shared" ref="O679:O686" si="244">N679/J679</f>
        <v>2.0666666666666629</v>
      </c>
      <c r="P679" s="9">
        <f>Tabla1[[#This Row],[Initial Risk $]]/Tabla1[[#This Row],[Position Size (shares)]]+Tabla1[[#This Row],[Entry Price]]</f>
        <v>236.21</v>
      </c>
      <c r="Q679" s="9">
        <f>Tabla1[[#This Row],[Initial Risk $]]/Tabla1[[#This Row],[Position Size (shares)]]*1.5+Tabla1[[#This Row],[Entry Price]]</f>
        <v>237.71</v>
      </c>
      <c r="R679" s="9">
        <f>Tabla1[[#This Row],[Initial Risk $]]/Tabla1[[#This Row],[Position Size (shares)]]*2+Tabla1[[#This Row],[Entry Price]]</f>
        <v>239.21</v>
      </c>
      <c r="S679" s="9">
        <f>Tabla1[[#This Row],[Initial Risk $]]/Tabla1[[#This Row],[Position Size (shares)]]*2.5+Tabla1[[#This Row],[Entry Price]]</f>
        <v>240.71</v>
      </c>
      <c r="T679" s="9">
        <f>Tabla1[[#This Row],[Initial Risk $]]/Tabla1[[#This Row],[Position Size (shares)]]*3+Tabla1[[#This Row],[Entry Price]]</f>
        <v>242.21</v>
      </c>
    </row>
    <row r="680" spans="1:20" hidden="1" x14ac:dyDescent="0.25">
      <c r="A680" s="7" t="str">
        <f t="shared" si="241"/>
        <v>T-679</v>
      </c>
      <c r="B680" s="8">
        <v>46251</v>
      </c>
      <c r="C680" s="7" t="s">
        <v>130</v>
      </c>
      <c r="D680" s="7" t="s">
        <v>28</v>
      </c>
      <c r="E680" s="7" t="s">
        <v>119</v>
      </c>
      <c r="F680" s="7">
        <v>512.96</v>
      </c>
      <c r="G680" s="7">
        <v>508</v>
      </c>
      <c r="H680" s="7">
        <f>Tabla1[[#This Row],[Entry Price]]-(Tabla1[[#This Row],[Entry Price]]-Tabla1[[#This Row],[Initial Stop]])/2</f>
        <v>510.48</v>
      </c>
      <c r="I680" s="7">
        <v>2</v>
      </c>
      <c r="J680" s="7">
        <f t="shared" si="242"/>
        <v>9.9200000000000728</v>
      </c>
      <c r="K680" s="7">
        <v>1</v>
      </c>
      <c r="L680" s="7">
        <f t="shared" si="243"/>
        <v>9.9200000000000728</v>
      </c>
      <c r="M680" s="7" t="s">
        <v>72</v>
      </c>
      <c r="N680" s="7">
        <f>SUMIF(Executions!B:B,A680,Executions!H:H)</f>
        <v>-6.2400000000001228</v>
      </c>
      <c r="O680" s="7">
        <f t="shared" si="244"/>
        <v>-0.6290322580645239</v>
      </c>
      <c r="P680" s="9">
        <f>Tabla1[[#This Row],[Initial Risk $]]/Tabla1[[#This Row],[Position Size (shares)]]+Tabla1[[#This Row],[Entry Price]]</f>
        <v>517.92000000000007</v>
      </c>
      <c r="Q680" s="9">
        <f>Tabla1[[#This Row],[Initial Risk $]]/Tabla1[[#This Row],[Position Size (shares)]]*1.5+Tabla1[[#This Row],[Entry Price]]</f>
        <v>520.40000000000009</v>
      </c>
      <c r="R680" s="9">
        <f>Tabla1[[#This Row],[Initial Risk $]]/Tabla1[[#This Row],[Position Size (shares)]]*2+Tabla1[[#This Row],[Entry Price]]</f>
        <v>522.88000000000011</v>
      </c>
      <c r="S680" s="9">
        <f>Tabla1[[#This Row],[Initial Risk $]]/Tabla1[[#This Row],[Position Size (shares)]]*2.5+Tabla1[[#This Row],[Entry Price]]</f>
        <v>525.36000000000013</v>
      </c>
      <c r="T680" s="9">
        <f>Tabla1[[#This Row],[Initial Risk $]]/Tabla1[[#This Row],[Position Size (shares)]]*3+Tabla1[[#This Row],[Entry Price]]</f>
        <v>527.84000000000015</v>
      </c>
    </row>
    <row r="681" spans="1:20" hidden="1" x14ac:dyDescent="0.25">
      <c r="A681" s="7" t="str">
        <f t="shared" si="241"/>
        <v>T-680</v>
      </c>
      <c r="B681" s="8">
        <v>46251</v>
      </c>
      <c r="C681" s="7" t="s">
        <v>255</v>
      </c>
      <c r="D681" s="7" t="s">
        <v>28</v>
      </c>
      <c r="E681" s="7" t="s">
        <v>27</v>
      </c>
      <c r="F681" s="7">
        <v>305.63</v>
      </c>
      <c r="G681" s="7">
        <v>304</v>
      </c>
      <c r="H681" s="7">
        <f>Tabla1[[#This Row],[Entry Price]]-(Tabla1[[#This Row],[Entry Price]]-Tabla1[[#This Row],[Initial Stop]])/2</f>
        <v>304.815</v>
      </c>
      <c r="I681" s="7">
        <v>3</v>
      </c>
      <c r="J681" s="7">
        <f t="shared" si="242"/>
        <v>4.8899999999999864</v>
      </c>
      <c r="K681" s="7">
        <v>1</v>
      </c>
      <c r="L681" s="7">
        <f t="shared" si="243"/>
        <v>4.8899999999999864</v>
      </c>
      <c r="M681" s="7" t="s">
        <v>72</v>
      </c>
      <c r="N681" s="7">
        <f>SUMIF(Executions!B:B,A681,Executions!H:H)</f>
        <v>-4.8899999999999864</v>
      </c>
      <c r="O681" s="7">
        <f t="shared" si="244"/>
        <v>-1</v>
      </c>
      <c r="P681" s="9">
        <f>Tabla1[[#This Row],[Initial Risk $]]/Tabla1[[#This Row],[Position Size (shares)]]+Tabla1[[#This Row],[Entry Price]]</f>
        <v>307.26</v>
      </c>
      <c r="Q681" s="9">
        <f>Tabla1[[#This Row],[Initial Risk $]]/Tabla1[[#This Row],[Position Size (shares)]]*1.5+Tabla1[[#This Row],[Entry Price]]</f>
        <v>308.07499999999999</v>
      </c>
      <c r="R681" s="9">
        <f>Tabla1[[#This Row],[Initial Risk $]]/Tabla1[[#This Row],[Position Size (shares)]]*2+Tabla1[[#This Row],[Entry Price]]</f>
        <v>308.89</v>
      </c>
      <c r="S681" s="9">
        <f>Tabla1[[#This Row],[Initial Risk $]]/Tabla1[[#This Row],[Position Size (shares)]]*2.5+Tabla1[[#This Row],[Entry Price]]</f>
        <v>309.70499999999998</v>
      </c>
      <c r="T681" s="9">
        <f>Tabla1[[#This Row],[Initial Risk $]]/Tabla1[[#This Row],[Position Size (shares)]]*3+Tabla1[[#This Row],[Entry Price]]</f>
        <v>310.52</v>
      </c>
    </row>
    <row r="682" spans="1:20" hidden="1" x14ac:dyDescent="0.25">
      <c r="A682" s="7" t="str">
        <f t="shared" si="241"/>
        <v>T-681</v>
      </c>
      <c r="B682" s="8">
        <v>46251</v>
      </c>
      <c r="C682" s="7" t="s">
        <v>164</v>
      </c>
      <c r="D682" s="7" t="s">
        <v>28</v>
      </c>
      <c r="E682" s="7" t="s">
        <v>119</v>
      </c>
      <c r="F682" s="7">
        <v>226.57</v>
      </c>
      <c r="G682" s="7">
        <v>224.91</v>
      </c>
      <c r="H682" s="7">
        <f>Tabla1[[#This Row],[Entry Price]]-(Tabla1[[#This Row],[Entry Price]]-Tabla1[[#This Row],[Initial Stop]])/2</f>
        <v>225.74</v>
      </c>
      <c r="I682" s="7">
        <v>5</v>
      </c>
      <c r="J682" s="7">
        <f t="shared" si="242"/>
        <v>8.2999999999999829</v>
      </c>
      <c r="K682" s="7">
        <v>1</v>
      </c>
      <c r="L682" s="7">
        <f t="shared" si="243"/>
        <v>8.2999999999999829</v>
      </c>
      <c r="M682" s="7" t="s">
        <v>72</v>
      </c>
      <c r="N682" s="7">
        <f>SUMIF(Executions!B:B,A682,Executions!H:H)</f>
        <v>-5</v>
      </c>
      <c r="O682" s="7">
        <f t="shared" si="244"/>
        <v>-0.60240963855421814</v>
      </c>
      <c r="P682" s="9">
        <f>Tabla1[[#This Row],[Initial Risk $]]/Tabla1[[#This Row],[Position Size (shares)]]+Tabla1[[#This Row],[Entry Price]]</f>
        <v>228.23</v>
      </c>
      <c r="Q682" s="9">
        <f>Tabla1[[#This Row],[Initial Risk $]]/Tabla1[[#This Row],[Position Size (shares)]]*1.5+Tabla1[[#This Row],[Entry Price]]</f>
        <v>229.06</v>
      </c>
      <c r="R682" s="9">
        <f>Tabla1[[#This Row],[Initial Risk $]]/Tabla1[[#This Row],[Position Size (shares)]]*2+Tabla1[[#This Row],[Entry Price]]</f>
        <v>229.89</v>
      </c>
      <c r="S682" s="9">
        <f>Tabla1[[#This Row],[Initial Risk $]]/Tabla1[[#This Row],[Position Size (shares)]]*2.5+Tabla1[[#This Row],[Entry Price]]</f>
        <v>230.71999999999997</v>
      </c>
      <c r="T682" s="9">
        <f>Tabla1[[#This Row],[Initial Risk $]]/Tabla1[[#This Row],[Position Size (shares)]]*3+Tabla1[[#This Row],[Entry Price]]</f>
        <v>231.54999999999998</v>
      </c>
    </row>
    <row r="683" spans="1:20" hidden="1" x14ac:dyDescent="0.25">
      <c r="A683" s="7" t="str">
        <f t="shared" si="241"/>
        <v>T-682</v>
      </c>
      <c r="B683" s="8">
        <v>46251</v>
      </c>
      <c r="C683" s="7" t="s">
        <v>912</v>
      </c>
      <c r="D683" s="7" t="s">
        <v>28</v>
      </c>
      <c r="E683" s="7" t="s">
        <v>58</v>
      </c>
      <c r="F683" s="7">
        <v>46.7</v>
      </c>
      <c r="G683" s="7">
        <v>45.66</v>
      </c>
      <c r="H683" s="7">
        <f>Tabla1[[#This Row],[Entry Price]]-(Tabla1[[#This Row],[Entry Price]]-Tabla1[[#This Row],[Initial Stop]])/2</f>
        <v>46.18</v>
      </c>
      <c r="I683" s="7">
        <v>12</v>
      </c>
      <c r="J683" s="7">
        <f t="shared" si="242"/>
        <v>12.480000000000075</v>
      </c>
      <c r="K683" s="7">
        <v>1</v>
      </c>
      <c r="L683" s="7">
        <f t="shared" si="243"/>
        <v>12.480000000000075</v>
      </c>
      <c r="M683" s="7" t="s">
        <v>72</v>
      </c>
      <c r="N683" s="7">
        <f>SUMIF(Executions!B:B,A683,Executions!H:H)</f>
        <v>1.4399999999999693</v>
      </c>
      <c r="O683" s="7">
        <f t="shared" si="244"/>
        <v>0.11538461538461223</v>
      </c>
      <c r="P683" s="9">
        <f>Tabla1[[#This Row],[Initial Risk $]]/Tabla1[[#This Row],[Position Size (shares)]]+Tabla1[[#This Row],[Entry Price]]</f>
        <v>47.740000000000009</v>
      </c>
      <c r="Q683" s="9">
        <f>Tabla1[[#This Row],[Initial Risk $]]/Tabla1[[#This Row],[Position Size (shares)]]*1.5+Tabla1[[#This Row],[Entry Price]]</f>
        <v>48.260000000000012</v>
      </c>
      <c r="R683" s="9">
        <f>Tabla1[[#This Row],[Initial Risk $]]/Tabla1[[#This Row],[Position Size (shares)]]*2+Tabla1[[#This Row],[Entry Price]]</f>
        <v>48.780000000000015</v>
      </c>
      <c r="S683" s="9">
        <f>Tabla1[[#This Row],[Initial Risk $]]/Tabla1[[#This Row],[Position Size (shares)]]*2.5+Tabla1[[#This Row],[Entry Price]]</f>
        <v>49.300000000000018</v>
      </c>
      <c r="T683" s="9">
        <f>Tabla1[[#This Row],[Initial Risk $]]/Tabla1[[#This Row],[Position Size (shares)]]*3+Tabla1[[#This Row],[Entry Price]]</f>
        <v>49.820000000000022</v>
      </c>
    </row>
    <row r="684" spans="1:20" hidden="1" x14ac:dyDescent="0.25">
      <c r="A684" s="7" t="str">
        <f t="shared" si="241"/>
        <v>T-683</v>
      </c>
      <c r="B684" s="8">
        <v>46251</v>
      </c>
      <c r="C684" s="7" t="s">
        <v>932</v>
      </c>
      <c r="D684" s="7" t="s">
        <v>28</v>
      </c>
      <c r="E684" s="7" t="s">
        <v>119</v>
      </c>
      <c r="F684" s="7">
        <v>20.329999999999998</v>
      </c>
      <c r="G684" s="7">
        <v>19.86</v>
      </c>
      <c r="H684" s="7">
        <f>Tabla1[[#This Row],[Entry Price]]-(Tabla1[[#This Row],[Entry Price]]-Tabla1[[#This Row],[Initial Stop]])/2</f>
        <v>20.094999999999999</v>
      </c>
      <c r="I684" s="7">
        <v>20</v>
      </c>
      <c r="J684" s="7">
        <f t="shared" si="242"/>
        <v>9.3999999999999773</v>
      </c>
      <c r="K684" s="7">
        <v>1</v>
      </c>
      <c r="L684" s="7">
        <f t="shared" si="243"/>
        <v>9.3999999999999773</v>
      </c>
      <c r="M684" s="7" t="s">
        <v>72</v>
      </c>
      <c r="N684" s="7">
        <f>SUMIF(Executions!B:B,A684,Executions!H:H)</f>
        <v>-9.3999999999999773</v>
      </c>
      <c r="O684" s="7">
        <f t="shared" si="244"/>
        <v>-1</v>
      </c>
      <c r="P684" s="9">
        <f>Tabla1[[#This Row],[Initial Risk $]]/Tabla1[[#This Row],[Position Size (shares)]]+Tabla1[[#This Row],[Entry Price]]</f>
        <v>20.799999999999997</v>
      </c>
      <c r="Q684" s="9">
        <f>Tabla1[[#This Row],[Initial Risk $]]/Tabla1[[#This Row],[Position Size (shares)]]*1.5+Tabla1[[#This Row],[Entry Price]]</f>
        <v>21.034999999999997</v>
      </c>
      <c r="R684" s="9">
        <f>Tabla1[[#This Row],[Initial Risk $]]/Tabla1[[#This Row],[Position Size (shares)]]*2+Tabla1[[#This Row],[Entry Price]]</f>
        <v>21.269999999999996</v>
      </c>
      <c r="S684" s="9">
        <f>Tabla1[[#This Row],[Initial Risk $]]/Tabla1[[#This Row],[Position Size (shares)]]*2.5+Tabla1[[#This Row],[Entry Price]]</f>
        <v>21.504999999999995</v>
      </c>
      <c r="T684" s="9">
        <f>Tabla1[[#This Row],[Initial Risk $]]/Tabla1[[#This Row],[Position Size (shares)]]*3+Tabla1[[#This Row],[Entry Price]]</f>
        <v>21.739999999999995</v>
      </c>
    </row>
    <row r="685" spans="1:20" hidden="1" x14ac:dyDescent="0.25">
      <c r="A685" s="7" t="str">
        <f t="shared" si="241"/>
        <v>T-684</v>
      </c>
      <c r="B685" s="8">
        <v>46251</v>
      </c>
      <c r="C685" s="7" t="s">
        <v>294</v>
      </c>
      <c r="D685" s="7" t="s">
        <v>28</v>
      </c>
      <c r="E685" s="7" t="s">
        <v>119</v>
      </c>
      <c r="F685" s="7">
        <v>148.49</v>
      </c>
      <c r="G685" s="7">
        <v>146.81</v>
      </c>
      <c r="H685" s="7">
        <f>Tabla1[[#This Row],[Entry Price]]-(Tabla1[[#This Row],[Entry Price]]-Tabla1[[#This Row],[Initial Stop]])/2</f>
        <v>147.65</v>
      </c>
      <c r="I685" s="7">
        <v>6</v>
      </c>
      <c r="J685" s="7">
        <f t="shared" si="242"/>
        <v>10.080000000000041</v>
      </c>
      <c r="K685" s="7">
        <v>1</v>
      </c>
      <c r="L685" s="7">
        <f t="shared" si="243"/>
        <v>10.080000000000041</v>
      </c>
      <c r="M685" s="7" t="s">
        <v>72</v>
      </c>
      <c r="N685" s="7">
        <f>SUMIF(Executions!B:B,A685,Executions!H:H)</f>
        <v>-10.080000000000041</v>
      </c>
      <c r="O685" s="7">
        <f t="shared" si="244"/>
        <v>-1</v>
      </c>
      <c r="P685" s="9">
        <f>Tabla1[[#This Row],[Initial Risk $]]/Tabla1[[#This Row],[Position Size (shares)]]+Tabla1[[#This Row],[Entry Price]]</f>
        <v>150.17000000000002</v>
      </c>
      <c r="Q685" s="9">
        <f>Tabla1[[#This Row],[Initial Risk $]]/Tabla1[[#This Row],[Position Size (shares)]]*1.5+Tabla1[[#This Row],[Entry Price]]</f>
        <v>151.01000000000002</v>
      </c>
      <c r="R685" s="9">
        <f>Tabla1[[#This Row],[Initial Risk $]]/Tabla1[[#This Row],[Position Size (shares)]]*2+Tabla1[[#This Row],[Entry Price]]</f>
        <v>151.85000000000002</v>
      </c>
      <c r="S685" s="9">
        <f>Tabla1[[#This Row],[Initial Risk $]]/Tabla1[[#This Row],[Position Size (shares)]]*2.5+Tabla1[[#This Row],[Entry Price]]</f>
        <v>152.69000000000003</v>
      </c>
      <c r="T685" s="9">
        <f>Tabla1[[#This Row],[Initial Risk $]]/Tabla1[[#This Row],[Position Size (shares)]]*3+Tabla1[[#This Row],[Entry Price]]</f>
        <v>153.53000000000003</v>
      </c>
    </row>
    <row r="686" spans="1:20" hidden="1" x14ac:dyDescent="0.25">
      <c r="A686" s="7" t="str">
        <f t="shared" si="241"/>
        <v>T-685</v>
      </c>
      <c r="B686" s="8">
        <v>46251</v>
      </c>
      <c r="C686" s="7" t="s">
        <v>181</v>
      </c>
      <c r="D686" s="7" t="s">
        <v>28</v>
      </c>
      <c r="E686" s="7" t="s">
        <v>119</v>
      </c>
      <c r="F686" s="7">
        <v>15.94</v>
      </c>
      <c r="G686" s="7">
        <v>15.78</v>
      </c>
      <c r="H686" s="7">
        <f>Tabla1[[#This Row],[Entry Price]]-(Tabla1[[#This Row],[Entry Price]]-Tabla1[[#This Row],[Initial Stop]])/2</f>
        <v>15.86</v>
      </c>
      <c r="I686" s="7">
        <v>30</v>
      </c>
      <c r="J686" s="7">
        <f t="shared" si="242"/>
        <v>4.8000000000000043</v>
      </c>
      <c r="K686" s="7">
        <v>1</v>
      </c>
      <c r="L686" s="7">
        <f t="shared" si="243"/>
        <v>4.8000000000000043</v>
      </c>
      <c r="M686" s="7" t="s">
        <v>72</v>
      </c>
      <c r="N686" s="7">
        <f>SUMIF(Executions!B:B,A686,Executions!H:H)</f>
        <v>1.2000000000000277</v>
      </c>
      <c r="O686" s="7">
        <f t="shared" si="244"/>
        <v>0.25000000000000555</v>
      </c>
      <c r="P686" s="9">
        <f>Tabla1[[#This Row],[Initial Risk $]]/Tabla1[[#This Row],[Position Size (shares)]]+Tabla1[[#This Row],[Entry Price]]</f>
        <v>16.100000000000001</v>
      </c>
      <c r="Q686" s="9">
        <f>Tabla1[[#This Row],[Initial Risk $]]/Tabla1[[#This Row],[Position Size (shares)]]*1.5+Tabla1[[#This Row],[Entry Price]]</f>
        <v>16.18</v>
      </c>
      <c r="R686" s="9">
        <f>Tabla1[[#This Row],[Initial Risk $]]/Tabla1[[#This Row],[Position Size (shares)]]*2+Tabla1[[#This Row],[Entry Price]]</f>
        <v>16.259999999999998</v>
      </c>
      <c r="S686" s="9">
        <f>Tabla1[[#This Row],[Initial Risk $]]/Tabla1[[#This Row],[Position Size (shares)]]*2.5+Tabla1[[#This Row],[Entry Price]]</f>
        <v>16.34</v>
      </c>
      <c r="T686" s="9">
        <f>Tabla1[[#This Row],[Initial Risk $]]/Tabla1[[#This Row],[Position Size (shares)]]*3+Tabla1[[#This Row],[Entry Price]]</f>
        <v>16.420000000000002</v>
      </c>
    </row>
    <row r="687" spans="1:20" hidden="1" x14ac:dyDescent="0.25">
      <c r="A687" s="7" t="str">
        <f t="shared" ref="A687:A693" si="245">"T-"&amp; TEXT(ROW()-1,"000")</f>
        <v>T-686</v>
      </c>
      <c r="B687" s="8">
        <v>46252</v>
      </c>
      <c r="C687" s="7" t="s">
        <v>279</v>
      </c>
      <c r="D687" s="7" t="s">
        <v>28</v>
      </c>
      <c r="E687" s="7" t="s">
        <v>119</v>
      </c>
      <c r="F687" s="7">
        <v>968.44</v>
      </c>
      <c r="G687" s="7">
        <v>953.44</v>
      </c>
      <c r="H687" s="7">
        <f>Tabla1[[#This Row],[Entry Price]]-(Tabla1[[#This Row],[Entry Price]]-Tabla1[[#This Row],[Initial Stop]])/2</f>
        <v>960.94</v>
      </c>
      <c r="I687" s="7">
        <v>1</v>
      </c>
      <c r="J687" s="7">
        <f t="shared" ref="J687:J693" si="246">IF(D687="Long",(F687-G687)*I687,(G687-F687)*0)</f>
        <v>15</v>
      </c>
      <c r="K687" s="7">
        <v>1</v>
      </c>
      <c r="L687" s="7">
        <f t="shared" ref="L687:L693" si="247">J687*K687</f>
        <v>15</v>
      </c>
      <c r="M687" s="7" t="s">
        <v>72</v>
      </c>
      <c r="N687" s="7">
        <f>SUMIF(Executions!B:B,A687,Executions!H:H)</f>
        <v>-9.7900000000000773</v>
      </c>
      <c r="O687" s="7">
        <f t="shared" ref="O687:O693" si="248">N687/J687</f>
        <v>-0.65266666666667184</v>
      </c>
      <c r="P687" s="9">
        <f>Tabla1[[#This Row],[Initial Risk $]]/Tabla1[[#This Row],[Position Size (shares)]]+Tabla1[[#This Row],[Entry Price]]</f>
        <v>983.44</v>
      </c>
      <c r="Q687" s="9">
        <f>Tabla1[[#This Row],[Initial Risk $]]/Tabla1[[#This Row],[Position Size (shares)]]*1.5+Tabla1[[#This Row],[Entry Price]]</f>
        <v>990.94</v>
      </c>
      <c r="R687" s="9">
        <f>Tabla1[[#This Row],[Initial Risk $]]/Tabla1[[#This Row],[Position Size (shares)]]*2+Tabla1[[#This Row],[Entry Price]]</f>
        <v>998.44</v>
      </c>
      <c r="S687" s="9">
        <f>Tabla1[[#This Row],[Initial Risk $]]/Tabla1[[#This Row],[Position Size (shares)]]*2.5+Tabla1[[#This Row],[Entry Price]]</f>
        <v>1005.94</v>
      </c>
      <c r="T687" s="9">
        <f>Tabla1[[#This Row],[Initial Risk $]]/Tabla1[[#This Row],[Position Size (shares)]]*3+Tabla1[[#This Row],[Entry Price]]</f>
        <v>1013.44</v>
      </c>
    </row>
    <row r="688" spans="1:20" hidden="1" x14ac:dyDescent="0.25">
      <c r="A688" s="7" t="str">
        <f t="shared" si="245"/>
        <v>T-687</v>
      </c>
      <c r="B688" s="8">
        <v>46252</v>
      </c>
      <c r="C688" s="7" t="s">
        <v>359</v>
      </c>
      <c r="D688" s="7" t="s">
        <v>28</v>
      </c>
      <c r="E688" s="7" t="s">
        <v>58</v>
      </c>
      <c r="F688" s="7">
        <v>77.209999999999994</v>
      </c>
      <c r="G688" s="7">
        <v>76.209999999999994</v>
      </c>
      <c r="H688" s="7">
        <f>Tabla1[[#This Row],[Entry Price]]-(Tabla1[[#This Row],[Entry Price]]-Tabla1[[#This Row],[Initial Stop]])/2</f>
        <v>76.709999999999994</v>
      </c>
      <c r="I688" s="7">
        <v>10</v>
      </c>
      <c r="J688" s="7">
        <f t="shared" si="246"/>
        <v>10</v>
      </c>
      <c r="K688" s="7">
        <v>1</v>
      </c>
      <c r="L688" s="7">
        <f t="shared" si="247"/>
        <v>10</v>
      </c>
      <c r="M688" s="7" t="s">
        <v>72</v>
      </c>
      <c r="N688" s="7">
        <f>SUMIF(Executions!B:B,A688,Executions!H:H)</f>
        <v>16.400000000000006</v>
      </c>
      <c r="O688" s="7">
        <f t="shared" si="248"/>
        <v>1.6400000000000006</v>
      </c>
      <c r="P688" s="9">
        <f>Tabla1[[#This Row],[Initial Risk $]]/Tabla1[[#This Row],[Position Size (shares)]]+Tabla1[[#This Row],[Entry Price]]</f>
        <v>78.209999999999994</v>
      </c>
      <c r="Q688" s="9">
        <f>Tabla1[[#This Row],[Initial Risk $]]/Tabla1[[#This Row],[Position Size (shares)]]*1.5+Tabla1[[#This Row],[Entry Price]]</f>
        <v>78.709999999999994</v>
      </c>
      <c r="R688" s="9">
        <f>Tabla1[[#This Row],[Initial Risk $]]/Tabla1[[#This Row],[Position Size (shares)]]*2+Tabla1[[#This Row],[Entry Price]]</f>
        <v>79.209999999999994</v>
      </c>
      <c r="S688" s="9">
        <f>Tabla1[[#This Row],[Initial Risk $]]/Tabla1[[#This Row],[Position Size (shares)]]*2.5+Tabla1[[#This Row],[Entry Price]]</f>
        <v>79.709999999999994</v>
      </c>
      <c r="T688" s="9">
        <f>Tabla1[[#This Row],[Initial Risk $]]/Tabla1[[#This Row],[Position Size (shares)]]*3+Tabla1[[#This Row],[Entry Price]]</f>
        <v>80.209999999999994</v>
      </c>
    </row>
    <row r="689" spans="1:20" hidden="1" x14ac:dyDescent="0.25">
      <c r="A689" s="7" t="str">
        <f t="shared" si="245"/>
        <v>T-688</v>
      </c>
      <c r="B689" s="8">
        <v>46252</v>
      </c>
      <c r="C689" s="7" t="s">
        <v>173</v>
      </c>
      <c r="D689" s="7" t="s">
        <v>28</v>
      </c>
      <c r="E689" s="7" t="s">
        <v>58</v>
      </c>
      <c r="F689" s="7">
        <v>174.41</v>
      </c>
      <c r="G689" s="7">
        <v>171.57</v>
      </c>
      <c r="H689" s="7">
        <f>Tabla1[[#This Row],[Entry Price]]-(Tabla1[[#This Row],[Entry Price]]-Tabla1[[#This Row],[Initial Stop]])/2</f>
        <v>172.99</v>
      </c>
      <c r="I689" s="7">
        <v>3</v>
      </c>
      <c r="J689" s="7">
        <f t="shared" si="246"/>
        <v>8.5200000000000102</v>
      </c>
      <c r="K689" s="7">
        <v>1</v>
      </c>
      <c r="L689" s="7">
        <f t="shared" si="247"/>
        <v>8.5200000000000102</v>
      </c>
      <c r="M689" s="7" t="s">
        <v>72</v>
      </c>
      <c r="N689" s="7">
        <f>SUMIF(Executions!B:B,A689,Executions!H:H)</f>
        <v>-6.7799999999999727</v>
      </c>
      <c r="O689" s="7">
        <f t="shared" si="248"/>
        <v>-0.79577464788731977</v>
      </c>
      <c r="P689" s="9">
        <f>Tabla1[[#This Row],[Initial Risk $]]/Tabla1[[#This Row],[Position Size (shares)]]+Tabla1[[#This Row],[Entry Price]]</f>
        <v>177.25</v>
      </c>
      <c r="Q689" s="9">
        <f>Tabla1[[#This Row],[Initial Risk $]]/Tabla1[[#This Row],[Position Size (shares)]]*1.5+Tabla1[[#This Row],[Entry Price]]</f>
        <v>178.67000000000002</v>
      </c>
      <c r="R689" s="9">
        <f>Tabla1[[#This Row],[Initial Risk $]]/Tabla1[[#This Row],[Position Size (shares)]]*2+Tabla1[[#This Row],[Entry Price]]</f>
        <v>180.09</v>
      </c>
      <c r="S689" s="9">
        <f>Tabla1[[#This Row],[Initial Risk $]]/Tabla1[[#This Row],[Position Size (shares)]]*2.5+Tabla1[[#This Row],[Entry Price]]</f>
        <v>181.51</v>
      </c>
      <c r="T689" s="9">
        <f>Tabla1[[#This Row],[Initial Risk $]]/Tabla1[[#This Row],[Position Size (shares)]]*3+Tabla1[[#This Row],[Entry Price]]</f>
        <v>182.93</v>
      </c>
    </row>
    <row r="690" spans="1:20" hidden="1" x14ac:dyDescent="0.25">
      <c r="A690" s="7" t="str">
        <f t="shared" si="245"/>
        <v>T-689</v>
      </c>
      <c r="B690" s="8">
        <v>46252</v>
      </c>
      <c r="C690" s="7" t="s">
        <v>154</v>
      </c>
      <c r="D690" s="7" t="s">
        <v>28</v>
      </c>
      <c r="E690" s="7" t="s">
        <v>119</v>
      </c>
      <c r="F690" s="7">
        <v>340.9</v>
      </c>
      <c r="G690" s="7">
        <v>338.58</v>
      </c>
      <c r="H690" s="7">
        <f>Tabla1[[#This Row],[Entry Price]]-(Tabla1[[#This Row],[Entry Price]]-Tabla1[[#This Row],[Initial Stop]])/2</f>
        <v>339.74</v>
      </c>
      <c r="I690" s="7">
        <v>3</v>
      </c>
      <c r="J690" s="7">
        <f t="shared" si="246"/>
        <v>6.9599999999999795</v>
      </c>
      <c r="K690" s="7">
        <v>1</v>
      </c>
      <c r="L690" s="7">
        <f t="shared" si="247"/>
        <v>6.9599999999999795</v>
      </c>
      <c r="M690" s="7" t="s">
        <v>72</v>
      </c>
      <c r="N690" s="7">
        <f>SUMIF(Executions!B:B,A690,Executions!H:H)</f>
        <v>-1.5599999999999454</v>
      </c>
      <c r="O690" s="7">
        <f t="shared" si="248"/>
        <v>-0.22413793103447557</v>
      </c>
      <c r="P690" s="9">
        <f>Tabla1[[#This Row],[Initial Risk $]]/Tabla1[[#This Row],[Position Size (shares)]]+Tabla1[[#This Row],[Entry Price]]</f>
        <v>343.21999999999997</v>
      </c>
      <c r="Q690" s="9">
        <f>Tabla1[[#This Row],[Initial Risk $]]/Tabla1[[#This Row],[Position Size (shares)]]*1.5+Tabla1[[#This Row],[Entry Price]]</f>
        <v>344.38</v>
      </c>
      <c r="R690" s="9">
        <f>Tabla1[[#This Row],[Initial Risk $]]/Tabla1[[#This Row],[Position Size (shares)]]*2+Tabla1[[#This Row],[Entry Price]]</f>
        <v>345.53999999999996</v>
      </c>
      <c r="S690" s="9">
        <f>Tabla1[[#This Row],[Initial Risk $]]/Tabla1[[#This Row],[Position Size (shares)]]*2.5+Tabla1[[#This Row],[Entry Price]]</f>
        <v>346.69999999999993</v>
      </c>
      <c r="T690" s="9">
        <f>Tabla1[[#This Row],[Initial Risk $]]/Tabla1[[#This Row],[Position Size (shares)]]*3+Tabla1[[#This Row],[Entry Price]]</f>
        <v>347.85999999999996</v>
      </c>
    </row>
    <row r="691" spans="1:20" hidden="1" x14ac:dyDescent="0.25">
      <c r="A691" s="7" t="str">
        <f t="shared" si="245"/>
        <v>T-690</v>
      </c>
      <c r="B691" s="8">
        <v>46252</v>
      </c>
      <c r="C691" s="7" t="s">
        <v>279</v>
      </c>
      <c r="D691" s="7" t="s">
        <v>28</v>
      </c>
      <c r="E691" s="7" t="s">
        <v>60</v>
      </c>
      <c r="F691" s="7">
        <v>942.45</v>
      </c>
      <c r="G691" s="7">
        <v>931</v>
      </c>
      <c r="H691" s="7">
        <f>Tabla1[[#This Row],[Entry Price]]-(Tabla1[[#This Row],[Entry Price]]-Tabla1[[#This Row],[Initial Stop]])/2</f>
        <v>936.72500000000002</v>
      </c>
      <c r="I691" s="7">
        <v>1</v>
      </c>
      <c r="J691" s="7">
        <f t="shared" si="246"/>
        <v>11.450000000000045</v>
      </c>
      <c r="K691" s="7">
        <v>1</v>
      </c>
      <c r="L691" s="7">
        <f t="shared" si="247"/>
        <v>11.450000000000045</v>
      </c>
      <c r="M691" s="7" t="s">
        <v>72</v>
      </c>
      <c r="N691" s="7">
        <f>SUMIF(Executions!B:B,A691,Executions!H:H)</f>
        <v>-11.550000000000068</v>
      </c>
      <c r="O691" s="7">
        <f t="shared" si="248"/>
        <v>-1.0087336244541505</v>
      </c>
      <c r="P691" s="9">
        <f>Tabla1[[#This Row],[Initial Risk $]]/Tabla1[[#This Row],[Position Size (shares)]]+Tabla1[[#This Row],[Entry Price]]</f>
        <v>953.90000000000009</v>
      </c>
      <c r="Q691" s="9">
        <f>Tabla1[[#This Row],[Initial Risk $]]/Tabla1[[#This Row],[Position Size (shares)]]*1.5+Tabla1[[#This Row],[Entry Price]]</f>
        <v>959.62500000000011</v>
      </c>
      <c r="R691" s="9">
        <f>Tabla1[[#This Row],[Initial Risk $]]/Tabla1[[#This Row],[Position Size (shares)]]*2+Tabla1[[#This Row],[Entry Price]]</f>
        <v>965.35000000000014</v>
      </c>
      <c r="S691" s="9">
        <f>Tabla1[[#This Row],[Initial Risk $]]/Tabla1[[#This Row],[Position Size (shares)]]*2.5+Tabla1[[#This Row],[Entry Price]]</f>
        <v>971.07500000000016</v>
      </c>
      <c r="T691" s="9">
        <f>Tabla1[[#This Row],[Initial Risk $]]/Tabla1[[#This Row],[Position Size (shares)]]*3+Tabla1[[#This Row],[Entry Price]]</f>
        <v>976.80000000000018</v>
      </c>
    </row>
    <row r="692" spans="1:20" hidden="1" x14ac:dyDescent="0.25">
      <c r="A692" s="7" t="str">
        <f t="shared" si="245"/>
        <v>T-691</v>
      </c>
      <c r="B692" s="8">
        <v>46252</v>
      </c>
      <c r="C692" s="7" t="s">
        <v>294</v>
      </c>
      <c r="D692" s="7" t="s">
        <v>28</v>
      </c>
      <c r="E692" s="7" t="s">
        <v>27</v>
      </c>
      <c r="F692" s="7">
        <v>144.19</v>
      </c>
      <c r="G692" s="7">
        <v>143.19</v>
      </c>
      <c r="H692" s="7">
        <f>Tabla1[[#This Row],[Entry Price]]-(Tabla1[[#This Row],[Entry Price]]-Tabla1[[#This Row],[Initial Stop]])/2</f>
        <v>143.69</v>
      </c>
      <c r="I692" s="7">
        <v>10</v>
      </c>
      <c r="J692" s="7">
        <f t="shared" si="246"/>
        <v>10</v>
      </c>
      <c r="K692" s="7">
        <v>1</v>
      </c>
      <c r="L692" s="7">
        <f t="shared" si="247"/>
        <v>10</v>
      </c>
      <c r="M692" s="7" t="s">
        <v>72</v>
      </c>
      <c r="N692" s="7">
        <f>SUMIF(Executions!B:B,A692,Executions!H:H)</f>
        <v>-8.4999999999999432</v>
      </c>
      <c r="O692" s="7">
        <f t="shared" si="248"/>
        <v>-0.84999999999999432</v>
      </c>
      <c r="P692" s="9">
        <f>Tabla1[[#This Row],[Initial Risk $]]/Tabla1[[#This Row],[Position Size (shares)]]+Tabla1[[#This Row],[Entry Price]]</f>
        <v>145.19</v>
      </c>
      <c r="Q692" s="9">
        <f>Tabla1[[#This Row],[Initial Risk $]]/Tabla1[[#This Row],[Position Size (shares)]]*1.5+Tabla1[[#This Row],[Entry Price]]</f>
        <v>145.69</v>
      </c>
      <c r="R692" s="9">
        <f>Tabla1[[#This Row],[Initial Risk $]]/Tabla1[[#This Row],[Position Size (shares)]]*2+Tabla1[[#This Row],[Entry Price]]</f>
        <v>146.19</v>
      </c>
      <c r="S692" s="9">
        <f>Tabla1[[#This Row],[Initial Risk $]]/Tabla1[[#This Row],[Position Size (shares)]]*2.5+Tabla1[[#This Row],[Entry Price]]</f>
        <v>146.69</v>
      </c>
      <c r="T692" s="9">
        <f>Tabla1[[#This Row],[Initial Risk $]]/Tabla1[[#This Row],[Position Size (shares)]]*3+Tabla1[[#This Row],[Entry Price]]</f>
        <v>147.19</v>
      </c>
    </row>
    <row r="693" spans="1:20" hidden="1" x14ac:dyDescent="0.25">
      <c r="A693" s="7" t="str">
        <f t="shared" si="245"/>
        <v>T-692</v>
      </c>
      <c r="B693" s="8">
        <v>46252</v>
      </c>
      <c r="C693" s="7" t="s">
        <v>207</v>
      </c>
      <c r="D693" s="7" t="s">
        <v>28</v>
      </c>
      <c r="E693" s="7" t="s">
        <v>27</v>
      </c>
      <c r="F693" s="7">
        <v>37.369999999999997</v>
      </c>
      <c r="G693" s="7">
        <v>36.450000000000003</v>
      </c>
      <c r="H693" s="7">
        <f>Tabla1[[#This Row],[Entry Price]]-(Tabla1[[#This Row],[Entry Price]]-Tabla1[[#This Row],[Initial Stop]])/2</f>
        <v>36.909999999999997</v>
      </c>
      <c r="I693" s="7">
        <v>16</v>
      </c>
      <c r="J693" s="7">
        <f t="shared" si="246"/>
        <v>14.719999999999914</v>
      </c>
      <c r="K693" s="7">
        <v>1</v>
      </c>
      <c r="L693" s="7">
        <f t="shared" si="247"/>
        <v>14.719999999999914</v>
      </c>
      <c r="M693" s="7" t="s">
        <v>72</v>
      </c>
      <c r="N693" s="7">
        <f>SUMIF(Executions!B:B,A693,Executions!H:H)</f>
        <v>2.8000000000000114</v>
      </c>
      <c r="O693" s="7">
        <f t="shared" si="248"/>
        <v>0.19021739130434973</v>
      </c>
      <c r="P693" s="9">
        <f>Tabla1[[#This Row],[Initial Risk $]]/Tabla1[[#This Row],[Position Size (shares)]]+Tabla1[[#This Row],[Entry Price]]</f>
        <v>38.289999999999992</v>
      </c>
      <c r="Q693" s="9">
        <f>Tabla1[[#This Row],[Initial Risk $]]/Tabla1[[#This Row],[Position Size (shares)]]*1.5+Tabla1[[#This Row],[Entry Price]]</f>
        <v>38.749999999999986</v>
      </c>
      <c r="R693" s="9">
        <f>Tabla1[[#This Row],[Initial Risk $]]/Tabla1[[#This Row],[Position Size (shares)]]*2+Tabla1[[#This Row],[Entry Price]]</f>
        <v>39.209999999999987</v>
      </c>
      <c r="S693" s="9">
        <f>Tabla1[[#This Row],[Initial Risk $]]/Tabla1[[#This Row],[Position Size (shares)]]*2.5+Tabla1[[#This Row],[Entry Price]]</f>
        <v>39.669999999999987</v>
      </c>
      <c r="T693" s="9">
        <f>Tabla1[[#This Row],[Initial Risk $]]/Tabla1[[#This Row],[Position Size (shares)]]*3+Tabla1[[#This Row],[Entry Price]]</f>
        <v>40.129999999999981</v>
      </c>
    </row>
    <row r="694" spans="1:20" hidden="1" x14ac:dyDescent="0.25">
      <c r="A694" s="7" t="str">
        <f t="shared" ref="A694:A701" si="249">"T-"&amp; TEXT(ROW()-1,"000")</f>
        <v>T-693</v>
      </c>
      <c r="B694" s="8">
        <v>46253</v>
      </c>
      <c r="C694" s="7" t="s">
        <v>279</v>
      </c>
      <c r="D694" s="7" t="s">
        <v>28</v>
      </c>
      <c r="E694" s="7" t="s">
        <v>58</v>
      </c>
      <c r="F694" s="7">
        <v>959.42</v>
      </c>
      <c r="G694" s="7">
        <v>949.42</v>
      </c>
      <c r="H694" s="7">
        <f>Tabla1[[#This Row],[Entry Price]]-(Tabla1[[#This Row],[Entry Price]]-Tabla1[[#This Row],[Initial Stop]])/2</f>
        <v>954.42</v>
      </c>
      <c r="I694" s="7">
        <v>1</v>
      </c>
      <c r="J694" s="7">
        <f t="shared" ref="J694:J701" si="250">IF(D694="Long",(F694-G694)*I694,(G694-F694)*0)</f>
        <v>10</v>
      </c>
      <c r="K694" s="7">
        <v>1</v>
      </c>
      <c r="L694" s="7">
        <f t="shared" ref="L694:L701" si="251">J694*K694</f>
        <v>10</v>
      </c>
      <c r="M694" s="7" t="s">
        <v>72</v>
      </c>
      <c r="N694" s="7">
        <f>SUMIF(Executions!B:B,A694,Executions!H:H)</f>
        <v>-40.129999999999995</v>
      </c>
      <c r="O694" s="7">
        <f t="shared" ref="O694:O701" si="252">N694/J694</f>
        <v>-4.0129999999999999</v>
      </c>
      <c r="P694" s="9">
        <f>Tabla1[[#This Row],[Initial Risk $]]/Tabla1[[#This Row],[Position Size (shares)]]+Tabla1[[#This Row],[Entry Price]]</f>
        <v>969.42</v>
      </c>
      <c r="Q694" s="9">
        <f>Tabla1[[#This Row],[Initial Risk $]]/Tabla1[[#This Row],[Position Size (shares)]]*1.5+Tabla1[[#This Row],[Entry Price]]</f>
        <v>974.42</v>
      </c>
      <c r="R694" s="9">
        <f>Tabla1[[#This Row],[Initial Risk $]]/Tabla1[[#This Row],[Position Size (shares)]]*2+Tabla1[[#This Row],[Entry Price]]</f>
        <v>979.42</v>
      </c>
      <c r="S694" s="9">
        <f>Tabla1[[#This Row],[Initial Risk $]]/Tabla1[[#This Row],[Position Size (shares)]]*2.5+Tabla1[[#This Row],[Entry Price]]</f>
        <v>984.42</v>
      </c>
      <c r="T694" s="9">
        <f>Tabla1[[#This Row],[Initial Risk $]]/Tabla1[[#This Row],[Position Size (shares)]]*3+Tabla1[[#This Row],[Entry Price]]</f>
        <v>989.42</v>
      </c>
    </row>
    <row r="695" spans="1:20" hidden="1" x14ac:dyDescent="0.25">
      <c r="A695" s="7" t="str">
        <f t="shared" si="249"/>
        <v>T-694</v>
      </c>
      <c r="B695" s="8">
        <v>46253</v>
      </c>
      <c r="C695" s="7" t="s">
        <v>359</v>
      </c>
      <c r="D695" s="7" t="s">
        <v>28</v>
      </c>
      <c r="E695" s="7" t="s">
        <v>58</v>
      </c>
      <c r="F695" s="7">
        <v>78.81</v>
      </c>
      <c r="G695" s="7">
        <v>77.709999999999994</v>
      </c>
      <c r="H695" s="7">
        <f>Tabla1[[#This Row],[Entry Price]]-(Tabla1[[#This Row],[Entry Price]]-Tabla1[[#This Row],[Initial Stop]])/2</f>
        <v>78.259999999999991</v>
      </c>
      <c r="I695" s="7">
        <v>5</v>
      </c>
      <c r="J695" s="7">
        <f t="shared" si="250"/>
        <v>5.5000000000000426</v>
      </c>
      <c r="K695" s="7">
        <v>1</v>
      </c>
      <c r="L695" s="7">
        <f t="shared" si="251"/>
        <v>5.5000000000000426</v>
      </c>
      <c r="M695" s="7" t="s">
        <v>72</v>
      </c>
      <c r="N695" s="7">
        <f>SUMIF(Executions!B:B,A695,Executions!H:H)</f>
        <v>7.1499999999999631</v>
      </c>
      <c r="O695" s="7">
        <f t="shared" si="252"/>
        <v>1.2999999999999832</v>
      </c>
      <c r="P695" s="9">
        <f>Tabla1[[#This Row],[Initial Risk $]]/Tabla1[[#This Row],[Position Size (shares)]]+Tabla1[[#This Row],[Entry Price]]</f>
        <v>79.910000000000011</v>
      </c>
      <c r="Q695" s="9">
        <f>Tabla1[[#This Row],[Initial Risk $]]/Tabla1[[#This Row],[Position Size (shares)]]*1.5+Tabla1[[#This Row],[Entry Price]]</f>
        <v>80.460000000000008</v>
      </c>
      <c r="R695" s="9">
        <f>Tabla1[[#This Row],[Initial Risk $]]/Tabla1[[#This Row],[Position Size (shares)]]*2+Tabla1[[#This Row],[Entry Price]]</f>
        <v>81.010000000000019</v>
      </c>
      <c r="S695" s="9">
        <f>Tabla1[[#This Row],[Initial Risk $]]/Tabla1[[#This Row],[Position Size (shares)]]*2.5+Tabla1[[#This Row],[Entry Price]]</f>
        <v>81.560000000000031</v>
      </c>
      <c r="T695" s="9">
        <f>Tabla1[[#This Row],[Initial Risk $]]/Tabla1[[#This Row],[Position Size (shares)]]*3+Tabla1[[#This Row],[Entry Price]]</f>
        <v>82.110000000000028</v>
      </c>
    </row>
    <row r="696" spans="1:20" hidden="1" x14ac:dyDescent="0.25">
      <c r="A696" s="7" t="str">
        <f t="shared" si="249"/>
        <v>T-695</v>
      </c>
      <c r="B696" s="8">
        <v>46253</v>
      </c>
      <c r="C696" s="7" t="s">
        <v>561</v>
      </c>
      <c r="D696" s="7" t="s">
        <v>28</v>
      </c>
      <c r="E696" s="7" t="s">
        <v>58</v>
      </c>
      <c r="F696" s="7">
        <v>185.56</v>
      </c>
      <c r="G696" s="7">
        <v>183.79</v>
      </c>
      <c r="H696" s="7">
        <f>Tabla1[[#This Row],[Entry Price]]-(Tabla1[[#This Row],[Entry Price]]-Tabla1[[#This Row],[Initial Stop]])/2</f>
        <v>184.67500000000001</v>
      </c>
      <c r="I696" s="7">
        <v>5</v>
      </c>
      <c r="J696" s="7">
        <f t="shared" si="250"/>
        <v>8.8500000000000512</v>
      </c>
      <c r="K696" s="7">
        <v>1</v>
      </c>
      <c r="L696" s="7">
        <f t="shared" si="251"/>
        <v>8.8500000000000512</v>
      </c>
      <c r="M696" s="7" t="s">
        <v>72</v>
      </c>
      <c r="N696" s="7">
        <f>SUMIF(Executions!B:B,A696,Executions!H:H)</f>
        <v>17.69999999999996</v>
      </c>
      <c r="O696" s="7">
        <f t="shared" si="252"/>
        <v>1.999999999999984</v>
      </c>
      <c r="P696" s="9">
        <f>Tabla1[[#This Row],[Initial Risk $]]/Tabla1[[#This Row],[Position Size (shares)]]+Tabla1[[#This Row],[Entry Price]]</f>
        <v>187.33</v>
      </c>
      <c r="Q696" s="9">
        <f>Tabla1[[#This Row],[Initial Risk $]]/Tabla1[[#This Row],[Position Size (shares)]]*1.5+Tabla1[[#This Row],[Entry Price]]</f>
        <v>188.21500000000003</v>
      </c>
      <c r="R696" s="9">
        <f>Tabla1[[#This Row],[Initial Risk $]]/Tabla1[[#This Row],[Position Size (shares)]]*2+Tabla1[[#This Row],[Entry Price]]</f>
        <v>189.10000000000002</v>
      </c>
      <c r="S696" s="9">
        <f>Tabla1[[#This Row],[Initial Risk $]]/Tabla1[[#This Row],[Position Size (shares)]]*2.5+Tabla1[[#This Row],[Entry Price]]</f>
        <v>189.98500000000001</v>
      </c>
      <c r="T696" s="9">
        <f>Tabla1[[#This Row],[Initial Risk $]]/Tabla1[[#This Row],[Position Size (shares)]]*3+Tabla1[[#This Row],[Entry Price]]</f>
        <v>190.87000000000003</v>
      </c>
    </row>
    <row r="697" spans="1:20" hidden="1" x14ac:dyDescent="0.25">
      <c r="A697" s="7" t="str">
        <f t="shared" si="249"/>
        <v>T-696</v>
      </c>
      <c r="B697" s="8">
        <v>46253</v>
      </c>
      <c r="C697" s="7" t="s">
        <v>193</v>
      </c>
      <c r="D697" s="7" t="s">
        <v>28</v>
      </c>
      <c r="E697" s="7" t="s">
        <v>119</v>
      </c>
      <c r="F697" s="7">
        <v>238.7</v>
      </c>
      <c r="G697" s="7">
        <v>236.7</v>
      </c>
      <c r="H697" s="7">
        <f>Tabla1[[#This Row],[Entry Price]]-(Tabla1[[#This Row],[Entry Price]]-Tabla1[[#This Row],[Initial Stop]])/2</f>
        <v>237.7</v>
      </c>
      <c r="I697" s="7">
        <v>5</v>
      </c>
      <c r="J697" s="7">
        <f t="shared" si="250"/>
        <v>10</v>
      </c>
      <c r="K697" s="7">
        <v>1</v>
      </c>
      <c r="L697" s="7">
        <f t="shared" si="251"/>
        <v>10</v>
      </c>
      <c r="M697" s="7" t="s">
        <v>72</v>
      </c>
      <c r="N697" s="7">
        <f>SUMIF(Executions!B:B,A697,Executions!H:H)</f>
        <v>-9.8499999999999943</v>
      </c>
      <c r="O697" s="7">
        <f t="shared" si="252"/>
        <v>-0.98499999999999943</v>
      </c>
      <c r="P697" s="9">
        <f>Tabla1[[#This Row],[Initial Risk $]]/Tabla1[[#This Row],[Position Size (shares)]]+Tabla1[[#This Row],[Entry Price]]</f>
        <v>240.7</v>
      </c>
      <c r="Q697" s="9">
        <f>Tabla1[[#This Row],[Initial Risk $]]/Tabla1[[#This Row],[Position Size (shares)]]*1.5+Tabla1[[#This Row],[Entry Price]]</f>
        <v>241.7</v>
      </c>
      <c r="R697" s="9">
        <f>Tabla1[[#This Row],[Initial Risk $]]/Tabla1[[#This Row],[Position Size (shares)]]*2+Tabla1[[#This Row],[Entry Price]]</f>
        <v>242.7</v>
      </c>
      <c r="S697" s="9">
        <f>Tabla1[[#This Row],[Initial Risk $]]/Tabla1[[#This Row],[Position Size (shares)]]*2.5+Tabla1[[#This Row],[Entry Price]]</f>
        <v>243.7</v>
      </c>
      <c r="T697" s="9">
        <f>Tabla1[[#This Row],[Initial Risk $]]/Tabla1[[#This Row],[Position Size (shares)]]*3+Tabla1[[#This Row],[Entry Price]]</f>
        <v>244.7</v>
      </c>
    </row>
    <row r="698" spans="1:20" hidden="1" x14ac:dyDescent="0.25">
      <c r="A698" s="7" t="str">
        <f t="shared" si="249"/>
        <v>T-697</v>
      </c>
      <c r="B698" s="8">
        <v>46253</v>
      </c>
      <c r="C698" s="7" t="s">
        <v>951</v>
      </c>
      <c r="D698" s="7" t="s">
        <v>28</v>
      </c>
      <c r="E698" s="7" t="s">
        <v>51</v>
      </c>
      <c r="F698" s="7">
        <v>111.62</v>
      </c>
      <c r="G698" s="7">
        <v>109.11</v>
      </c>
      <c r="H698" s="7">
        <f>Tabla1[[#This Row],[Entry Price]]-(Tabla1[[#This Row],[Entry Price]]-Tabla1[[#This Row],[Initial Stop]])/2</f>
        <v>110.36500000000001</v>
      </c>
      <c r="I698" s="7">
        <v>5</v>
      </c>
      <c r="J698" s="7">
        <f t="shared" si="250"/>
        <v>12.550000000000026</v>
      </c>
      <c r="K698" s="7">
        <v>1</v>
      </c>
      <c r="L698" s="7">
        <f t="shared" si="251"/>
        <v>12.550000000000026</v>
      </c>
      <c r="M698" s="7" t="s">
        <v>72</v>
      </c>
      <c r="N698" s="7">
        <f>SUMIF(Executions!B:B,A698,Executions!H:H)</f>
        <v>6.8499999999999517</v>
      </c>
      <c r="O698" s="7">
        <f t="shared" si="252"/>
        <v>0.54581673306772416</v>
      </c>
      <c r="P698" s="9">
        <f>Tabla1[[#This Row],[Initial Risk $]]/Tabla1[[#This Row],[Position Size (shares)]]+Tabla1[[#This Row],[Entry Price]]</f>
        <v>114.13000000000001</v>
      </c>
      <c r="Q698" s="9">
        <f>Tabla1[[#This Row],[Initial Risk $]]/Tabla1[[#This Row],[Position Size (shares)]]*1.5+Tabla1[[#This Row],[Entry Price]]</f>
        <v>115.38500000000002</v>
      </c>
      <c r="R698" s="9">
        <f>Tabla1[[#This Row],[Initial Risk $]]/Tabla1[[#This Row],[Position Size (shares)]]*2+Tabla1[[#This Row],[Entry Price]]</f>
        <v>116.64000000000001</v>
      </c>
      <c r="S698" s="9">
        <f>Tabla1[[#This Row],[Initial Risk $]]/Tabla1[[#This Row],[Position Size (shares)]]*2.5+Tabla1[[#This Row],[Entry Price]]</f>
        <v>117.89500000000001</v>
      </c>
      <c r="T698" s="9">
        <f>Tabla1[[#This Row],[Initial Risk $]]/Tabla1[[#This Row],[Position Size (shares)]]*3+Tabla1[[#This Row],[Entry Price]]</f>
        <v>119.15000000000002</v>
      </c>
    </row>
    <row r="699" spans="1:20" hidden="1" x14ac:dyDescent="0.25">
      <c r="A699" s="7" t="str">
        <f t="shared" si="249"/>
        <v>T-698</v>
      </c>
      <c r="B699" s="8">
        <v>46253</v>
      </c>
      <c r="C699" s="7" t="s">
        <v>181</v>
      </c>
      <c r="D699" s="7" t="s">
        <v>28</v>
      </c>
      <c r="E699" s="7" t="s">
        <v>27</v>
      </c>
      <c r="F699" s="7">
        <v>15.72</v>
      </c>
      <c r="G699" s="7">
        <v>15.53</v>
      </c>
      <c r="H699" s="7">
        <f>Tabla1[[#This Row],[Entry Price]]-(Tabla1[[#This Row],[Entry Price]]-Tabla1[[#This Row],[Initial Stop]])/2</f>
        <v>15.625</v>
      </c>
      <c r="I699" s="7">
        <v>50</v>
      </c>
      <c r="J699" s="7">
        <f t="shared" si="250"/>
        <v>9.5000000000000639</v>
      </c>
      <c r="K699" s="7">
        <v>1</v>
      </c>
      <c r="L699" s="7">
        <f t="shared" si="251"/>
        <v>9.5000000000000639</v>
      </c>
      <c r="M699" s="7" t="s">
        <v>72</v>
      </c>
      <c r="N699" s="7">
        <f>SUMIF(Executions!B:B,A699,Executions!H:H)</f>
        <v>19.000000000000039</v>
      </c>
      <c r="O699" s="7">
        <f t="shared" si="252"/>
        <v>1.9999999999999907</v>
      </c>
      <c r="P699" s="9">
        <f>Tabla1[[#This Row],[Initial Risk $]]/Tabla1[[#This Row],[Position Size (shares)]]+Tabla1[[#This Row],[Entry Price]]</f>
        <v>15.910000000000002</v>
      </c>
      <c r="Q699" s="9">
        <f>Tabla1[[#This Row],[Initial Risk $]]/Tabla1[[#This Row],[Position Size (shares)]]*1.5+Tabla1[[#This Row],[Entry Price]]</f>
        <v>16.005000000000003</v>
      </c>
      <c r="R699" s="9">
        <f>Tabla1[[#This Row],[Initial Risk $]]/Tabla1[[#This Row],[Position Size (shares)]]*2+Tabla1[[#This Row],[Entry Price]]</f>
        <v>16.100000000000001</v>
      </c>
      <c r="S699" s="9">
        <f>Tabla1[[#This Row],[Initial Risk $]]/Tabla1[[#This Row],[Position Size (shares)]]*2.5+Tabla1[[#This Row],[Entry Price]]</f>
        <v>16.195000000000004</v>
      </c>
      <c r="T699" s="9">
        <f>Tabla1[[#This Row],[Initial Risk $]]/Tabla1[[#This Row],[Position Size (shares)]]*3+Tabla1[[#This Row],[Entry Price]]</f>
        <v>16.290000000000006</v>
      </c>
    </row>
    <row r="700" spans="1:20" hidden="1" x14ac:dyDescent="0.25">
      <c r="A700" s="7" t="str">
        <f t="shared" si="249"/>
        <v>T-699</v>
      </c>
      <c r="B700" s="8">
        <v>46253</v>
      </c>
      <c r="C700" s="7" t="s">
        <v>207</v>
      </c>
      <c r="D700" s="7" t="s">
        <v>28</v>
      </c>
      <c r="E700" s="7" t="s">
        <v>27</v>
      </c>
      <c r="F700" s="7">
        <v>36.97</v>
      </c>
      <c r="G700" s="7">
        <v>36.22</v>
      </c>
      <c r="H700" s="7">
        <f>Tabla1[[#This Row],[Entry Price]]-(Tabla1[[#This Row],[Entry Price]]-Tabla1[[#This Row],[Initial Stop]])/2</f>
        <v>36.594999999999999</v>
      </c>
      <c r="I700" s="7">
        <v>20</v>
      </c>
      <c r="J700" s="7">
        <f t="shared" si="250"/>
        <v>15</v>
      </c>
      <c r="K700" s="7">
        <v>1</v>
      </c>
      <c r="L700" s="7">
        <f t="shared" si="251"/>
        <v>15</v>
      </c>
      <c r="M700" s="7" t="s">
        <v>72</v>
      </c>
      <c r="N700" s="7">
        <f>SUMIF(Executions!B:B,A700,Executions!H:H)</f>
        <v>0.25500000000000966</v>
      </c>
      <c r="O700" s="7">
        <f t="shared" si="252"/>
        <v>1.7000000000000643E-2</v>
      </c>
      <c r="P700" s="9">
        <f>Tabla1[[#This Row],[Initial Risk $]]/Tabla1[[#This Row],[Position Size (shares)]]+Tabla1[[#This Row],[Entry Price]]</f>
        <v>37.72</v>
      </c>
      <c r="Q700" s="9">
        <f>Tabla1[[#This Row],[Initial Risk $]]/Tabla1[[#This Row],[Position Size (shares)]]*1.5+Tabla1[[#This Row],[Entry Price]]</f>
        <v>38.094999999999999</v>
      </c>
      <c r="R700" s="9">
        <f>Tabla1[[#This Row],[Initial Risk $]]/Tabla1[[#This Row],[Position Size (shares)]]*2+Tabla1[[#This Row],[Entry Price]]</f>
        <v>38.47</v>
      </c>
      <c r="S700" s="9">
        <f>Tabla1[[#This Row],[Initial Risk $]]/Tabla1[[#This Row],[Position Size (shares)]]*2.5+Tabla1[[#This Row],[Entry Price]]</f>
        <v>38.844999999999999</v>
      </c>
      <c r="T700" s="9">
        <f>Tabla1[[#This Row],[Initial Risk $]]/Tabla1[[#This Row],[Position Size (shares)]]*3+Tabla1[[#This Row],[Entry Price]]</f>
        <v>39.22</v>
      </c>
    </row>
    <row r="701" spans="1:20" hidden="1" x14ac:dyDescent="0.25">
      <c r="A701" s="7" t="str">
        <f t="shared" si="249"/>
        <v>T-700</v>
      </c>
      <c r="B701" s="8">
        <v>46253</v>
      </c>
      <c r="C701" s="7" t="s">
        <v>279</v>
      </c>
      <c r="D701" s="7" t="s">
        <v>28</v>
      </c>
      <c r="E701" s="7" t="s">
        <v>27</v>
      </c>
      <c r="F701" s="7">
        <v>932.68</v>
      </c>
      <c r="G701" s="7">
        <v>928.99</v>
      </c>
      <c r="H701" s="7">
        <f>Tabla1[[#This Row],[Entry Price]]-(Tabla1[[#This Row],[Entry Price]]-Tabla1[[#This Row],[Initial Stop]])/2</f>
        <v>930.83500000000004</v>
      </c>
      <c r="I701" s="7">
        <v>1</v>
      </c>
      <c r="J701" s="7">
        <f t="shared" si="250"/>
        <v>3.6899999999999409</v>
      </c>
      <c r="K701" s="7">
        <v>1</v>
      </c>
      <c r="L701" s="7">
        <f t="shared" si="251"/>
        <v>3.6899999999999409</v>
      </c>
      <c r="M701" s="7" t="s">
        <v>72</v>
      </c>
      <c r="N701" s="7">
        <f>SUMIF(Executions!B:B,A701,Executions!H:H)</f>
        <v>-4.0899999999999181</v>
      </c>
      <c r="O701" s="7">
        <f t="shared" si="252"/>
        <v>-1.1084010840108356</v>
      </c>
      <c r="P701" s="9">
        <f>Tabla1[[#This Row],[Initial Risk $]]/Tabla1[[#This Row],[Position Size (shares)]]+Tabla1[[#This Row],[Entry Price]]</f>
        <v>936.36999999999989</v>
      </c>
      <c r="Q701" s="9">
        <f>Tabla1[[#This Row],[Initial Risk $]]/Tabla1[[#This Row],[Position Size (shares)]]*1.5+Tabla1[[#This Row],[Entry Price]]</f>
        <v>938.21499999999992</v>
      </c>
      <c r="R701" s="9">
        <f>Tabla1[[#This Row],[Initial Risk $]]/Tabla1[[#This Row],[Position Size (shares)]]*2+Tabla1[[#This Row],[Entry Price]]</f>
        <v>940.05999999999983</v>
      </c>
      <c r="S701" s="9">
        <f>Tabla1[[#This Row],[Initial Risk $]]/Tabla1[[#This Row],[Position Size (shares)]]*2.5+Tabla1[[#This Row],[Entry Price]]</f>
        <v>941.90499999999975</v>
      </c>
      <c r="T701" s="9">
        <f>Tabla1[[#This Row],[Initial Risk $]]/Tabla1[[#This Row],[Position Size (shares)]]*3+Tabla1[[#This Row],[Entry Price]]</f>
        <v>943.74999999999977</v>
      </c>
    </row>
    <row r="702" spans="1:20" hidden="1" x14ac:dyDescent="0.25">
      <c r="A702" s="7" t="str">
        <f t="shared" ref="A702:A710" si="253">"T-"&amp; TEXT(ROW()-1,"000")</f>
        <v>T-701</v>
      </c>
      <c r="B702" s="8">
        <v>46254</v>
      </c>
      <c r="C702" s="7" t="s">
        <v>279</v>
      </c>
      <c r="D702" s="7" t="s">
        <v>28</v>
      </c>
      <c r="E702" s="7" t="s">
        <v>58</v>
      </c>
      <c r="F702" s="7">
        <v>944.58</v>
      </c>
      <c r="G702" s="7">
        <v>934</v>
      </c>
      <c r="H702" s="7">
        <f>Tabla1[[#This Row],[Entry Price]]-(Tabla1[[#This Row],[Entry Price]]-Tabla1[[#This Row],[Initial Stop]])/2</f>
        <v>939.29</v>
      </c>
      <c r="I702" s="7">
        <v>1</v>
      </c>
      <c r="J702" s="7">
        <f t="shared" ref="J702:J710" si="254">IF(D702="Long",(F702-G702)*I702,(G702-F702)*0)</f>
        <v>10.580000000000041</v>
      </c>
      <c r="K702" s="7">
        <v>1</v>
      </c>
      <c r="L702" s="7">
        <f t="shared" ref="L702:L710" si="255">J702*K702</f>
        <v>10.580000000000041</v>
      </c>
      <c r="M702" s="7" t="s">
        <v>72</v>
      </c>
      <c r="N702" s="7">
        <f>SUMIF(Executions!B:B,A702,Executions!H:H)</f>
        <v>-10.509999999999991</v>
      </c>
      <c r="O702" s="7">
        <f t="shared" ref="O702:O710" si="256">N702/J702</f>
        <v>-0.99338374291114839</v>
      </c>
      <c r="P702" s="9">
        <f>Tabla1[[#This Row],[Initial Risk $]]/Tabla1[[#This Row],[Position Size (shares)]]+Tabla1[[#This Row],[Entry Price]]</f>
        <v>955.16000000000008</v>
      </c>
      <c r="Q702" s="9">
        <f>Tabla1[[#This Row],[Initial Risk $]]/Tabla1[[#This Row],[Position Size (shares)]]*1.5+Tabla1[[#This Row],[Entry Price]]</f>
        <v>960.45</v>
      </c>
      <c r="R702" s="9">
        <f>Tabla1[[#This Row],[Initial Risk $]]/Tabla1[[#This Row],[Position Size (shares)]]*2+Tabla1[[#This Row],[Entry Price]]</f>
        <v>965.74000000000012</v>
      </c>
      <c r="S702" s="9">
        <f>Tabla1[[#This Row],[Initial Risk $]]/Tabla1[[#This Row],[Position Size (shares)]]*2.5+Tabla1[[#This Row],[Entry Price]]</f>
        <v>971.0300000000002</v>
      </c>
      <c r="T702" s="9">
        <f>Tabla1[[#This Row],[Initial Risk $]]/Tabla1[[#This Row],[Position Size (shares)]]*3+Tabla1[[#This Row],[Entry Price]]</f>
        <v>976.32000000000016</v>
      </c>
    </row>
    <row r="703" spans="1:20" hidden="1" x14ac:dyDescent="0.25">
      <c r="A703" s="7" t="str">
        <f t="shared" si="253"/>
        <v>T-702</v>
      </c>
      <c r="B703" s="8">
        <v>46254</v>
      </c>
      <c r="C703" s="7" t="s">
        <v>359</v>
      </c>
      <c r="D703" s="7" t="s">
        <v>28</v>
      </c>
      <c r="E703" s="7" t="s">
        <v>58</v>
      </c>
      <c r="F703" s="7">
        <v>80.94</v>
      </c>
      <c r="G703" s="7">
        <v>80.03</v>
      </c>
      <c r="H703" s="7">
        <f>Tabla1[[#This Row],[Entry Price]]-(Tabla1[[#This Row],[Entry Price]]-Tabla1[[#This Row],[Initial Stop]])/2</f>
        <v>80.484999999999999</v>
      </c>
      <c r="I703" s="7">
        <v>10</v>
      </c>
      <c r="J703" s="7">
        <f t="shared" si="254"/>
        <v>9.0999999999999659</v>
      </c>
      <c r="K703" s="7">
        <v>1</v>
      </c>
      <c r="L703" s="7">
        <f t="shared" si="255"/>
        <v>9.0999999999999659</v>
      </c>
      <c r="M703" s="7" t="s">
        <v>72</v>
      </c>
      <c r="N703" s="7">
        <f>SUMIF(Executions!B:B,A703,Executions!H:H)</f>
        <v>-9.2999999999999261</v>
      </c>
      <c r="O703" s="7">
        <f t="shared" si="256"/>
        <v>-1.0219780219780177</v>
      </c>
      <c r="P703" s="9">
        <f>Tabla1[[#This Row],[Initial Risk $]]/Tabla1[[#This Row],[Position Size (shares)]]+Tabla1[[#This Row],[Entry Price]]</f>
        <v>81.849999999999994</v>
      </c>
      <c r="Q703" s="9">
        <f>Tabla1[[#This Row],[Initial Risk $]]/Tabla1[[#This Row],[Position Size (shares)]]*1.5+Tabla1[[#This Row],[Entry Price]]</f>
        <v>82.304999999999993</v>
      </c>
      <c r="R703" s="9">
        <f>Tabla1[[#This Row],[Initial Risk $]]/Tabla1[[#This Row],[Position Size (shares)]]*2+Tabla1[[#This Row],[Entry Price]]</f>
        <v>82.759999999999991</v>
      </c>
      <c r="S703" s="9">
        <f>Tabla1[[#This Row],[Initial Risk $]]/Tabla1[[#This Row],[Position Size (shares)]]*2.5+Tabla1[[#This Row],[Entry Price]]</f>
        <v>83.214999999999989</v>
      </c>
      <c r="T703" s="9">
        <f>Tabla1[[#This Row],[Initial Risk $]]/Tabla1[[#This Row],[Position Size (shares)]]*3+Tabla1[[#This Row],[Entry Price]]</f>
        <v>83.669999999999987</v>
      </c>
    </row>
    <row r="704" spans="1:20" hidden="1" x14ac:dyDescent="0.25">
      <c r="A704" s="7" t="str">
        <f t="shared" si="253"/>
        <v>T-703</v>
      </c>
      <c r="B704" s="8">
        <v>46254</v>
      </c>
      <c r="C704" s="7" t="s">
        <v>959</v>
      </c>
      <c r="D704" s="7" t="s">
        <v>28</v>
      </c>
      <c r="E704" s="7" t="s">
        <v>58</v>
      </c>
      <c r="F704" s="7">
        <v>10.75</v>
      </c>
      <c r="G704" s="7">
        <v>10.210000000000001</v>
      </c>
      <c r="H704" s="7">
        <f>Tabla1[[#This Row],[Entry Price]]-(Tabla1[[#This Row],[Entry Price]]-Tabla1[[#This Row],[Initial Stop]])/2</f>
        <v>10.48</v>
      </c>
      <c r="I704" s="7">
        <v>20</v>
      </c>
      <c r="J704" s="7">
        <f t="shared" si="254"/>
        <v>10.799999999999983</v>
      </c>
      <c r="K704" s="7">
        <v>1</v>
      </c>
      <c r="L704" s="7">
        <f t="shared" si="255"/>
        <v>10.799999999999983</v>
      </c>
      <c r="M704" s="7" t="s">
        <v>72</v>
      </c>
      <c r="N704" s="7">
        <f>SUMIF(Executions!B:B,A704,Executions!H:H)</f>
        <v>-9.4000000000000128</v>
      </c>
      <c r="O704" s="7">
        <f t="shared" si="256"/>
        <v>-0.8703703703703729</v>
      </c>
      <c r="P704" s="9">
        <f>Tabla1[[#This Row],[Initial Risk $]]/Tabla1[[#This Row],[Position Size (shares)]]+Tabla1[[#This Row],[Entry Price]]</f>
        <v>11.29</v>
      </c>
      <c r="Q704" s="9">
        <f>Tabla1[[#This Row],[Initial Risk $]]/Tabla1[[#This Row],[Position Size (shares)]]*1.5+Tabla1[[#This Row],[Entry Price]]</f>
        <v>11.559999999999999</v>
      </c>
      <c r="R704" s="9">
        <f>Tabla1[[#This Row],[Initial Risk $]]/Tabla1[[#This Row],[Position Size (shares)]]*2+Tabla1[[#This Row],[Entry Price]]</f>
        <v>11.829999999999998</v>
      </c>
      <c r="S704" s="9">
        <f>Tabla1[[#This Row],[Initial Risk $]]/Tabla1[[#This Row],[Position Size (shares)]]*2.5+Tabla1[[#This Row],[Entry Price]]</f>
        <v>12.099999999999998</v>
      </c>
      <c r="T704" s="9">
        <f>Tabla1[[#This Row],[Initial Risk $]]/Tabla1[[#This Row],[Position Size (shares)]]*3+Tabla1[[#This Row],[Entry Price]]</f>
        <v>12.369999999999997</v>
      </c>
    </row>
    <row r="705" spans="1:20" hidden="1" x14ac:dyDescent="0.25">
      <c r="A705" s="7" t="str">
        <f t="shared" si="253"/>
        <v>T-704</v>
      </c>
      <c r="B705" s="8">
        <v>46254</v>
      </c>
      <c r="C705" s="7" t="s">
        <v>181</v>
      </c>
      <c r="D705" s="7" t="s">
        <v>28</v>
      </c>
      <c r="E705" s="7" t="s">
        <v>119</v>
      </c>
      <c r="F705" s="7">
        <v>15.74</v>
      </c>
      <c r="G705" s="7">
        <v>15.41</v>
      </c>
      <c r="H705" s="7">
        <f>Tabla1[[#This Row],[Entry Price]]-(Tabla1[[#This Row],[Entry Price]]-Tabla1[[#This Row],[Initial Stop]])/2</f>
        <v>15.574999999999999</v>
      </c>
      <c r="I705" s="7">
        <v>30</v>
      </c>
      <c r="J705" s="7">
        <f t="shared" si="254"/>
        <v>9.9000000000000021</v>
      </c>
      <c r="K705" s="7">
        <v>1</v>
      </c>
      <c r="L705" s="7">
        <f t="shared" si="255"/>
        <v>9.9000000000000021</v>
      </c>
      <c r="M705" s="7" t="s">
        <v>72</v>
      </c>
      <c r="N705" s="7">
        <f>SUMIF(Executions!B:B,A705,Executions!H:H)</f>
        <v>1.1999999999999744</v>
      </c>
      <c r="O705" s="7">
        <f t="shared" si="256"/>
        <v>0.12121212121211861</v>
      </c>
      <c r="P705" s="9">
        <f>Tabla1[[#This Row],[Initial Risk $]]/Tabla1[[#This Row],[Position Size (shares)]]+Tabla1[[#This Row],[Entry Price]]</f>
        <v>16.07</v>
      </c>
      <c r="Q705" s="9">
        <f>Tabla1[[#This Row],[Initial Risk $]]/Tabla1[[#This Row],[Position Size (shares)]]*1.5+Tabla1[[#This Row],[Entry Price]]</f>
        <v>16.234999999999999</v>
      </c>
      <c r="R705" s="9">
        <f>Tabla1[[#This Row],[Initial Risk $]]/Tabla1[[#This Row],[Position Size (shares)]]*2+Tabla1[[#This Row],[Entry Price]]</f>
        <v>16.399999999999999</v>
      </c>
      <c r="S705" s="9">
        <f>Tabla1[[#This Row],[Initial Risk $]]/Tabla1[[#This Row],[Position Size (shares)]]*2.5+Tabla1[[#This Row],[Entry Price]]</f>
        <v>16.565000000000001</v>
      </c>
      <c r="T705" s="9">
        <f>Tabla1[[#This Row],[Initial Risk $]]/Tabla1[[#This Row],[Position Size (shares)]]*3+Tabla1[[#This Row],[Entry Price]]</f>
        <v>16.73</v>
      </c>
    </row>
    <row r="706" spans="1:20" hidden="1" x14ac:dyDescent="0.25">
      <c r="A706" s="7" t="str">
        <f t="shared" si="253"/>
        <v>T-705</v>
      </c>
      <c r="B706" s="8">
        <v>46254</v>
      </c>
      <c r="C706" s="7" t="s">
        <v>302</v>
      </c>
      <c r="D706" s="7" t="s">
        <v>28</v>
      </c>
      <c r="E706" s="7" t="s">
        <v>119</v>
      </c>
      <c r="F706" s="7">
        <v>10.47</v>
      </c>
      <c r="G706" s="7">
        <v>9.9600000000000009</v>
      </c>
      <c r="H706" s="7">
        <f>Tabla1[[#This Row],[Entry Price]]-(Tabla1[[#This Row],[Entry Price]]-Tabla1[[#This Row],[Initial Stop]])/2</f>
        <v>10.215</v>
      </c>
      <c r="I706" s="7">
        <v>20</v>
      </c>
      <c r="J706" s="7">
        <f t="shared" si="254"/>
        <v>10.199999999999996</v>
      </c>
      <c r="K706" s="7">
        <v>1</v>
      </c>
      <c r="L706" s="7">
        <f t="shared" si="255"/>
        <v>10.199999999999996</v>
      </c>
      <c r="M706" s="7" t="s">
        <v>72</v>
      </c>
      <c r="N706" s="7">
        <f>SUMIF(Executions!B:B,A706,Executions!H:H)</f>
        <v>7.5999999999999801</v>
      </c>
      <c r="O706" s="7">
        <f t="shared" si="256"/>
        <v>0.74509803921568463</v>
      </c>
      <c r="P706" s="9">
        <f>Tabla1[[#This Row],[Initial Risk $]]/Tabla1[[#This Row],[Position Size (shares)]]+Tabla1[[#This Row],[Entry Price]]</f>
        <v>10.98</v>
      </c>
      <c r="Q706" s="9">
        <f>Tabla1[[#This Row],[Initial Risk $]]/Tabla1[[#This Row],[Position Size (shares)]]*1.5+Tabla1[[#This Row],[Entry Price]]</f>
        <v>11.234999999999999</v>
      </c>
      <c r="R706" s="9">
        <f>Tabla1[[#This Row],[Initial Risk $]]/Tabla1[[#This Row],[Position Size (shares)]]*2+Tabla1[[#This Row],[Entry Price]]</f>
        <v>11.49</v>
      </c>
      <c r="S706" s="9">
        <f>Tabla1[[#This Row],[Initial Risk $]]/Tabla1[[#This Row],[Position Size (shares)]]*2.5+Tabla1[[#This Row],[Entry Price]]</f>
        <v>11.745000000000001</v>
      </c>
      <c r="T706" s="9">
        <f>Tabla1[[#This Row],[Initial Risk $]]/Tabla1[[#This Row],[Position Size (shares)]]*3+Tabla1[[#This Row],[Entry Price]]</f>
        <v>12</v>
      </c>
    </row>
    <row r="707" spans="1:20" hidden="1" x14ac:dyDescent="0.25">
      <c r="A707" s="7" t="str">
        <f t="shared" si="253"/>
        <v>T-706</v>
      </c>
      <c r="B707" s="8">
        <v>46254</v>
      </c>
      <c r="C707" s="7" t="s">
        <v>961</v>
      </c>
      <c r="D707" s="7" t="s">
        <v>28</v>
      </c>
      <c r="E707" s="7" t="s">
        <v>58</v>
      </c>
      <c r="F707" s="7">
        <v>19.25</v>
      </c>
      <c r="G707" s="7">
        <v>18.71</v>
      </c>
      <c r="H707" s="7">
        <f>Tabla1[[#This Row],[Entry Price]]-(Tabla1[[#This Row],[Entry Price]]-Tabla1[[#This Row],[Initial Stop]])/2</f>
        <v>18.98</v>
      </c>
      <c r="I707" s="7">
        <v>18</v>
      </c>
      <c r="J707" s="7">
        <f t="shared" si="254"/>
        <v>9.7199999999999847</v>
      </c>
      <c r="K707" s="7">
        <v>1</v>
      </c>
      <c r="L707" s="7">
        <f t="shared" si="255"/>
        <v>9.7199999999999847</v>
      </c>
      <c r="M707" s="7" t="s">
        <v>72</v>
      </c>
      <c r="N707" s="7">
        <f>SUMIF(Executions!B:B,A707,Executions!H:H)</f>
        <v>-9.7199999999999847</v>
      </c>
      <c r="O707" s="7">
        <f t="shared" si="256"/>
        <v>-1</v>
      </c>
      <c r="P707" s="9">
        <f>Tabla1[[#This Row],[Initial Risk $]]/Tabla1[[#This Row],[Position Size (shares)]]+Tabla1[[#This Row],[Entry Price]]</f>
        <v>19.79</v>
      </c>
      <c r="Q707" s="9">
        <f>Tabla1[[#This Row],[Initial Risk $]]/Tabla1[[#This Row],[Position Size (shares)]]*1.5+Tabla1[[#This Row],[Entry Price]]</f>
        <v>20.059999999999999</v>
      </c>
      <c r="R707" s="9">
        <f>Tabla1[[#This Row],[Initial Risk $]]/Tabla1[[#This Row],[Position Size (shares)]]*2+Tabla1[[#This Row],[Entry Price]]</f>
        <v>20.329999999999998</v>
      </c>
      <c r="S707" s="9">
        <f>Tabla1[[#This Row],[Initial Risk $]]/Tabla1[[#This Row],[Position Size (shares)]]*2.5+Tabla1[[#This Row],[Entry Price]]</f>
        <v>20.599999999999998</v>
      </c>
      <c r="T707" s="9">
        <f>Tabla1[[#This Row],[Initial Risk $]]/Tabla1[[#This Row],[Position Size (shares)]]*3+Tabla1[[#This Row],[Entry Price]]</f>
        <v>20.869999999999997</v>
      </c>
    </row>
    <row r="708" spans="1:20" hidden="1" x14ac:dyDescent="0.25">
      <c r="A708" s="7" t="str">
        <f t="shared" si="253"/>
        <v>T-707</v>
      </c>
      <c r="B708" s="8">
        <v>46254</v>
      </c>
      <c r="C708" s="7" t="s">
        <v>963</v>
      </c>
      <c r="D708" s="7" t="s">
        <v>28</v>
      </c>
      <c r="E708" s="7" t="s">
        <v>58</v>
      </c>
      <c r="F708" s="7">
        <v>47.8</v>
      </c>
      <c r="G708" s="7">
        <v>47.12</v>
      </c>
      <c r="H708" s="7">
        <f>Tabla1[[#This Row],[Entry Price]]-(Tabla1[[#This Row],[Entry Price]]-Tabla1[[#This Row],[Initial Stop]])/2</f>
        <v>47.459999999999994</v>
      </c>
      <c r="I708" s="7">
        <v>10</v>
      </c>
      <c r="J708" s="7">
        <f t="shared" si="254"/>
        <v>6.7999999999999972</v>
      </c>
      <c r="K708" s="7">
        <v>1</v>
      </c>
      <c r="L708" s="7">
        <f t="shared" si="255"/>
        <v>6.7999999999999972</v>
      </c>
      <c r="M708" s="7" t="s">
        <v>72</v>
      </c>
      <c r="N708" s="7">
        <f>SUMIF(Executions!B:B,A708,Executions!H:H)</f>
        <v>10.200000000000031</v>
      </c>
      <c r="O708" s="7">
        <f t="shared" si="256"/>
        <v>1.5000000000000053</v>
      </c>
      <c r="P708" s="9">
        <f>Tabla1[[#This Row],[Initial Risk $]]/Tabla1[[#This Row],[Position Size (shares)]]+Tabla1[[#This Row],[Entry Price]]</f>
        <v>48.48</v>
      </c>
      <c r="Q708" s="9">
        <f>Tabla1[[#This Row],[Initial Risk $]]/Tabla1[[#This Row],[Position Size (shares)]]*1.5+Tabla1[[#This Row],[Entry Price]]</f>
        <v>48.819999999999993</v>
      </c>
      <c r="R708" s="9">
        <f>Tabla1[[#This Row],[Initial Risk $]]/Tabla1[[#This Row],[Position Size (shares)]]*2+Tabla1[[#This Row],[Entry Price]]</f>
        <v>49.16</v>
      </c>
      <c r="S708" s="9">
        <f>Tabla1[[#This Row],[Initial Risk $]]/Tabla1[[#This Row],[Position Size (shares)]]*2.5+Tabla1[[#This Row],[Entry Price]]</f>
        <v>49.5</v>
      </c>
      <c r="T708" s="9">
        <f>Tabla1[[#This Row],[Initial Risk $]]/Tabla1[[#This Row],[Position Size (shares)]]*3+Tabla1[[#This Row],[Entry Price]]</f>
        <v>49.839999999999996</v>
      </c>
    </row>
    <row r="709" spans="1:20" hidden="1" x14ac:dyDescent="0.25">
      <c r="A709" s="7" t="str">
        <f t="shared" si="253"/>
        <v>T-708</v>
      </c>
      <c r="B709" s="8">
        <v>46254</v>
      </c>
      <c r="C709" s="7" t="s">
        <v>965</v>
      </c>
      <c r="D709" s="7" t="s">
        <v>28</v>
      </c>
      <c r="E709" s="7" t="s">
        <v>119</v>
      </c>
      <c r="F709" s="7">
        <v>67.34</v>
      </c>
      <c r="G709" s="7">
        <v>65.069999999999993</v>
      </c>
      <c r="H709" s="7">
        <f>Tabla1[[#This Row],[Entry Price]]-(Tabla1[[#This Row],[Entry Price]]-Tabla1[[#This Row],[Initial Stop]])/2</f>
        <v>66.204999999999998</v>
      </c>
      <c r="I709" s="7">
        <v>5</v>
      </c>
      <c r="J709" s="7">
        <f t="shared" si="254"/>
        <v>11.350000000000051</v>
      </c>
      <c r="K709" s="7">
        <v>1</v>
      </c>
      <c r="L709" s="7">
        <f t="shared" si="255"/>
        <v>11.350000000000051</v>
      </c>
      <c r="M709" s="7" t="s">
        <v>72</v>
      </c>
      <c r="N709" s="7">
        <f>SUMIF(Executions!B:B,A709,Executions!H:H)</f>
        <v>-2.7000000000000313</v>
      </c>
      <c r="O709" s="7">
        <f t="shared" si="256"/>
        <v>-0.23788546255506776</v>
      </c>
      <c r="P709" s="9">
        <f>Tabla1[[#This Row],[Initial Risk $]]/Tabla1[[#This Row],[Position Size (shares)]]+Tabla1[[#This Row],[Entry Price]]</f>
        <v>69.610000000000014</v>
      </c>
      <c r="Q709" s="9">
        <f>Tabla1[[#This Row],[Initial Risk $]]/Tabla1[[#This Row],[Position Size (shares)]]*1.5+Tabla1[[#This Row],[Entry Price]]</f>
        <v>70.745000000000019</v>
      </c>
      <c r="R709" s="9">
        <f>Tabla1[[#This Row],[Initial Risk $]]/Tabla1[[#This Row],[Position Size (shares)]]*2+Tabla1[[#This Row],[Entry Price]]</f>
        <v>71.880000000000024</v>
      </c>
      <c r="S709" s="9">
        <f>Tabla1[[#This Row],[Initial Risk $]]/Tabla1[[#This Row],[Position Size (shares)]]*2.5+Tabla1[[#This Row],[Entry Price]]</f>
        <v>73.015000000000029</v>
      </c>
      <c r="T709" s="9">
        <f>Tabla1[[#This Row],[Initial Risk $]]/Tabla1[[#This Row],[Position Size (shares)]]*3+Tabla1[[#This Row],[Entry Price]]</f>
        <v>74.150000000000034</v>
      </c>
    </row>
    <row r="710" spans="1:20" hidden="1" x14ac:dyDescent="0.25">
      <c r="A710" s="7" t="str">
        <f t="shared" si="253"/>
        <v>T-709</v>
      </c>
      <c r="B710" s="8">
        <v>46254</v>
      </c>
      <c r="C710" s="7" t="s">
        <v>668</v>
      </c>
      <c r="D710" s="7" t="s">
        <v>28</v>
      </c>
      <c r="E710" s="7" t="s">
        <v>119</v>
      </c>
      <c r="F710" s="7">
        <v>126.5</v>
      </c>
      <c r="G710" s="7">
        <v>123.93</v>
      </c>
      <c r="H710" s="7">
        <f>Tabla1[[#This Row],[Entry Price]]-(Tabla1[[#This Row],[Entry Price]]-Tabla1[[#This Row],[Initial Stop]])/2</f>
        <v>125.215</v>
      </c>
      <c r="I710" s="7">
        <v>5</v>
      </c>
      <c r="J710" s="7">
        <f t="shared" si="254"/>
        <v>12.849999999999966</v>
      </c>
      <c r="K710" s="7">
        <v>1</v>
      </c>
      <c r="L710" s="7">
        <f t="shared" si="255"/>
        <v>12.849999999999966</v>
      </c>
      <c r="M710" s="7" t="s">
        <v>72</v>
      </c>
      <c r="N710" s="7">
        <f>SUMIF(Executions!B:B,A710,Executions!H:H)</f>
        <v>19.249999999999972</v>
      </c>
      <c r="O710" s="7">
        <f t="shared" si="256"/>
        <v>1.498054474708173</v>
      </c>
      <c r="P710" s="9">
        <f>Tabla1[[#This Row],[Initial Risk $]]/Tabla1[[#This Row],[Position Size (shares)]]+Tabla1[[#This Row],[Entry Price]]</f>
        <v>129.07</v>
      </c>
      <c r="Q710" s="9">
        <f>Tabla1[[#This Row],[Initial Risk $]]/Tabla1[[#This Row],[Position Size (shares)]]*1.5+Tabla1[[#This Row],[Entry Price]]</f>
        <v>130.35499999999999</v>
      </c>
      <c r="R710" s="9">
        <f>Tabla1[[#This Row],[Initial Risk $]]/Tabla1[[#This Row],[Position Size (shares)]]*2+Tabla1[[#This Row],[Entry Price]]</f>
        <v>131.63999999999999</v>
      </c>
      <c r="S710" s="9">
        <f>Tabla1[[#This Row],[Initial Risk $]]/Tabla1[[#This Row],[Position Size (shares)]]*2.5+Tabla1[[#This Row],[Entry Price]]</f>
        <v>132.92499999999998</v>
      </c>
      <c r="T710" s="9">
        <f>Tabla1[[#This Row],[Initial Risk $]]/Tabla1[[#This Row],[Position Size (shares)]]*3+Tabla1[[#This Row],[Entry Price]]</f>
        <v>134.20999999999998</v>
      </c>
    </row>
    <row r="711" spans="1:20" hidden="1" x14ac:dyDescent="0.25">
      <c r="A711" s="7" t="str">
        <f t="shared" ref="A711:A721" si="257">"T-"&amp; TEXT(ROW()-1,"000")</f>
        <v>T-710</v>
      </c>
      <c r="B711" s="8">
        <v>46255</v>
      </c>
      <c r="C711" s="7" t="s">
        <v>302</v>
      </c>
      <c r="D711" s="7" t="s">
        <v>28</v>
      </c>
      <c r="E711" s="7" t="s">
        <v>58</v>
      </c>
      <c r="F711" s="7">
        <v>12.05</v>
      </c>
      <c r="G711" s="7">
        <v>11.59</v>
      </c>
      <c r="H711" s="7">
        <f>Tabla1[[#This Row],[Entry Price]]-(Tabla1[[#This Row],[Entry Price]]-Tabla1[[#This Row],[Initial Stop]])/2</f>
        <v>11.82</v>
      </c>
      <c r="I711" s="7">
        <v>20</v>
      </c>
      <c r="J711" s="7">
        <f t="shared" ref="J711:J721" si="258">IF(D711="Long",(F711-G711)*I711,(G711-F711)*0)</f>
        <v>9.2000000000000171</v>
      </c>
      <c r="K711" s="7">
        <v>1</v>
      </c>
      <c r="L711" s="7">
        <f t="shared" ref="L711:L721" si="259">J711*K711</f>
        <v>9.2000000000000171</v>
      </c>
      <c r="M711" s="7" t="s">
        <v>72</v>
      </c>
      <c r="N711" s="7">
        <f>SUMIF(Executions!B:B,A711,Executions!H:H)</f>
        <v>-9.2000000000000171</v>
      </c>
      <c r="O711" s="7">
        <f t="shared" ref="O711:O721" si="260">N711/J711</f>
        <v>-1</v>
      </c>
      <c r="P711" s="9">
        <f>Tabla1[[#This Row],[Initial Risk $]]/Tabla1[[#This Row],[Position Size (shares)]]+Tabla1[[#This Row],[Entry Price]]</f>
        <v>12.510000000000002</v>
      </c>
      <c r="Q711" s="9">
        <f>Tabla1[[#This Row],[Initial Risk $]]/Tabla1[[#This Row],[Position Size (shares)]]*1.5+Tabla1[[#This Row],[Entry Price]]</f>
        <v>12.740000000000002</v>
      </c>
      <c r="R711" s="9">
        <f>Tabla1[[#This Row],[Initial Risk $]]/Tabla1[[#This Row],[Position Size (shares)]]*2+Tabla1[[#This Row],[Entry Price]]</f>
        <v>12.970000000000002</v>
      </c>
      <c r="S711" s="9">
        <f>Tabla1[[#This Row],[Initial Risk $]]/Tabla1[[#This Row],[Position Size (shares)]]*2.5+Tabla1[[#This Row],[Entry Price]]</f>
        <v>13.200000000000003</v>
      </c>
      <c r="T711" s="9">
        <f>Tabla1[[#This Row],[Initial Risk $]]/Tabla1[[#This Row],[Position Size (shares)]]*3+Tabla1[[#This Row],[Entry Price]]</f>
        <v>13.430000000000003</v>
      </c>
    </row>
    <row r="712" spans="1:20" hidden="1" x14ac:dyDescent="0.25">
      <c r="A712" s="7" t="str">
        <f t="shared" si="257"/>
        <v>T-711</v>
      </c>
      <c r="B712" s="8">
        <v>46255</v>
      </c>
      <c r="C712" s="7" t="s">
        <v>971</v>
      </c>
      <c r="D712" s="7" t="s">
        <v>28</v>
      </c>
      <c r="E712" s="7" t="s">
        <v>58</v>
      </c>
      <c r="F712" s="7">
        <v>91.47</v>
      </c>
      <c r="G712" s="7">
        <v>88.93</v>
      </c>
      <c r="H712" s="7">
        <f>Tabla1[[#This Row],[Entry Price]]-(Tabla1[[#This Row],[Entry Price]]-Tabla1[[#This Row],[Initial Stop]])/2</f>
        <v>90.2</v>
      </c>
      <c r="I712" s="7">
        <v>7</v>
      </c>
      <c r="J712" s="7">
        <f t="shared" si="258"/>
        <v>17.779999999999944</v>
      </c>
      <c r="K712" s="7">
        <v>1</v>
      </c>
      <c r="L712" s="7">
        <f t="shared" si="259"/>
        <v>17.779999999999944</v>
      </c>
      <c r="M712" s="7" t="s">
        <v>72</v>
      </c>
      <c r="N712" s="7">
        <f>SUMIF(Executions!B:B,A712,Executions!H:H)</f>
        <v>-12.95999999999998</v>
      </c>
      <c r="O712" s="7">
        <f t="shared" si="260"/>
        <v>-0.72890888638920248</v>
      </c>
      <c r="P712" s="9">
        <f>Tabla1[[#This Row],[Initial Risk $]]/Tabla1[[#This Row],[Position Size (shares)]]+Tabla1[[#This Row],[Entry Price]]</f>
        <v>94.009999999999991</v>
      </c>
      <c r="Q712" s="9">
        <f>Tabla1[[#This Row],[Initial Risk $]]/Tabla1[[#This Row],[Position Size (shares)]]*1.5+Tabla1[[#This Row],[Entry Price]]</f>
        <v>95.279999999999987</v>
      </c>
      <c r="R712" s="9">
        <f>Tabla1[[#This Row],[Initial Risk $]]/Tabla1[[#This Row],[Position Size (shares)]]*2+Tabla1[[#This Row],[Entry Price]]</f>
        <v>96.549999999999983</v>
      </c>
      <c r="S712" s="9">
        <f>Tabla1[[#This Row],[Initial Risk $]]/Tabla1[[#This Row],[Position Size (shares)]]*2.5+Tabla1[[#This Row],[Entry Price]]</f>
        <v>97.819999999999979</v>
      </c>
      <c r="T712" s="9">
        <f>Tabla1[[#This Row],[Initial Risk $]]/Tabla1[[#This Row],[Position Size (shares)]]*3+Tabla1[[#This Row],[Entry Price]]</f>
        <v>99.089999999999975</v>
      </c>
    </row>
    <row r="713" spans="1:20" hidden="1" x14ac:dyDescent="0.25">
      <c r="A713" s="7" t="str">
        <f t="shared" si="257"/>
        <v>T-712</v>
      </c>
      <c r="B713" s="8">
        <v>46255</v>
      </c>
      <c r="C713" s="7" t="s">
        <v>972</v>
      </c>
      <c r="D713" s="7" t="s">
        <v>28</v>
      </c>
      <c r="E713" s="7" t="s">
        <v>52</v>
      </c>
      <c r="F713" s="7">
        <v>187.44</v>
      </c>
      <c r="G713" s="7">
        <v>181.48</v>
      </c>
      <c r="H713" s="7">
        <f>Tabla1[[#This Row],[Entry Price]]-(Tabla1[[#This Row],[Entry Price]]-Tabla1[[#This Row],[Initial Stop]])/2</f>
        <v>184.45999999999998</v>
      </c>
      <c r="I713" s="7">
        <v>2</v>
      </c>
      <c r="J713" s="7">
        <f t="shared" si="258"/>
        <v>11.920000000000016</v>
      </c>
      <c r="K713" s="7">
        <v>1</v>
      </c>
      <c r="L713" s="7">
        <f t="shared" si="259"/>
        <v>11.920000000000016</v>
      </c>
      <c r="M713" s="7" t="s">
        <v>72</v>
      </c>
      <c r="N713" s="7">
        <f>SUMIF(Executions!B:B,A713,Executions!H:H)</f>
        <v>-4.7199999999999704</v>
      </c>
      <c r="O713" s="7">
        <f t="shared" si="260"/>
        <v>-0.39597315436241309</v>
      </c>
      <c r="P713" s="9">
        <f>Tabla1[[#This Row],[Initial Risk $]]/Tabla1[[#This Row],[Position Size (shares)]]+Tabla1[[#This Row],[Entry Price]]</f>
        <v>193.4</v>
      </c>
      <c r="Q713" s="9">
        <f>Tabla1[[#This Row],[Initial Risk $]]/Tabla1[[#This Row],[Position Size (shares)]]*1.5+Tabla1[[#This Row],[Entry Price]]</f>
        <v>196.38</v>
      </c>
      <c r="R713" s="9">
        <f>Tabla1[[#This Row],[Initial Risk $]]/Tabla1[[#This Row],[Position Size (shares)]]*2+Tabla1[[#This Row],[Entry Price]]</f>
        <v>199.36</v>
      </c>
      <c r="S713" s="9">
        <f>Tabla1[[#This Row],[Initial Risk $]]/Tabla1[[#This Row],[Position Size (shares)]]*2.5+Tabla1[[#This Row],[Entry Price]]</f>
        <v>202.34000000000003</v>
      </c>
      <c r="T713" s="9">
        <f>Tabla1[[#This Row],[Initial Risk $]]/Tabla1[[#This Row],[Position Size (shares)]]*3+Tabla1[[#This Row],[Entry Price]]</f>
        <v>205.32000000000002</v>
      </c>
    </row>
    <row r="714" spans="1:20" hidden="1" x14ac:dyDescent="0.25">
      <c r="A714" s="7" t="str">
        <f t="shared" si="257"/>
        <v>T-713</v>
      </c>
      <c r="B714" s="8">
        <v>46255</v>
      </c>
      <c r="C714" s="7" t="s">
        <v>974</v>
      </c>
      <c r="D714" s="7" t="s">
        <v>28</v>
      </c>
      <c r="E714" s="7" t="s">
        <v>58</v>
      </c>
      <c r="F714" s="7">
        <v>11</v>
      </c>
      <c r="G714" s="7">
        <v>10.71</v>
      </c>
      <c r="H714" s="7">
        <f>Tabla1[[#This Row],[Entry Price]]-(Tabla1[[#This Row],[Entry Price]]-Tabla1[[#This Row],[Initial Stop]])/2</f>
        <v>10.855</v>
      </c>
      <c r="I714" s="7">
        <v>40</v>
      </c>
      <c r="J714" s="7">
        <f t="shared" si="258"/>
        <v>11.599999999999966</v>
      </c>
      <c r="K714" s="7">
        <v>1</v>
      </c>
      <c r="L714" s="7">
        <f t="shared" si="259"/>
        <v>11.599999999999966</v>
      </c>
      <c r="M714" s="7" t="s">
        <v>72</v>
      </c>
      <c r="N714" s="7">
        <f>SUMIF(Executions!B:B,A714,Executions!H:H)</f>
        <v>-12.000000000000028</v>
      </c>
      <c r="O714" s="7">
        <f t="shared" si="260"/>
        <v>-1.0344827586206951</v>
      </c>
      <c r="P714" s="9">
        <f>Tabla1[[#This Row],[Initial Risk $]]/Tabla1[[#This Row],[Position Size (shares)]]+Tabla1[[#This Row],[Entry Price]]</f>
        <v>11.29</v>
      </c>
      <c r="Q714" s="9">
        <f>Tabla1[[#This Row],[Initial Risk $]]/Tabla1[[#This Row],[Position Size (shares)]]*1.5+Tabla1[[#This Row],[Entry Price]]</f>
        <v>11.434999999999999</v>
      </c>
      <c r="R714" s="9">
        <f>Tabla1[[#This Row],[Initial Risk $]]/Tabla1[[#This Row],[Position Size (shares)]]*2+Tabla1[[#This Row],[Entry Price]]</f>
        <v>11.579999999999998</v>
      </c>
      <c r="S714" s="9">
        <f>Tabla1[[#This Row],[Initial Risk $]]/Tabla1[[#This Row],[Position Size (shares)]]*2.5+Tabla1[[#This Row],[Entry Price]]</f>
        <v>11.724999999999998</v>
      </c>
      <c r="T714" s="9">
        <f>Tabla1[[#This Row],[Initial Risk $]]/Tabla1[[#This Row],[Position Size (shares)]]*3+Tabla1[[#This Row],[Entry Price]]</f>
        <v>11.869999999999997</v>
      </c>
    </row>
    <row r="715" spans="1:20" hidden="1" x14ac:dyDescent="0.25">
      <c r="A715" s="7" t="str">
        <f t="shared" si="257"/>
        <v>T-714</v>
      </c>
      <c r="B715" s="8">
        <v>46255</v>
      </c>
      <c r="C715" s="7" t="s">
        <v>959</v>
      </c>
      <c r="D715" s="7" t="s">
        <v>28</v>
      </c>
      <c r="E715" s="7" t="s">
        <v>119</v>
      </c>
      <c r="F715" s="7">
        <v>11.58</v>
      </c>
      <c r="G715" s="7">
        <v>11.11</v>
      </c>
      <c r="H715" s="7">
        <f>Tabla1[[#This Row],[Entry Price]]-(Tabla1[[#This Row],[Entry Price]]-Tabla1[[#This Row],[Initial Stop]])/2</f>
        <v>11.344999999999999</v>
      </c>
      <c r="I715" s="7">
        <v>20</v>
      </c>
      <c r="J715" s="7">
        <f t="shared" si="258"/>
        <v>9.4000000000000128</v>
      </c>
      <c r="K715" s="7">
        <v>1</v>
      </c>
      <c r="L715" s="7">
        <f t="shared" si="259"/>
        <v>9.4000000000000128</v>
      </c>
      <c r="M715" s="7" t="s">
        <v>72</v>
      </c>
      <c r="N715" s="7">
        <f>SUMIF(Executions!B:B,A715,Executions!H:H)</f>
        <v>-8.0000000000000071</v>
      </c>
      <c r="O715" s="7">
        <f t="shared" si="260"/>
        <v>-0.85106382978723361</v>
      </c>
      <c r="P715" s="9">
        <f>Tabla1[[#This Row],[Initial Risk $]]/Tabla1[[#This Row],[Position Size (shares)]]+Tabla1[[#This Row],[Entry Price]]</f>
        <v>12.05</v>
      </c>
      <c r="Q715" s="9">
        <f>Tabla1[[#This Row],[Initial Risk $]]/Tabla1[[#This Row],[Position Size (shares)]]*1.5+Tabla1[[#This Row],[Entry Price]]</f>
        <v>12.285</v>
      </c>
      <c r="R715" s="9">
        <f>Tabla1[[#This Row],[Initial Risk $]]/Tabla1[[#This Row],[Position Size (shares)]]*2+Tabla1[[#This Row],[Entry Price]]</f>
        <v>12.520000000000001</v>
      </c>
      <c r="S715" s="9">
        <f>Tabla1[[#This Row],[Initial Risk $]]/Tabla1[[#This Row],[Position Size (shares)]]*2.5+Tabla1[[#This Row],[Entry Price]]</f>
        <v>12.755000000000003</v>
      </c>
      <c r="T715" s="9">
        <f>Tabla1[[#This Row],[Initial Risk $]]/Tabla1[[#This Row],[Position Size (shares)]]*3+Tabla1[[#This Row],[Entry Price]]</f>
        <v>12.990000000000002</v>
      </c>
    </row>
    <row r="716" spans="1:20" hidden="1" x14ac:dyDescent="0.25">
      <c r="A716" s="7" t="str">
        <f t="shared" si="257"/>
        <v>T-715</v>
      </c>
      <c r="B716" s="8">
        <v>46255</v>
      </c>
      <c r="C716" s="7" t="s">
        <v>154</v>
      </c>
      <c r="D716" s="7" t="s">
        <v>28</v>
      </c>
      <c r="E716" s="7" t="s">
        <v>58</v>
      </c>
      <c r="F716" s="7">
        <v>340.11</v>
      </c>
      <c r="G716" s="7">
        <v>337.11</v>
      </c>
      <c r="H716" s="7">
        <f>Tabla1[[#This Row],[Entry Price]]-(Tabla1[[#This Row],[Entry Price]]-Tabla1[[#This Row],[Initial Stop]])/2</f>
        <v>338.61</v>
      </c>
      <c r="I716" s="7">
        <v>3</v>
      </c>
      <c r="J716" s="7">
        <f t="shared" si="258"/>
        <v>9</v>
      </c>
      <c r="K716" s="7">
        <v>1</v>
      </c>
      <c r="L716" s="7">
        <f t="shared" si="259"/>
        <v>9</v>
      </c>
      <c r="M716" s="7" t="s">
        <v>72</v>
      </c>
      <c r="N716" s="7">
        <f>SUMIF(Executions!B:B,A716,Executions!H:H)</f>
        <v>8.3699999999998909</v>
      </c>
      <c r="O716" s="7">
        <f t="shared" si="260"/>
        <v>0.92999999999998784</v>
      </c>
      <c r="P716" s="9">
        <f>Tabla1[[#This Row],[Initial Risk $]]/Tabla1[[#This Row],[Position Size (shares)]]+Tabla1[[#This Row],[Entry Price]]</f>
        <v>343.11</v>
      </c>
      <c r="Q716" s="9">
        <f>Tabla1[[#This Row],[Initial Risk $]]/Tabla1[[#This Row],[Position Size (shares)]]*1.5+Tabla1[[#This Row],[Entry Price]]</f>
        <v>344.61</v>
      </c>
      <c r="R716" s="9">
        <f>Tabla1[[#This Row],[Initial Risk $]]/Tabla1[[#This Row],[Position Size (shares)]]*2+Tabla1[[#This Row],[Entry Price]]</f>
        <v>346.11</v>
      </c>
      <c r="S716" s="9">
        <f>Tabla1[[#This Row],[Initial Risk $]]/Tabla1[[#This Row],[Position Size (shares)]]*2.5+Tabla1[[#This Row],[Entry Price]]</f>
        <v>347.61</v>
      </c>
      <c r="T716" s="9">
        <f>Tabla1[[#This Row],[Initial Risk $]]/Tabla1[[#This Row],[Position Size (shares)]]*3+Tabla1[[#This Row],[Entry Price]]</f>
        <v>349.11</v>
      </c>
    </row>
    <row r="717" spans="1:20" hidden="1" x14ac:dyDescent="0.25">
      <c r="A717" s="7" t="str">
        <f t="shared" si="257"/>
        <v>T-716</v>
      </c>
      <c r="B717" s="8">
        <v>46255</v>
      </c>
      <c r="C717" s="7" t="s">
        <v>279</v>
      </c>
      <c r="D717" s="7" t="s">
        <v>28</v>
      </c>
      <c r="E717" s="7" t="s">
        <v>27</v>
      </c>
      <c r="F717" s="7">
        <v>964.57</v>
      </c>
      <c r="G717" s="7">
        <v>953.57</v>
      </c>
      <c r="H717" s="7">
        <f>Tabla1[[#This Row],[Entry Price]]-(Tabla1[[#This Row],[Entry Price]]-Tabla1[[#This Row],[Initial Stop]])/2</f>
        <v>959.07</v>
      </c>
      <c r="I717" s="7">
        <v>1</v>
      </c>
      <c r="J717" s="7">
        <f t="shared" si="258"/>
        <v>11</v>
      </c>
      <c r="K717" s="7">
        <v>1</v>
      </c>
      <c r="L717" s="7">
        <f t="shared" si="259"/>
        <v>11</v>
      </c>
      <c r="M717" s="7" t="s">
        <v>72</v>
      </c>
      <c r="N717" s="7">
        <f>SUMIF(Executions!B:B,A717,Executions!H:H)</f>
        <v>-2.57000000000005</v>
      </c>
      <c r="O717" s="7">
        <f t="shared" si="260"/>
        <v>-0.23363636363636819</v>
      </c>
      <c r="P717" s="9">
        <f>Tabla1[[#This Row],[Initial Risk $]]/Tabla1[[#This Row],[Position Size (shares)]]+Tabla1[[#This Row],[Entry Price]]</f>
        <v>975.57</v>
      </c>
      <c r="Q717" s="9">
        <f>Tabla1[[#This Row],[Initial Risk $]]/Tabla1[[#This Row],[Position Size (shares)]]*1.5+Tabla1[[#This Row],[Entry Price]]</f>
        <v>981.07</v>
      </c>
      <c r="R717" s="9">
        <f>Tabla1[[#This Row],[Initial Risk $]]/Tabla1[[#This Row],[Position Size (shares)]]*2+Tabla1[[#This Row],[Entry Price]]</f>
        <v>986.57</v>
      </c>
      <c r="S717" s="9">
        <f>Tabla1[[#This Row],[Initial Risk $]]/Tabla1[[#This Row],[Position Size (shares)]]*2.5+Tabla1[[#This Row],[Entry Price]]</f>
        <v>992.07</v>
      </c>
      <c r="T717" s="9">
        <f>Tabla1[[#This Row],[Initial Risk $]]/Tabla1[[#This Row],[Position Size (shares)]]*3+Tabla1[[#This Row],[Entry Price]]</f>
        <v>997.57</v>
      </c>
    </row>
    <row r="718" spans="1:20" hidden="1" x14ac:dyDescent="0.25">
      <c r="A718" s="7" t="str">
        <f t="shared" si="257"/>
        <v>T-717</v>
      </c>
      <c r="B718" s="8">
        <v>46255</v>
      </c>
      <c r="C718" s="7" t="s">
        <v>186</v>
      </c>
      <c r="D718" s="7" t="s">
        <v>28</v>
      </c>
      <c r="E718" s="7" t="s">
        <v>27</v>
      </c>
      <c r="F718" s="7">
        <v>260.26</v>
      </c>
      <c r="G718" s="7">
        <v>258.08999999999997</v>
      </c>
      <c r="H718" s="7">
        <f>Tabla1[[#This Row],[Entry Price]]-(Tabla1[[#This Row],[Entry Price]]-Tabla1[[#This Row],[Initial Stop]])/2</f>
        <v>259.17499999999995</v>
      </c>
      <c r="I718" s="7">
        <v>4</v>
      </c>
      <c r="J718" s="7">
        <f t="shared" si="258"/>
        <v>8.6800000000000637</v>
      </c>
      <c r="K718" s="7">
        <v>1</v>
      </c>
      <c r="L718" s="7">
        <f t="shared" si="259"/>
        <v>8.6800000000000637</v>
      </c>
      <c r="M718" s="7" t="s">
        <v>72</v>
      </c>
      <c r="N718" s="7">
        <f>SUMIF(Executions!B:B,A718,Executions!H:H)</f>
        <v>-8.4800000000000182</v>
      </c>
      <c r="O718" s="7">
        <f t="shared" si="260"/>
        <v>-0.976958525345617</v>
      </c>
      <c r="P718" s="9">
        <f>Tabla1[[#This Row],[Initial Risk $]]/Tabla1[[#This Row],[Position Size (shares)]]+Tabla1[[#This Row],[Entry Price]]</f>
        <v>262.43</v>
      </c>
      <c r="Q718" s="9">
        <f>Tabla1[[#This Row],[Initial Risk $]]/Tabla1[[#This Row],[Position Size (shares)]]*1.5+Tabla1[[#This Row],[Entry Price]]</f>
        <v>263.51499999999999</v>
      </c>
      <c r="R718" s="9">
        <f>Tabla1[[#This Row],[Initial Risk $]]/Tabla1[[#This Row],[Position Size (shares)]]*2+Tabla1[[#This Row],[Entry Price]]</f>
        <v>264.60000000000002</v>
      </c>
      <c r="S718" s="9">
        <f>Tabla1[[#This Row],[Initial Risk $]]/Tabla1[[#This Row],[Position Size (shares)]]*2.5+Tabla1[[#This Row],[Entry Price]]</f>
        <v>265.68500000000006</v>
      </c>
      <c r="T718" s="9">
        <f>Tabla1[[#This Row],[Initial Risk $]]/Tabla1[[#This Row],[Position Size (shares)]]*3+Tabla1[[#This Row],[Entry Price]]</f>
        <v>266.77000000000004</v>
      </c>
    </row>
    <row r="719" spans="1:20" hidden="1" x14ac:dyDescent="0.25">
      <c r="A719" s="7" t="str">
        <f t="shared" si="257"/>
        <v>T-718</v>
      </c>
      <c r="B719" s="8">
        <v>46255</v>
      </c>
      <c r="C719" s="7" t="s">
        <v>294</v>
      </c>
      <c r="D719" s="7" t="s">
        <v>28</v>
      </c>
      <c r="E719" s="7" t="s">
        <v>58</v>
      </c>
      <c r="F719" s="7">
        <v>147.5</v>
      </c>
      <c r="G719" s="7">
        <v>146.1</v>
      </c>
      <c r="H719" s="7">
        <f>Tabla1[[#This Row],[Entry Price]]-(Tabla1[[#This Row],[Entry Price]]-Tabla1[[#This Row],[Initial Stop]])/2</f>
        <v>146.80000000000001</v>
      </c>
      <c r="I719" s="7">
        <v>6</v>
      </c>
      <c r="J719" s="7">
        <f t="shared" si="258"/>
        <v>8.4000000000000341</v>
      </c>
      <c r="K719" s="7">
        <v>1</v>
      </c>
      <c r="L719" s="7">
        <f t="shared" si="259"/>
        <v>8.4000000000000341</v>
      </c>
      <c r="M719" s="7" t="s">
        <v>72</v>
      </c>
      <c r="N719" s="7">
        <f>SUMIF(Executions!B:B,A719,Executions!H:H)</f>
        <v>-5.4599999999999795</v>
      </c>
      <c r="O719" s="7">
        <f t="shared" si="260"/>
        <v>-0.64999999999999492</v>
      </c>
      <c r="P719" s="9">
        <f>Tabla1[[#This Row],[Initial Risk $]]/Tabla1[[#This Row],[Position Size (shares)]]+Tabla1[[#This Row],[Entry Price]]</f>
        <v>148.9</v>
      </c>
      <c r="Q719" s="9">
        <f>Tabla1[[#This Row],[Initial Risk $]]/Tabla1[[#This Row],[Position Size (shares)]]*1.5+Tabla1[[#This Row],[Entry Price]]</f>
        <v>149.60000000000002</v>
      </c>
      <c r="R719" s="9">
        <f>Tabla1[[#This Row],[Initial Risk $]]/Tabla1[[#This Row],[Position Size (shares)]]*2+Tabla1[[#This Row],[Entry Price]]</f>
        <v>150.30000000000001</v>
      </c>
      <c r="S719" s="9">
        <f>Tabla1[[#This Row],[Initial Risk $]]/Tabla1[[#This Row],[Position Size (shares)]]*2.5+Tabla1[[#This Row],[Entry Price]]</f>
        <v>151</v>
      </c>
      <c r="T719" s="9">
        <f>Tabla1[[#This Row],[Initial Risk $]]/Tabla1[[#This Row],[Position Size (shares)]]*3+Tabla1[[#This Row],[Entry Price]]</f>
        <v>151.70000000000002</v>
      </c>
    </row>
    <row r="720" spans="1:20" hidden="1" x14ac:dyDescent="0.25">
      <c r="A720" s="7" t="str">
        <f t="shared" si="257"/>
        <v>T-719</v>
      </c>
      <c r="B720" s="8">
        <v>46255</v>
      </c>
      <c r="C720" s="7" t="s">
        <v>359</v>
      </c>
      <c r="D720" s="7" t="s">
        <v>28</v>
      </c>
      <c r="E720" s="7" t="s">
        <v>119</v>
      </c>
      <c r="F720" s="7">
        <v>80.45</v>
      </c>
      <c r="G720" s="7">
        <v>80.06</v>
      </c>
      <c r="H720" s="7">
        <f>Tabla1[[#This Row],[Entry Price]]-(Tabla1[[#This Row],[Entry Price]]-Tabla1[[#This Row],[Initial Stop]])/2</f>
        <v>80.254999999999995</v>
      </c>
      <c r="I720" s="7">
        <v>12</v>
      </c>
      <c r="J720" s="7">
        <f t="shared" si="258"/>
        <v>4.6800000000000068</v>
      </c>
      <c r="K720" s="7">
        <v>1</v>
      </c>
      <c r="L720" s="7">
        <f t="shared" si="259"/>
        <v>4.6800000000000068</v>
      </c>
      <c r="M720" s="7" t="s">
        <v>72</v>
      </c>
      <c r="N720" s="7">
        <f>SUMIF(Executions!B:B,A720,Executions!H:H)</f>
        <v>-4.8000000000000682</v>
      </c>
      <c r="O720" s="7">
        <f t="shared" si="260"/>
        <v>-1.0256410256410387</v>
      </c>
      <c r="P720" s="9">
        <f>Tabla1[[#This Row],[Initial Risk $]]/Tabla1[[#This Row],[Position Size (shares)]]+Tabla1[[#This Row],[Entry Price]]</f>
        <v>80.84</v>
      </c>
      <c r="Q720" s="9">
        <f>Tabla1[[#This Row],[Initial Risk $]]/Tabla1[[#This Row],[Position Size (shares)]]*1.5+Tabla1[[#This Row],[Entry Price]]</f>
        <v>81.034999999999997</v>
      </c>
      <c r="R720" s="9">
        <f>Tabla1[[#This Row],[Initial Risk $]]/Tabla1[[#This Row],[Position Size (shares)]]*2+Tabla1[[#This Row],[Entry Price]]</f>
        <v>81.23</v>
      </c>
      <c r="S720" s="9">
        <f>Tabla1[[#This Row],[Initial Risk $]]/Tabla1[[#This Row],[Position Size (shares)]]*2.5+Tabla1[[#This Row],[Entry Price]]</f>
        <v>81.425000000000011</v>
      </c>
      <c r="T720" s="9">
        <f>Tabla1[[#This Row],[Initial Risk $]]/Tabla1[[#This Row],[Position Size (shares)]]*3+Tabla1[[#This Row],[Entry Price]]</f>
        <v>81.62</v>
      </c>
    </row>
    <row r="721" spans="1:20" hidden="1" x14ac:dyDescent="0.25">
      <c r="A721" s="7" t="str">
        <f t="shared" si="257"/>
        <v>T-720</v>
      </c>
      <c r="B721" s="8">
        <v>46255</v>
      </c>
      <c r="C721" s="7" t="s">
        <v>771</v>
      </c>
      <c r="D721" s="7" t="s">
        <v>28</v>
      </c>
      <c r="E721" s="7" t="s">
        <v>27</v>
      </c>
      <c r="F721" s="7">
        <v>76.37</v>
      </c>
      <c r="G721" s="7">
        <v>75.22</v>
      </c>
      <c r="H721" s="7">
        <f>Tabla1[[#This Row],[Entry Price]]-(Tabla1[[#This Row],[Entry Price]]-Tabla1[[#This Row],[Initial Stop]])/2</f>
        <v>75.795000000000002</v>
      </c>
      <c r="I721" s="7">
        <v>6</v>
      </c>
      <c r="J721" s="7">
        <f t="shared" si="258"/>
        <v>6.9000000000000341</v>
      </c>
      <c r="K721" s="7">
        <v>1</v>
      </c>
      <c r="L721" s="7">
        <f t="shared" si="259"/>
        <v>6.9000000000000341</v>
      </c>
      <c r="M721" s="7" t="s">
        <v>72</v>
      </c>
      <c r="N721" s="7">
        <f>SUMIF(Executions!B:B,A721,Executions!H:H)</f>
        <v>1.6199999999999761</v>
      </c>
      <c r="O721" s="7">
        <f t="shared" si="260"/>
        <v>0.23478260869564754</v>
      </c>
      <c r="P721" s="9">
        <f>Tabla1[[#This Row],[Initial Risk $]]/Tabla1[[#This Row],[Position Size (shares)]]+Tabla1[[#This Row],[Entry Price]]</f>
        <v>77.52000000000001</v>
      </c>
      <c r="Q721" s="9">
        <f>Tabla1[[#This Row],[Initial Risk $]]/Tabla1[[#This Row],[Position Size (shares)]]*1.5+Tabla1[[#This Row],[Entry Price]]</f>
        <v>78.095000000000013</v>
      </c>
      <c r="R721" s="9">
        <f>Tabla1[[#This Row],[Initial Risk $]]/Tabla1[[#This Row],[Position Size (shares)]]*2+Tabla1[[#This Row],[Entry Price]]</f>
        <v>78.670000000000016</v>
      </c>
      <c r="S721" s="9">
        <f>Tabla1[[#This Row],[Initial Risk $]]/Tabla1[[#This Row],[Position Size (shares)]]*2.5+Tabla1[[#This Row],[Entry Price]]</f>
        <v>79.245000000000019</v>
      </c>
      <c r="T721" s="9">
        <f>Tabla1[[#This Row],[Initial Risk $]]/Tabla1[[#This Row],[Position Size (shares)]]*3+Tabla1[[#This Row],[Entry Price]]</f>
        <v>79.820000000000022</v>
      </c>
    </row>
    <row r="722" spans="1:20" hidden="1" x14ac:dyDescent="0.25">
      <c r="A722" s="7" t="str">
        <f t="shared" ref="A722:A730" si="261">"T-"&amp; TEXT(ROW()-1,"000")</f>
        <v>T-721</v>
      </c>
      <c r="B722" s="8">
        <v>46258</v>
      </c>
      <c r="C722" s="7" t="s">
        <v>582</v>
      </c>
      <c r="D722" s="7" t="s">
        <v>28</v>
      </c>
      <c r="E722" s="7" t="s">
        <v>58</v>
      </c>
      <c r="F722" s="7">
        <v>108.76</v>
      </c>
      <c r="G722" s="7">
        <v>108.01</v>
      </c>
      <c r="H722" s="7">
        <f>Tabla1[[#This Row],[Entry Price]]-(Tabla1[[#This Row],[Entry Price]]-Tabla1[[#This Row],[Initial Stop]])/2</f>
        <v>108.38500000000001</v>
      </c>
      <c r="I722" s="7">
        <v>10</v>
      </c>
      <c r="J722" s="7">
        <f t="shared" ref="J722:J730" si="262">IF(D722="Long",(F722-G722)*I722,(G722-F722)*0)</f>
        <v>7.5</v>
      </c>
      <c r="K722" s="7">
        <v>1</v>
      </c>
      <c r="L722" s="7">
        <f t="shared" ref="L722:L730" si="263">J722*K722</f>
        <v>7.5</v>
      </c>
      <c r="M722" s="7" t="s">
        <v>72</v>
      </c>
      <c r="N722" s="7">
        <f>SUMIF(Executions!B:B,A722,Executions!H:H)</f>
        <v>26.599999999999966</v>
      </c>
      <c r="O722" s="7">
        <f t="shared" ref="O722:O730" si="264">N722/J722</f>
        <v>3.546666666666662</v>
      </c>
      <c r="P722" s="9">
        <f>Tabla1[[#This Row],[Initial Risk $]]/Tabla1[[#This Row],[Position Size (shares)]]+Tabla1[[#This Row],[Entry Price]]</f>
        <v>109.51</v>
      </c>
      <c r="Q722" s="9">
        <f>Tabla1[[#This Row],[Initial Risk $]]/Tabla1[[#This Row],[Position Size (shares)]]*1.5+Tabla1[[#This Row],[Entry Price]]</f>
        <v>109.88500000000001</v>
      </c>
      <c r="R722" s="9">
        <f>Tabla1[[#This Row],[Initial Risk $]]/Tabla1[[#This Row],[Position Size (shares)]]*2+Tabla1[[#This Row],[Entry Price]]</f>
        <v>110.26</v>
      </c>
      <c r="S722" s="9">
        <f>Tabla1[[#This Row],[Initial Risk $]]/Tabla1[[#This Row],[Position Size (shares)]]*2.5+Tabla1[[#This Row],[Entry Price]]</f>
        <v>110.63500000000001</v>
      </c>
      <c r="T722" s="9">
        <f>Tabla1[[#This Row],[Initial Risk $]]/Tabla1[[#This Row],[Position Size (shares)]]*3+Tabla1[[#This Row],[Entry Price]]</f>
        <v>111.01</v>
      </c>
    </row>
    <row r="723" spans="1:20" hidden="1" x14ac:dyDescent="0.25">
      <c r="A723" s="7" t="str">
        <f t="shared" si="261"/>
        <v>T-722</v>
      </c>
      <c r="B723" s="8">
        <v>46258</v>
      </c>
      <c r="C723" s="7" t="s">
        <v>986</v>
      </c>
      <c r="D723" s="7" t="s">
        <v>28</v>
      </c>
      <c r="E723" s="7" t="s">
        <v>58</v>
      </c>
      <c r="F723" s="7">
        <v>38.71</v>
      </c>
      <c r="G723" s="7">
        <v>38.299999999999997</v>
      </c>
      <c r="H723" s="7">
        <f>Tabla1[[#This Row],[Entry Price]]-(Tabla1[[#This Row],[Entry Price]]-Tabla1[[#This Row],[Initial Stop]])/2</f>
        <v>38.504999999999995</v>
      </c>
      <c r="I723" s="7">
        <v>20</v>
      </c>
      <c r="J723" s="7">
        <f t="shared" si="262"/>
        <v>8.2000000000000739</v>
      </c>
      <c r="K723" s="7">
        <v>1</v>
      </c>
      <c r="L723" s="7">
        <f t="shared" si="263"/>
        <v>8.2000000000000739</v>
      </c>
      <c r="M723" s="7" t="s">
        <v>72</v>
      </c>
      <c r="N723" s="7">
        <f>SUMIF(Executions!B:B,A723,Executions!H:H)</f>
        <v>-9.2000000000000171</v>
      </c>
      <c r="O723" s="7">
        <f t="shared" si="264"/>
        <v>-1.121951219512187</v>
      </c>
      <c r="P723" s="9">
        <f>Tabla1[[#This Row],[Initial Risk $]]/Tabla1[[#This Row],[Position Size (shares)]]+Tabla1[[#This Row],[Entry Price]]</f>
        <v>39.120000000000005</v>
      </c>
      <c r="Q723" s="9">
        <f>Tabla1[[#This Row],[Initial Risk $]]/Tabla1[[#This Row],[Position Size (shares)]]*1.5+Tabla1[[#This Row],[Entry Price]]</f>
        <v>39.325000000000003</v>
      </c>
      <c r="R723" s="9">
        <f>Tabla1[[#This Row],[Initial Risk $]]/Tabla1[[#This Row],[Position Size (shares)]]*2+Tabla1[[#This Row],[Entry Price]]</f>
        <v>39.530000000000008</v>
      </c>
      <c r="S723" s="9">
        <f>Tabla1[[#This Row],[Initial Risk $]]/Tabla1[[#This Row],[Position Size (shares)]]*2.5+Tabla1[[#This Row],[Entry Price]]</f>
        <v>39.735000000000014</v>
      </c>
      <c r="T723" s="9">
        <f>Tabla1[[#This Row],[Initial Risk $]]/Tabla1[[#This Row],[Position Size (shares)]]*3+Tabla1[[#This Row],[Entry Price]]</f>
        <v>39.940000000000012</v>
      </c>
    </row>
    <row r="724" spans="1:20" hidden="1" x14ac:dyDescent="0.25">
      <c r="A724" s="7" t="str">
        <f t="shared" si="261"/>
        <v>T-723</v>
      </c>
      <c r="B724" s="8">
        <v>46258</v>
      </c>
      <c r="C724" s="7" t="s">
        <v>359</v>
      </c>
      <c r="D724" s="7" t="s">
        <v>28</v>
      </c>
      <c r="E724" s="7" t="s">
        <v>58</v>
      </c>
      <c r="F724" s="7">
        <v>80.25</v>
      </c>
      <c r="G724" s="7">
        <v>79</v>
      </c>
      <c r="H724" s="7">
        <f>Tabla1[[#This Row],[Entry Price]]-(Tabla1[[#This Row],[Entry Price]]-Tabla1[[#This Row],[Initial Stop]])/2</f>
        <v>79.625</v>
      </c>
      <c r="I724" s="7">
        <v>10</v>
      </c>
      <c r="J724" s="7">
        <f t="shared" si="262"/>
        <v>12.5</v>
      </c>
      <c r="K724" s="7">
        <v>1</v>
      </c>
      <c r="L724" s="7">
        <f t="shared" si="263"/>
        <v>12.5</v>
      </c>
      <c r="M724" s="7" t="s">
        <v>72</v>
      </c>
      <c r="N724" s="7">
        <f>SUMIF(Executions!B:B,A724,Executions!H:H)</f>
        <v>-0.30000000000001137</v>
      </c>
      <c r="O724" s="7">
        <f t="shared" si="264"/>
        <v>-2.4000000000000909E-2</v>
      </c>
      <c r="P724" s="9">
        <f>Tabla1[[#This Row],[Initial Risk $]]/Tabla1[[#This Row],[Position Size (shares)]]+Tabla1[[#This Row],[Entry Price]]</f>
        <v>81.5</v>
      </c>
      <c r="Q724" s="9">
        <f>Tabla1[[#This Row],[Initial Risk $]]/Tabla1[[#This Row],[Position Size (shares)]]*1.5+Tabla1[[#This Row],[Entry Price]]</f>
        <v>82.125</v>
      </c>
      <c r="R724" s="9">
        <f>Tabla1[[#This Row],[Initial Risk $]]/Tabla1[[#This Row],[Position Size (shares)]]*2+Tabla1[[#This Row],[Entry Price]]</f>
        <v>82.75</v>
      </c>
      <c r="S724" s="9">
        <f>Tabla1[[#This Row],[Initial Risk $]]/Tabla1[[#This Row],[Position Size (shares)]]*2.5+Tabla1[[#This Row],[Entry Price]]</f>
        <v>83.375</v>
      </c>
      <c r="T724" s="9">
        <f>Tabla1[[#This Row],[Initial Risk $]]/Tabla1[[#This Row],[Position Size (shares)]]*3+Tabla1[[#This Row],[Entry Price]]</f>
        <v>84</v>
      </c>
    </row>
    <row r="725" spans="1:20" hidden="1" x14ac:dyDescent="0.25">
      <c r="A725" s="7" t="str">
        <f t="shared" si="261"/>
        <v>T-724</v>
      </c>
      <c r="B725" s="8">
        <v>46258</v>
      </c>
      <c r="C725" s="7" t="s">
        <v>279</v>
      </c>
      <c r="D725" s="7" t="s">
        <v>28</v>
      </c>
      <c r="E725" s="7" t="s">
        <v>27</v>
      </c>
      <c r="F725" s="7">
        <v>905.55</v>
      </c>
      <c r="G725" s="7">
        <v>896</v>
      </c>
      <c r="H725" s="7">
        <f>Tabla1[[#This Row],[Entry Price]]-(Tabla1[[#This Row],[Entry Price]]-Tabla1[[#This Row],[Initial Stop]])/2</f>
        <v>900.77499999999998</v>
      </c>
      <c r="I725" s="7">
        <v>1</v>
      </c>
      <c r="J725" s="7">
        <f t="shared" si="262"/>
        <v>9.5499999999999545</v>
      </c>
      <c r="K725" s="7">
        <v>1</v>
      </c>
      <c r="L725" s="7">
        <f t="shared" si="263"/>
        <v>9.5499999999999545</v>
      </c>
      <c r="M725" s="7" t="s">
        <v>72</v>
      </c>
      <c r="N725" s="7">
        <f>SUMIF(Executions!B:B,A725,Executions!H:H)</f>
        <v>-10.17999999999995</v>
      </c>
      <c r="O725" s="7">
        <f t="shared" si="264"/>
        <v>-1.0659685863874344</v>
      </c>
      <c r="P725" s="9">
        <f>Tabla1[[#This Row],[Initial Risk $]]/Tabla1[[#This Row],[Position Size (shares)]]+Tabla1[[#This Row],[Entry Price]]</f>
        <v>915.09999999999991</v>
      </c>
      <c r="Q725" s="9">
        <f>Tabla1[[#This Row],[Initial Risk $]]/Tabla1[[#This Row],[Position Size (shares)]]*1.5+Tabla1[[#This Row],[Entry Price]]</f>
        <v>919.87499999999989</v>
      </c>
      <c r="R725" s="9">
        <f>Tabla1[[#This Row],[Initial Risk $]]/Tabla1[[#This Row],[Position Size (shares)]]*2+Tabla1[[#This Row],[Entry Price]]</f>
        <v>924.64999999999986</v>
      </c>
      <c r="S725" s="9">
        <f>Tabla1[[#This Row],[Initial Risk $]]/Tabla1[[#This Row],[Position Size (shares)]]*2.5+Tabla1[[#This Row],[Entry Price]]</f>
        <v>929.42499999999984</v>
      </c>
      <c r="T725" s="9">
        <f>Tabla1[[#This Row],[Initial Risk $]]/Tabla1[[#This Row],[Position Size (shares)]]*3+Tabla1[[#This Row],[Entry Price]]</f>
        <v>934.19999999999982</v>
      </c>
    </row>
    <row r="726" spans="1:20" hidden="1" x14ac:dyDescent="0.25">
      <c r="A726" s="7" t="str">
        <f t="shared" si="261"/>
        <v>T-725</v>
      </c>
      <c r="B726" s="8">
        <v>46258</v>
      </c>
      <c r="C726" s="7" t="s">
        <v>154</v>
      </c>
      <c r="D726" s="7" t="s">
        <v>28</v>
      </c>
      <c r="E726" s="7" t="s">
        <v>58</v>
      </c>
      <c r="F726" s="7">
        <v>344.32</v>
      </c>
      <c r="G726" s="7">
        <v>342</v>
      </c>
      <c r="H726" s="7">
        <f>Tabla1[[#This Row],[Entry Price]]-(Tabla1[[#This Row],[Entry Price]]-Tabla1[[#This Row],[Initial Stop]])/2</f>
        <v>343.15999999999997</v>
      </c>
      <c r="I726" s="7">
        <v>4</v>
      </c>
      <c r="J726" s="7">
        <f t="shared" si="262"/>
        <v>9.2799999999999727</v>
      </c>
      <c r="K726" s="7">
        <v>1</v>
      </c>
      <c r="L726" s="7">
        <f t="shared" si="263"/>
        <v>9.2799999999999727</v>
      </c>
      <c r="M726" s="7" t="s">
        <v>72</v>
      </c>
      <c r="N726" s="7">
        <f>SUMIF(Executions!B:B,A726,Executions!H:H)</f>
        <v>3.2400000000000091</v>
      </c>
      <c r="O726" s="7">
        <f t="shared" si="264"/>
        <v>0.34913793103448476</v>
      </c>
      <c r="P726" s="9">
        <f>Tabla1[[#This Row],[Initial Risk $]]/Tabla1[[#This Row],[Position Size (shares)]]+Tabla1[[#This Row],[Entry Price]]</f>
        <v>346.64</v>
      </c>
      <c r="Q726" s="9">
        <f>Tabla1[[#This Row],[Initial Risk $]]/Tabla1[[#This Row],[Position Size (shares)]]*1.5+Tabla1[[#This Row],[Entry Price]]</f>
        <v>347.79999999999995</v>
      </c>
      <c r="R726" s="9">
        <f>Tabla1[[#This Row],[Initial Risk $]]/Tabla1[[#This Row],[Position Size (shares)]]*2+Tabla1[[#This Row],[Entry Price]]</f>
        <v>348.96</v>
      </c>
      <c r="S726" s="9">
        <f>Tabla1[[#This Row],[Initial Risk $]]/Tabla1[[#This Row],[Position Size (shares)]]*2.5+Tabla1[[#This Row],[Entry Price]]</f>
        <v>350.12</v>
      </c>
      <c r="T726" s="9">
        <f>Tabla1[[#This Row],[Initial Risk $]]/Tabla1[[#This Row],[Position Size (shares)]]*3+Tabla1[[#This Row],[Entry Price]]</f>
        <v>351.28</v>
      </c>
    </row>
    <row r="727" spans="1:20" hidden="1" x14ac:dyDescent="0.25">
      <c r="A727" s="7" t="str">
        <f t="shared" si="261"/>
        <v>T-726</v>
      </c>
      <c r="B727" s="8">
        <v>46258</v>
      </c>
      <c r="C727" s="7" t="s">
        <v>561</v>
      </c>
      <c r="D727" s="7" t="s">
        <v>28</v>
      </c>
      <c r="E727" s="7" t="s">
        <v>50</v>
      </c>
      <c r="F727" s="7">
        <v>191.12</v>
      </c>
      <c r="G727" s="7">
        <v>189.11</v>
      </c>
      <c r="H727" s="7">
        <f>Tabla1[[#This Row],[Entry Price]]-(Tabla1[[#This Row],[Entry Price]]-Tabla1[[#This Row],[Initial Stop]])/2</f>
        <v>190.11500000000001</v>
      </c>
      <c r="I727" s="7">
        <v>4</v>
      </c>
      <c r="J727" s="7">
        <f t="shared" si="262"/>
        <v>8.0399999999999636</v>
      </c>
      <c r="K727" s="7">
        <v>1</v>
      </c>
      <c r="L727" s="7">
        <f t="shared" si="263"/>
        <v>8.0399999999999636</v>
      </c>
      <c r="M727" s="7" t="s">
        <v>72</v>
      </c>
      <c r="N727" s="7">
        <f>SUMIF(Executions!B:B,A727,Executions!H:H)</f>
        <v>0.67999999999994998</v>
      </c>
      <c r="O727" s="7">
        <f t="shared" si="264"/>
        <v>8.4577114427854858E-2</v>
      </c>
      <c r="P727" s="9">
        <f>Tabla1[[#This Row],[Initial Risk $]]/Tabla1[[#This Row],[Position Size (shares)]]+Tabla1[[#This Row],[Entry Price]]</f>
        <v>193.13</v>
      </c>
      <c r="Q727" s="9">
        <f>Tabla1[[#This Row],[Initial Risk $]]/Tabla1[[#This Row],[Position Size (shares)]]*1.5+Tabla1[[#This Row],[Entry Price]]</f>
        <v>194.13499999999999</v>
      </c>
      <c r="R727" s="9">
        <f>Tabla1[[#This Row],[Initial Risk $]]/Tabla1[[#This Row],[Position Size (shares)]]*2+Tabla1[[#This Row],[Entry Price]]</f>
        <v>195.14</v>
      </c>
      <c r="S727" s="9">
        <f>Tabla1[[#This Row],[Initial Risk $]]/Tabla1[[#This Row],[Position Size (shares)]]*2.5+Tabla1[[#This Row],[Entry Price]]</f>
        <v>196.14499999999998</v>
      </c>
      <c r="T727" s="9">
        <f>Tabla1[[#This Row],[Initial Risk $]]/Tabla1[[#This Row],[Position Size (shares)]]*3+Tabla1[[#This Row],[Entry Price]]</f>
        <v>197.14999999999998</v>
      </c>
    </row>
    <row r="728" spans="1:20" hidden="1" x14ac:dyDescent="0.25">
      <c r="A728" s="7" t="str">
        <f t="shared" si="261"/>
        <v>T-727</v>
      </c>
      <c r="B728" s="8">
        <v>46258</v>
      </c>
      <c r="C728" s="7" t="s">
        <v>972</v>
      </c>
      <c r="D728" s="7" t="s">
        <v>28</v>
      </c>
      <c r="E728" s="7" t="s">
        <v>27</v>
      </c>
      <c r="F728" s="7">
        <v>188.74</v>
      </c>
      <c r="G728" s="7">
        <v>185.94</v>
      </c>
      <c r="H728" s="7">
        <f>Tabla1[[#This Row],[Entry Price]]-(Tabla1[[#This Row],[Entry Price]]-Tabla1[[#This Row],[Initial Stop]])/2</f>
        <v>187.34</v>
      </c>
      <c r="I728" s="7">
        <v>4</v>
      </c>
      <c r="J728" s="7">
        <f t="shared" si="262"/>
        <v>11.200000000000045</v>
      </c>
      <c r="K728" s="7">
        <v>1</v>
      </c>
      <c r="L728" s="7">
        <f t="shared" si="263"/>
        <v>11.200000000000045</v>
      </c>
      <c r="M728" s="7" t="s">
        <v>72</v>
      </c>
      <c r="N728" s="7">
        <f>SUMIF(Executions!B:B,A728,Executions!H:H)</f>
        <v>-11.400000000000091</v>
      </c>
      <c r="O728" s="7">
        <f t="shared" si="264"/>
        <v>-1.0178571428571468</v>
      </c>
      <c r="P728" s="9">
        <f>Tabla1[[#This Row],[Initial Risk $]]/Tabla1[[#This Row],[Position Size (shares)]]+Tabla1[[#This Row],[Entry Price]]</f>
        <v>191.54000000000002</v>
      </c>
      <c r="Q728" s="9">
        <f>Tabla1[[#This Row],[Initial Risk $]]/Tabla1[[#This Row],[Position Size (shares)]]*1.5+Tabla1[[#This Row],[Entry Price]]</f>
        <v>192.94000000000003</v>
      </c>
      <c r="R728" s="9">
        <f>Tabla1[[#This Row],[Initial Risk $]]/Tabla1[[#This Row],[Position Size (shares)]]*2+Tabla1[[#This Row],[Entry Price]]</f>
        <v>194.34000000000003</v>
      </c>
      <c r="S728" s="9">
        <f>Tabla1[[#This Row],[Initial Risk $]]/Tabla1[[#This Row],[Position Size (shares)]]*2.5+Tabla1[[#This Row],[Entry Price]]</f>
        <v>195.74000000000004</v>
      </c>
      <c r="T728" s="9">
        <f>Tabla1[[#This Row],[Initial Risk $]]/Tabla1[[#This Row],[Position Size (shares)]]*3+Tabla1[[#This Row],[Entry Price]]</f>
        <v>197.14000000000004</v>
      </c>
    </row>
    <row r="729" spans="1:20" hidden="1" x14ac:dyDescent="0.25">
      <c r="A729" s="7" t="str">
        <f t="shared" si="261"/>
        <v>T-728</v>
      </c>
      <c r="B729" s="8">
        <v>46258</v>
      </c>
      <c r="C729" s="7" t="s">
        <v>130</v>
      </c>
      <c r="D729" s="7" t="s">
        <v>28</v>
      </c>
      <c r="E729" s="7" t="s">
        <v>60</v>
      </c>
      <c r="F729" s="7">
        <v>455.67</v>
      </c>
      <c r="G729" s="7">
        <v>450</v>
      </c>
      <c r="H729" s="7">
        <f>Tabla1[[#This Row],[Entry Price]]-(Tabla1[[#This Row],[Entry Price]]-Tabla1[[#This Row],[Initial Stop]])/2</f>
        <v>452.83500000000004</v>
      </c>
      <c r="I729" s="7">
        <v>2</v>
      </c>
      <c r="J729" s="7">
        <f t="shared" si="262"/>
        <v>11.340000000000032</v>
      </c>
      <c r="K729" s="7">
        <v>1</v>
      </c>
      <c r="L729" s="7">
        <f t="shared" si="263"/>
        <v>11.340000000000032</v>
      </c>
      <c r="M729" s="7" t="s">
        <v>72</v>
      </c>
      <c r="N729" s="7">
        <f>SUMIF(Executions!B:B,A729,Executions!H:H)</f>
        <v>3.5</v>
      </c>
      <c r="O729" s="7">
        <f t="shared" si="264"/>
        <v>0.30864197530864113</v>
      </c>
      <c r="P729" s="9">
        <f>Tabla1[[#This Row],[Initial Risk $]]/Tabla1[[#This Row],[Position Size (shares)]]+Tabla1[[#This Row],[Entry Price]]</f>
        <v>461.34000000000003</v>
      </c>
      <c r="Q729" s="9">
        <f>Tabla1[[#This Row],[Initial Risk $]]/Tabla1[[#This Row],[Position Size (shares)]]*1.5+Tabla1[[#This Row],[Entry Price]]</f>
        <v>464.17500000000007</v>
      </c>
      <c r="R729" s="9">
        <f>Tabla1[[#This Row],[Initial Risk $]]/Tabla1[[#This Row],[Position Size (shares)]]*2+Tabla1[[#This Row],[Entry Price]]</f>
        <v>467.01000000000005</v>
      </c>
      <c r="S729" s="9">
        <f>Tabla1[[#This Row],[Initial Risk $]]/Tabla1[[#This Row],[Position Size (shares)]]*2.5+Tabla1[[#This Row],[Entry Price]]</f>
        <v>469.84500000000003</v>
      </c>
      <c r="T729" s="9">
        <f>Tabla1[[#This Row],[Initial Risk $]]/Tabla1[[#This Row],[Position Size (shares)]]*3+Tabla1[[#This Row],[Entry Price]]</f>
        <v>472.68000000000006</v>
      </c>
    </row>
    <row r="730" spans="1:20" hidden="1" x14ac:dyDescent="0.25">
      <c r="A730" s="7" t="str">
        <f t="shared" si="261"/>
        <v>T-729</v>
      </c>
      <c r="B730" s="8">
        <v>46258</v>
      </c>
      <c r="C730" s="7" t="s">
        <v>181</v>
      </c>
      <c r="D730" s="7" t="s">
        <v>28</v>
      </c>
      <c r="E730" s="7" t="s">
        <v>58</v>
      </c>
      <c r="F730" s="7">
        <v>16.600000000000001</v>
      </c>
      <c r="G730" s="7">
        <v>16.39</v>
      </c>
      <c r="H730" s="7">
        <f>Tabla1[[#This Row],[Entry Price]]-(Tabla1[[#This Row],[Entry Price]]-Tabla1[[#This Row],[Initial Stop]])/2</f>
        <v>16.495000000000001</v>
      </c>
      <c r="I730" s="7">
        <v>12</v>
      </c>
      <c r="J730" s="7">
        <f t="shared" si="262"/>
        <v>2.5200000000000102</v>
      </c>
      <c r="K730" s="7">
        <v>1</v>
      </c>
      <c r="L730" s="7">
        <f t="shared" si="263"/>
        <v>2.5200000000000102</v>
      </c>
      <c r="M730" s="7" t="s">
        <v>72</v>
      </c>
      <c r="N730" s="7">
        <f>SUMIF(Executions!B:B,A730,Executions!H:H)</f>
        <v>-2.2800000000000153</v>
      </c>
      <c r="O730" s="7">
        <f t="shared" si="264"/>
        <v>-0.90476190476190721</v>
      </c>
      <c r="P730" s="9">
        <f>Tabla1[[#This Row],[Initial Risk $]]/Tabla1[[#This Row],[Position Size (shares)]]+Tabla1[[#This Row],[Entry Price]]</f>
        <v>16.810000000000002</v>
      </c>
      <c r="Q730" s="9">
        <f>Tabla1[[#This Row],[Initial Risk $]]/Tabla1[[#This Row],[Position Size (shares)]]*1.5+Tabla1[[#This Row],[Entry Price]]</f>
        <v>16.915000000000003</v>
      </c>
      <c r="R730" s="9">
        <f>Tabla1[[#This Row],[Initial Risk $]]/Tabla1[[#This Row],[Position Size (shares)]]*2+Tabla1[[#This Row],[Entry Price]]</f>
        <v>17.020000000000003</v>
      </c>
      <c r="S730" s="9">
        <f>Tabla1[[#This Row],[Initial Risk $]]/Tabla1[[#This Row],[Position Size (shares)]]*2.5+Tabla1[[#This Row],[Entry Price]]</f>
        <v>17.125000000000004</v>
      </c>
      <c r="T730" s="9">
        <f>Tabla1[[#This Row],[Initial Risk $]]/Tabla1[[#This Row],[Position Size (shares)]]*3+Tabla1[[#This Row],[Entry Price]]</f>
        <v>17.230000000000004</v>
      </c>
    </row>
    <row r="731" spans="1:20" hidden="1" x14ac:dyDescent="0.25">
      <c r="A731" s="7" t="str">
        <f t="shared" ref="A731:A738" si="265">"T-"&amp; TEXT(ROW()-1,"000")</f>
        <v>T-730</v>
      </c>
      <c r="B731" s="8">
        <v>46259</v>
      </c>
      <c r="C731" s="7" t="s">
        <v>359</v>
      </c>
      <c r="D731" s="7" t="s">
        <v>28</v>
      </c>
      <c r="E731" s="7" t="s">
        <v>58</v>
      </c>
      <c r="F731" s="7">
        <v>80.73</v>
      </c>
      <c r="G731" s="7">
        <v>79.83</v>
      </c>
      <c r="H731" s="7">
        <f>Tabla1[[#This Row],[Entry Price]]-(Tabla1[[#This Row],[Entry Price]]-Tabla1[[#This Row],[Initial Stop]])/2</f>
        <v>80.28</v>
      </c>
      <c r="I731" s="7">
        <v>10</v>
      </c>
      <c r="J731" s="7">
        <f t="shared" ref="J731:J738" si="266">IF(D731="Long",(F731-G731)*I731,(G731-F731)*0)</f>
        <v>9.0000000000000568</v>
      </c>
      <c r="K731" s="7">
        <v>1</v>
      </c>
      <c r="L731" s="7">
        <f t="shared" ref="L731:L738" si="267">J731*K731</f>
        <v>9.0000000000000568</v>
      </c>
      <c r="M731" s="7" t="s">
        <v>72</v>
      </c>
      <c r="N731" s="7">
        <f>SUMIF(Executions!B:B,A731,Executions!H:H)</f>
        <v>15.899999999999892</v>
      </c>
      <c r="O731" s="7">
        <f t="shared" ref="O731:O738" si="268">N731/J731</f>
        <v>1.7666666666666435</v>
      </c>
      <c r="P731" s="9">
        <f>Tabla1[[#This Row],[Initial Risk $]]/Tabla1[[#This Row],[Position Size (shares)]]+Tabla1[[#This Row],[Entry Price]]</f>
        <v>81.63000000000001</v>
      </c>
      <c r="Q731" s="9">
        <f>Tabla1[[#This Row],[Initial Risk $]]/Tabla1[[#This Row],[Position Size (shares)]]*1.5+Tabla1[[#This Row],[Entry Price]]</f>
        <v>82.080000000000013</v>
      </c>
      <c r="R731" s="9">
        <f>Tabla1[[#This Row],[Initial Risk $]]/Tabla1[[#This Row],[Position Size (shares)]]*2+Tabla1[[#This Row],[Entry Price]]</f>
        <v>82.530000000000015</v>
      </c>
      <c r="S731" s="9">
        <f>Tabla1[[#This Row],[Initial Risk $]]/Tabla1[[#This Row],[Position Size (shares)]]*2.5+Tabla1[[#This Row],[Entry Price]]</f>
        <v>82.980000000000018</v>
      </c>
      <c r="T731" s="9">
        <f>Tabla1[[#This Row],[Initial Risk $]]/Tabla1[[#This Row],[Position Size (shares)]]*3+Tabla1[[#This Row],[Entry Price]]</f>
        <v>83.430000000000021</v>
      </c>
    </row>
    <row r="732" spans="1:20" hidden="1" x14ac:dyDescent="0.25">
      <c r="A732" s="7" t="str">
        <f t="shared" si="265"/>
        <v>T-731</v>
      </c>
      <c r="B732" s="8">
        <v>46259</v>
      </c>
      <c r="C732" s="7" t="s">
        <v>582</v>
      </c>
      <c r="D732" s="7" t="s">
        <v>28</v>
      </c>
      <c r="E732" s="7" t="s">
        <v>58</v>
      </c>
      <c r="F732" s="7">
        <v>110.53</v>
      </c>
      <c r="G732" s="7">
        <v>109.73</v>
      </c>
      <c r="H732" s="7">
        <f>Tabla1[[#This Row],[Entry Price]]-(Tabla1[[#This Row],[Entry Price]]-Tabla1[[#This Row],[Initial Stop]])/2</f>
        <v>110.13</v>
      </c>
      <c r="I732" s="7">
        <v>10</v>
      </c>
      <c r="J732" s="7">
        <f t="shared" si="266"/>
        <v>7.9999999999999716</v>
      </c>
      <c r="K732" s="7">
        <v>1</v>
      </c>
      <c r="L732" s="7">
        <f t="shared" si="267"/>
        <v>7.9999999999999716</v>
      </c>
      <c r="M732" s="7" t="s">
        <v>72</v>
      </c>
      <c r="N732" s="7">
        <f>SUMIF(Executions!B:B,A732,Executions!H:H)</f>
        <v>8.2999999999999829</v>
      </c>
      <c r="O732" s="7">
        <f t="shared" si="268"/>
        <v>1.0375000000000016</v>
      </c>
      <c r="P732" s="9">
        <f>Tabla1[[#This Row],[Initial Risk $]]/Tabla1[[#This Row],[Position Size (shares)]]+Tabla1[[#This Row],[Entry Price]]</f>
        <v>111.33</v>
      </c>
      <c r="Q732" s="9">
        <f>Tabla1[[#This Row],[Initial Risk $]]/Tabla1[[#This Row],[Position Size (shares)]]*1.5+Tabla1[[#This Row],[Entry Price]]</f>
        <v>111.72999999999999</v>
      </c>
      <c r="R732" s="9">
        <f>Tabla1[[#This Row],[Initial Risk $]]/Tabla1[[#This Row],[Position Size (shares)]]*2+Tabla1[[#This Row],[Entry Price]]</f>
        <v>112.13</v>
      </c>
      <c r="S732" s="9">
        <f>Tabla1[[#This Row],[Initial Risk $]]/Tabla1[[#This Row],[Position Size (shares)]]*2.5+Tabla1[[#This Row],[Entry Price]]</f>
        <v>112.53</v>
      </c>
      <c r="T732" s="9">
        <f>Tabla1[[#This Row],[Initial Risk $]]/Tabla1[[#This Row],[Position Size (shares)]]*3+Tabla1[[#This Row],[Entry Price]]</f>
        <v>112.92999999999999</v>
      </c>
    </row>
    <row r="733" spans="1:20" hidden="1" x14ac:dyDescent="0.25">
      <c r="A733" s="7" t="str">
        <f t="shared" si="265"/>
        <v>T-732</v>
      </c>
      <c r="B733" s="8">
        <v>46259</v>
      </c>
      <c r="C733" s="7" t="s">
        <v>294</v>
      </c>
      <c r="D733" s="7" t="s">
        <v>28</v>
      </c>
      <c r="E733" s="7" t="s">
        <v>58</v>
      </c>
      <c r="F733" s="7">
        <v>145.76</v>
      </c>
      <c r="G733" s="7">
        <v>144.61000000000001</v>
      </c>
      <c r="H733" s="7">
        <f>Tabla1[[#This Row],[Entry Price]]-(Tabla1[[#This Row],[Entry Price]]-Tabla1[[#This Row],[Initial Stop]])/2</f>
        <v>145.185</v>
      </c>
      <c r="I733" s="7">
        <v>10</v>
      </c>
      <c r="J733" s="7">
        <f t="shared" si="266"/>
        <v>11.499999999999773</v>
      </c>
      <c r="K733" s="7">
        <v>1</v>
      </c>
      <c r="L733" s="7">
        <f t="shared" si="267"/>
        <v>11.499999999999773</v>
      </c>
      <c r="M733" s="7" t="s">
        <v>72</v>
      </c>
      <c r="N733" s="7">
        <f>SUMIF(Executions!B:B,A733,Executions!H:H)</f>
        <v>-11.999999999999886</v>
      </c>
      <c r="O733" s="7">
        <f t="shared" si="268"/>
        <v>-1.0434782608695761</v>
      </c>
      <c r="P733" s="9">
        <f>Tabla1[[#This Row],[Initial Risk $]]/Tabla1[[#This Row],[Position Size (shares)]]+Tabla1[[#This Row],[Entry Price]]</f>
        <v>146.90999999999997</v>
      </c>
      <c r="Q733" s="9">
        <f>Tabla1[[#This Row],[Initial Risk $]]/Tabla1[[#This Row],[Position Size (shares)]]*1.5+Tabla1[[#This Row],[Entry Price]]</f>
        <v>147.48499999999996</v>
      </c>
      <c r="R733" s="9">
        <f>Tabla1[[#This Row],[Initial Risk $]]/Tabla1[[#This Row],[Position Size (shares)]]*2+Tabla1[[#This Row],[Entry Price]]</f>
        <v>148.05999999999995</v>
      </c>
      <c r="S733" s="9">
        <f>Tabla1[[#This Row],[Initial Risk $]]/Tabla1[[#This Row],[Position Size (shares)]]*2.5+Tabla1[[#This Row],[Entry Price]]</f>
        <v>148.63499999999993</v>
      </c>
      <c r="T733" s="9">
        <f>Tabla1[[#This Row],[Initial Risk $]]/Tabla1[[#This Row],[Position Size (shares)]]*3+Tabla1[[#This Row],[Entry Price]]</f>
        <v>149.20999999999992</v>
      </c>
    </row>
    <row r="734" spans="1:20" hidden="1" x14ac:dyDescent="0.25">
      <c r="A734" s="7" t="str">
        <f t="shared" si="265"/>
        <v>T-733</v>
      </c>
      <c r="B734" s="8">
        <v>46259</v>
      </c>
      <c r="C734" s="7" t="s">
        <v>164</v>
      </c>
      <c r="D734" s="7" t="s">
        <v>28</v>
      </c>
      <c r="E734" s="7" t="s">
        <v>58</v>
      </c>
      <c r="F734" s="7">
        <v>212.35</v>
      </c>
      <c r="G734" s="7">
        <v>210.08</v>
      </c>
      <c r="H734" s="7">
        <f>Tabla1[[#This Row],[Entry Price]]-(Tabla1[[#This Row],[Entry Price]]-Tabla1[[#This Row],[Initial Stop]])/2</f>
        <v>211.215</v>
      </c>
      <c r="I734" s="7">
        <v>4</v>
      </c>
      <c r="J734" s="7">
        <f t="shared" si="266"/>
        <v>9.0799999999999272</v>
      </c>
      <c r="K734" s="7">
        <v>1</v>
      </c>
      <c r="L734" s="7">
        <f t="shared" si="267"/>
        <v>9.0799999999999272</v>
      </c>
      <c r="M734" s="7" t="s">
        <v>72</v>
      </c>
      <c r="N734" s="7">
        <f>SUMIF(Executions!B:B,A734,Executions!H:H)</f>
        <v>-2.1999999999999318</v>
      </c>
      <c r="O734" s="7">
        <f t="shared" si="268"/>
        <v>-0.24229074889867283</v>
      </c>
      <c r="P734" s="9">
        <f>Tabla1[[#This Row],[Initial Risk $]]/Tabla1[[#This Row],[Position Size (shares)]]+Tabla1[[#This Row],[Entry Price]]</f>
        <v>214.61999999999998</v>
      </c>
      <c r="Q734" s="9">
        <f>Tabla1[[#This Row],[Initial Risk $]]/Tabla1[[#This Row],[Position Size (shares)]]*1.5+Tabla1[[#This Row],[Entry Price]]</f>
        <v>215.75499999999997</v>
      </c>
      <c r="R734" s="9">
        <f>Tabla1[[#This Row],[Initial Risk $]]/Tabla1[[#This Row],[Position Size (shares)]]*2+Tabla1[[#This Row],[Entry Price]]</f>
        <v>216.88999999999996</v>
      </c>
      <c r="S734" s="9">
        <f>Tabla1[[#This Row],[Initial Risk $]]/Tabla1[[#This Row],[Position Size (shares)]]*2.5+Tabla1[[#This Row],[Entry Price]]</f>
        <v>218.02499999999995</v>
      </c>
      <c r="T734" s="9">
        <f>Tabla1[[#This Row],[Initial Risk $]]/Tabla1[[#This Row],[Position Size (shares)]]*3+Tabla1[[#This Row],[Entry Price]]</f>
        <v>219.15999999999994</v>
      </c>
    </row>
    <row r="735" spans="1:20" hidden="1" x14ac:dyDescent="0.25">
      <c r="A735" s="7" t="str">
        <f t="shared" si="265"/>
        <v>T-734</v>
      </c>
      <c r="B735" s="8">
        <v>46259</v>
      </c>
      <c r="C735" s="7" t="s">
        <v>130</v>
      </c>
      <c r="D735" s="7" t="s">
        <v>28</v>
      </c>
      <c r="E735" s="7" t="s">
        <v>119</v>
      </c>
      <c r="F735" s="7">
        <v>477.48</v>
      </c>
      <c r="G735" s="7">
        <v>471.53</v>
      </c>
      <c r="H735" s="7">
        <f>Tabla1[[#This Row],[Entry Price]]-(Tabla1[[#This Row],[Entry Price]]-Tabla1[[#This Row],[Initial Stop]])/2</f>
        <v>474.505</v>
      </c>
      <c r="I735" s="7">
        <v>2</v>
      </c>
      <c r="J735" s="7">
        <f t="shared" si="266"/>
        <v>11.900000000000091</v>
      </c>
      <c r="K735" s="7">
        <v>2</v>
      </c>
      <c r="L735" s="7">
        <f t="shared" si="267"/>
        <v>23.800000000000182</v>
      </c>
      <c r="M735" s="7" t="s">
        <v>72</v>
      </c>
      <c r="N735" s="7">
        <f>SUMIF(Executions!B:B,A735,Executions!H:H)</f>
        <v>-12.340000000000032</v>
      </c>
      <c r="O735" s="7">
        <f t="shared" si="268"/>
        <v>-1.0369747899159611</v>
      </c>
      <c r="P735" s="9">
        <f>Tabla1[[#This Row],[Initial Risk $]]/Tabla1[[#This Row],[Position Size (shares)]]+Tabla1[[#This Row],[Entry Price]]</f>
        <v>483.43000000000006</v>
      </c>
      <c r="Q735" s="9">
        <f>Tabla1[[#This Row],[Initial Risk $]]/Tabla1[[#This Row],[Position Size (shares)]]*1.5+Tabla1[[#This Row],[Entry Price]]</f>
        <v>486.40500000000009</v>
      </c>
      <c r="R735" s="9">
        <f>Tabla1[[#This Row],[Initial Risk $]]/Tabla1[[#This Row],[Position Size (shares)]]*2+Tabla1[[#This Row],[Entry Price]]</f>
        <v>489.38000000000011</v>
      </c>
      <c r="S735" s="9">
        <f>Tabla1[[#This Row],[Initial Risk $]]/Tabla1[[#This Row],[Position Size (shares)]]*2.5+Tabla1[[#This Row],[Entry Price]]</f>
        <v>492.35500000000013</v>
      </c>
      <c r="T735" s="9">
        <f>Tabla1[[#This Row],[Initial Risk $]]/Tabla1[[#This Row],[Position Size (shares)]]*3+Tabla1[[#This Row],[Entry Price]]</f>
        <v>495.33000000000015</v>
      </c>
    </row>
    <row r="736" spans="1:20" hidden="1" x14ac:dyDescent="0.25">
      <c r="A736" s="7" t="str">
        <f t="shared" si="265"/>
        <v>T-735</v>
      </c>
      <c r="B736" s="8">
        <v>46259</v>
      </c>
      <c r="C736" s="7" t="s">
        <v>974</v>
      </c>
      <c r="D736" s="7" t="s">
        <v>28</v>
      </c>
      <c r="E736" s="7" t="s">
        <v>58</v>
      </c>
      <c r="F736" s="7">
        <v>11.25</v>
      </c>
      <c r="G736" s="7">
        <v>10.82</v>
      </c>
      <c r="H736" s="7">
        <f>Tabla1[[#This Row],[Entry Price]]-(Tabla1[[#This Row],[Entry Price]]-Tabla1[[#This Row],[Initial Stop]])/2</f>
        <v>11.035</v>
      </c>
      <c r="I736" s="7">
        <v>20</v>
      </c>
      <c r="J736" s="7">
        <f t="shared" si="266"/>
        <v>8.5999999999999943</v>
      </c>
      <c r="K736" s="7">
        <v>1</v>
      </c>
      <c r="L736" s="7">
        <f t="shared" si="267"/>
        <v>8.5999999999999943</v>
      </c>
      <c r="M736" s="7" t="s">
        <v>72</v>
      </c>
      <c r="N736" s="7">
        <f>SUMIF(Executions!B:B,A736,Executions!H:H)</f>
        <v>16.000000000000014</v>
      </c>
      <c r="O736" s="7">
        <f t="shared" si="268"/>
        <v>1.8604651162790726</v>
      </c>
      <c r="P736" s="9">
        <f>Tabla1[[#This Row],[Initial Risk $]]/Tabla1[[#This Row],[Position Size (shares)]]+Tabla1[[#This Row],[Entry Price]]</f>
        <v>11.68</v>
      </c>
      <c r="Q736" s="9">
        <f>Tabla1[[#This Row],[Initial Risk $]]/Tabla1[[#This Row],[Position Size (shares)]]*1.5+Tabla1[[#This Row],[Entry Price]]</f>
        <v>11.895</v>
      </c>
      <c r="R736" s="9">
        <f>Tabla1[[#This Row],[Initial Risk $]]/Tabla1[[#This Row],[Position Size (shares)]]*2+Tabla1[[#This Row],[Entry Price]]</f>
        <v>12.11</v>
      </c>
      <c r="S736" s="9">
        <f>Tabla1[[#This Row],[Initial Risk $]]/Tabla1[[#This Row],[Position Size (shares)]]*2.5+Tabla1[[#This Row],[Entry Price]]</f>
        <v>12.324999999999999</v>
      </c>
      <c r="T736" s="9">
        <f>Tabla1[[#This Row],[Initial Risk $]]/Tabla1[[#This Row],[Position Size (shares)]]*3+Tabla1[[#This Row],[Entry Price]]</f>
        <v>12.54</v>
      </c>
    </row>
    <row r="737" spans="1:20" hidden="1" x14ac:dyDescent="0.25">
      <c r="A737" s="7" t="str">
        <f t="shared" si="265"/>
        <v>T-736</v>
      </c>
      <c r="B737" s="8">
        <v>46259</v>
      </c>
      <c r="C737" s="7" t="s">
        <v>279</v>
      </c>
      <c r="D737" s="7" t="s">
        <v>28</v>
      </c>
      <c r="E737" s="7" t="s">
        <v>27</v>
      </c>
      <c r="F737" s="7">
        <v>925.8</v>
      </c>
      <c r="G737" s="7">
        <v>913</v>
      </c>
      <c r="H737" s="7">
        <f>Tabla1[[#This Row],[Entry Price]]-(Tabla1[[#This Row],[Entry Price]]-Tabla1[[#This Row],[Initial Stop]])/2</f>
        <v>919.4</v>
      </c>
      <c r="I737" s="7">
        <v>1</v>
      </c>
      <c r="J737" s="7">
        <f t="shared" si="266"/>
        <v>12.799999999999955</v>
      </c>
      <c r="K737" s="7">
        <v>1</v>
      </c>
      <c r="L737" s="7">
        <f t="shared" si="267"/>
        <v>12.799999999999955</v>
      </c>
      <c r="M737" s="7" t="s">
        <v>72</v>
      </c>
      <c r="N737" s="7">
        <f>SUMIF(Executions!B:B,A737,Executions!H:H)</f>
        <v>-4.2299999999999045</v>
      </c>
      <c r="O737" s="7">
        <f t="shared" si="268"/>
        <v>-0.33046874999999371</v>
      </c>
      <c r="P737" s="9">
        <f>Tabla1[[#This Row],[Initial Risk $]]/Tabla1[[#This Row],[Position Size (shares)]]+Tabla1[[#This Row],[Entry Price]]</f>
        <v>938.59999999999991</v>
      </c>
      <c r="Q737" s="9">
        <f>Tabla1[[#This Row],[Initial Risk $]]/Tabla1[[#This Row],[Position Size (shares)]]*1.5+Tabla1[[#This Row],[Entry Price]]</f>
        <v>944.99999999999989</v>
      </c>
      <c r="R737" s="9">
        <f>Tabla1[[#This Row],[Initial Risk $]]/Tabla1[[#This Row],[Position Size (shares)]]*2+Tabla1[[#This Row],[Entry Price]]</f>
        <v>951.39999999999986</v>
      </c>
      <c r="S737" s="9">
        <f>Tabla1[[#This Row],[Initial Risk $]]/Tabla1[[#This Row],[Position Size (shares)]]*2.5+Tabla1[[#This Row],[Entry Price]]</f>
        <v>957.79999999999984</v>
      </c>
      <c r="T737" s="9">
        <f>Tabla1[[#This Row],[Initial Risk $]]/Tabla1[[#This Row],[Position Size (shares)]]*3+Tabla1[[#This Row],[Entry Price]]</f>
        <v>964.19999999999982</v>
      </c>
    </row>
    <row r="738" spans="1:20" hidden="1" x14ac:dyDescent="0.25">
      <c r="A738" s="7" t="str">
        <f t="shared" si="265"/>
        <v>T-737</v>
      </c>
      <c r="B738" s="8">
        <v>46259</v>
      </c>
      <c r="C738" s="7" t="s">
        <v>533</v>
      </c>
      <c r="D738" s="7" t="s">
        <v>28</v>
      </c>
      <c r="E738" s="7" t="s">
        <v>58</v>
      </c>
      <c r="F738" s="7">
        <v>137.84</v>
      </c>
      <c r="G738" s="7">
        <v>136.09</v>
      </c>
      <c r="H738" s="7">
        <f>Tabla1[[#This Row],[Entry Price]]-(Tabla1[[#This Row],[Entry Price]]-Tabla1[[#This Row],[Initial Stop]])/2</f>
        <v>136.965</v>
      </c>
      <c r="I738" s="7">
        <v>6</v>
      </c>
      <c r="J738" s="7">
        <f t="shared" si="266"/>
        <v>10.5</v>
      </c>
      <c r="K738" s="7">
        <v>1</v>
      </c>
      <c r="L738" s="7">
        <f t="shared" si="267"/>
        <v>10.5</v>
      </c>
      <c r="M738" s="7" t="s">
        <v>72</v>
      </c>
      <c r="N738" s="7">
        <f>SUMIF(Executions!B:B,A738,Executions!H:H)</f>
        <v>2.0999999999999659</v>
      </c>
      <c r="O738" s="7">
        <f t="shared" si="268"/>
        <v>0.19999999999999676</v>
      </c>
      <c r="P738" s="9">
        <f>Tabla1[[#This Row],[Initial Risk $]]/Tabla1[[#This Row],[Position Size (shares)]]+Tabla1[[#This Row],[Entry Price]]</f>
        <v>139.59</v>
      </c>
      <c r="Q738" s="9">
        <f>Tabla1[[#This Row],[Initial Risk $]]/Tabla1[[#This Row],[Position Size (shares)]]*1.5+Tabla1[[#This Row],[Entry Price]]</f>
        <v>140.465</v>
      </c>
      <c r="R738" s="9">
        <f>Tabla1[[#This Row],[Initial Risk $]]/Tabla1[[#This Row],[Position Size (shares)]]*2+Tabla1[[#This Row],[Entry Price]]</f>
        <v>141.34</v>
      </c>
      <c r="S738" s="9">
        <f>Tabla1[[#This Row],[Initial Risk $]]/Tabla1[[#This Row],[Position Size (shares)]]*2.5+Tabla1[[#This Row],[Entry Price]]</f>
        <v>142.215</v>
      </c>
      <c r="T738" s="9">
        <f>Tabla1[[#This Row],[Initial Risk $]]/Tabla1[[#This Row],[Position Size (shares)]]*3+Tabla1[[#This Row],[Entry Price]]</f>
        <v>143.09</v>
      </c>
    </row>
    <row r="739" spans="1:20" hidden="1" x14ac:dyDescent="0.25">
      <c r="A739" s="7" t="str">
        <f t="shared" ref="A739:A749" si="269">"T-"&amp; TEXT(ROW()-1,"000")</f>
        <v>T-738</v>
      </c>
      <c r="B739" s="8">
        <v>46260</v>
      </c>
      <c r="C739" s="7" t="s">
        <v>130</v>
      </c>
      <c r="D739" s="7" t="s">
        <v>28</v>
      </c>
      <c r="E739" s="7" t="s">
        <v>58</v>
      </c>
      <c r="F739" s="7">
        <v>484.01</v>
      </c>
      <c r="G739" s="7">
        <v>479.01</v>
      </c>
      <c r="H739" s="7">
        <f>Tabla1[[#This Row],[Entry Price]]-(Tabla1[[#This Row],[Entry Price]]-Tabla1[[#This Row],[Initial Stop]])/2</f>
        <v>481.51</v>
      </c>
      <c r="I739" s="7">
        <v>2</v>
      </c>
      <c r="J739" s="7">
        <f t="shared" ref="J739:J749" si="270">IF(D739="Long",(F739-G739)*I739,(G739-F739)*0)</f>
        <v>10</v>
      </c>
      <c r="K739" s="7">
        <v>1</v>
      </c>
      <c r="L739" s="7">
        <f t="shared" ref="L739:L749" si="271">J739*K739</f>
        <v>10</v>
      </c>
      <c r="M739" s="7" t="s">
        <v>72</v>
      </c>
      <c r="N739" s="7">
        <f>SUMIF(Executions!B:B,A739,Executions!H:H)</f>
        <v>-5.7799999999999727</v>
      </c>
      <c r="O739" s="7">
        <f t="shared" ref="O739:O749" si="272">N739/J739</f>
        <v>-0.57799999999999729</v>
      </c>
      <c r="P739" s="9">
        <f>Tabla1[[#This Row],[Initial Risk $]]/Tabla1[[#This Row],[Position Size (shares)]]+Tabla1[[#This Row],[Entry Price]]</f>
        <v>489.01</v>
      </c>
      <c r="Q739" s="9">
        <f>Tabla1[[#This Row],[Initial Risk $]]/Tabla1[[#This Row],[Position Size (shares)]]*1.5+Tabla1[[#This Row],[Entry Price]]</f>
        <v>491.51</v>
      </c>
      <c r="R739" s="9">
        <f>Tabla1[[#This Row],[Initial Risk $]]/Tabla1[[#This Row],[Position Size (shares)]]*2+Tabla1[[#This Row],[Entry Price]]</f>
        <v>494.01</v>
      </c>
      <c r="S739" s="9">
        <f>Tabla1[[#This Row],[Initial Risk $]]/Tabla1[[#This Row],[Position Size (shares)]]*2.5+Tabla1[[#This Row],[Entry Price]]</f>
        <v>496.51</v>
      </c>
      <c r="T739" s="9">
        <f>Tabla1[[#This Row],[Initial Risk $]]/Tabla1[[#This Row],[Position Size (shares)]]*3+Tabla1[[#This Row],[Entry Price]]</f>
        <v>499.01</v>
      </c>
    </row>
    <row r="740" spans="1:20" hidden="1" x14ac:dyDescent="0.25">
      <c r="A740" s="7" t="str">
        <f t="shared" si="269"/>
        <v>T-739</v>
      </c>
      <c r="B740" s="8">
        <v>46260</v>
      </c>
      <c r="C740" s="7" t="s">
        <v>971</v>
      </c>
      <c r="D740" s="7" t="s">
        <v>28</v>
      </c>
      <c r="E740" s="7" t="s">
        <v>58</v>
      </c>
      <c r="F740" s="7">
        <v>92.5</v>
      </c>
      <c r="G740" s="7">
        <v>90.69</v>
      </c>
      <c r="H740" s="7">
        <f>Tabla1[[#This Row],[Entry Price]]-(Tabla1[[#This Row],[Entry Price]]-Tabla1[[#This Row],[Initial Stop]])/2</f>
        <v>91.594999999999999</v>
      </c>
      <c r="I740" s="7">
        <v>5</v>
      </c>
      <c r="J740" s="7">
        <f t="shared" si="270"/>
        <v>9.0500000000000114</v>
      </c>
      <c r="K740" s="7">
        <v>1</v>
      </c>
      <c r="L740" s="7">
        <f t="shared" si="271"/>
        <v>9.0500000000000114</v>
      </c>
      <c r="M740" s="7" t="s">
        <v>72</v>
      </c>
      <c r="N740" s="7">
        <f>SUMIF(Executions!B:B,A740,Executions!H:H)</f>
        <v>-7.6500000000000057</v>
      </c>
      <c r="O740" s="7">
        <f t="shared" si="272"/>
        <v>-0.84530386740331453</v>
      </c>
      <c r="P740" s="9">
        <f>Tabla1[[#This Row],[Initial Risk $]]/Tabla1[[#This Row],[Position Size (shares)]]+Tabla1[[#This Row],[Entry Price]]</f>
        <v>94.31</v>
      </c>
      <c r="Q740" s="9">
        <f>Tabla1[[#This Row],[Initial Risk $]]/Tabla1[[#This Row],[Position Size (shares)]]*1.5+Tabla1[[#This Row],[Entry Price]]</f>
        <v>95.215000000000003</v>
      </c>
      <c r="R740" s="9">
        <f>Tabla1[[#This Row],[Initial Risk $]]/Tabla1[[#This Row],[Position Size (shares)]]*2+Tabla1[[#This Row],[Entry Price]]</f>
        <v>96.12</v>
      </c>
      <c r="S740" s="9">
        <f>Tabla1[[#This Row],[Initial Risk $]]/Tabla1[[#This Row],[Position Size (shares)]]*2.5+Tabla1[[#This Row],[Entry Price]]</f>
        <v>97.025000000000006</v>
      </c>
      <c r="T740" s="9">
        <f>Tabla1[[#This Row],[Initial Risk $]]/Tabla1[[#This Row],[Position Size (shares)]]*3+Tabla1[[#This Row],[Entry Price]]</f>
        <v>97.93</v>
      </c>
    </row>
    <row r="741" spans="1:20" hidden="1" x14ac:dyDescent="0.25">
      <c r="A741" s="7" t="str">
        <f t="shared" si="269"/>
        <v>T-740</v>
      </c>
      <c r="B741" s="8">
        <v>46260</v>
      </c>
      <c r="C741" s="7" t="s">
        <v>97</v>
      </c>
      <c r="D741" s="7" t="s">
        <v>28</v>
      </c>
      <c r="E741" s="7" t="s">
        <v>58</v>
      </c>
      <c r="F741" s="7">
        <v>16.329999999999998</v>
      </c>
      <c r="G741" s="7">
        <v>15.99</v>
      </c>
      <c r="H741" s="7">
        <f>Tabla1[[#This Row],[Entry Price]]-(Tabla1[[#This Row],[Entry Price]]-Tabla1[[#This Row],[Initial Stop]])/2</f>
        <v>16.16</v>
      </c>
      <c r="I741" s="7">
        <v>30</v>
      </c>
      <c r="J741" s="7">
        <f t="shared" si="270"/>
        <v>10.199999999999942</v>
      </c>
      <c r="K741" s="7">
        <v>1</v>
      </c>
      <c r="L741" s="7">
        <f t="shared" si="271"/>
        <v>10.199999999999942</v>
      </c>
      <c r="M741" s="7" t="s">
        <v>72</v>
      </c>
      <c r="N741" s="7">
        <f>SUMIF(Executions!B:B,A741,Executions!H:H)</f>
        <v>-8.3999999999999275</v>
      </c>
      <c r="O741" s="7">
        <f t="shared" si="272"/>
        <v>-0.8235294117647034</v>
      </c>
      <c r="P741" s="9">
        <f>Tabla1[[#This Row],[Initial Risk $]]/Tabla1[[#This Row],[Position Size (shares)]]+Tabla1[[#This Row],[Entry Price]]</f>
        <v>16.669999999999995</v>
      </c>
      <c r="Q741" s="9">
        <f>Tabla1[[#This Row],[Initial Risk $]]/Tabla1[[#This Row],[Position Size (shares)]]*1.5+Tabla1[[#This Row],[Entry Price]]</f>
        <v>16.839999999999996</v>
      </c>
      <c r="R741" s="9">
        <f>Tabla1[[#This Row],[Initial Risk $]]/Tabla1[[#This Row],[Position Size (shares)]]*2+Tabla1[[#This Row],[Entry Price]]</f>
        <v>17.009999999999994</v>
      </c>
      <c r="S741" s="9">
        <f>Tabla1[[#This Row],[Initial Risk $]]/Tabla1[[#This Row],[Position Size (shares)]]*2.5+Tabla1[[#This Row],[Entry Price]]</f>
        <v>17.179999999999993</v>
      </c>
      <c r="T741" s="9">
        <f>Tabla1[[#This Row],[Initial Risk $]]/Tabla1[[#This Row],[Position Size (shares)]]*3+Tabla1[[#This Row],[Entry Price]]</f>
        <v>17.349999999999994</v>
      </c>
    </row>
    <row r="742" spans="1:20" hidden="1" x14ac:dyDescent="0.25">
      <c r="A742" s="7" t="str">
        <f t="shared" si="269"/>
        <v>T-741</v>
      </c>
      <c r="B742" s="8">
        <v>46260</v>
      </c>
      <c r="C742" s="7" t="s">
        <v>150</v>
      </c>
      <c r="D742" s="7" t="s">
        <v>28</v>
      </c>
      <c r="E742" s="7" t="s">
        <v>58</v>
      </c>
      <c r="F742" s="7">
        <v>13.68</v>
      </c>
      <c r="G742" s="7">
        <v>13.33</v>
      </c>
      <c r="H742" s="7">
        <f>Tabla1[[#This Row],[Entry Price]]-(Tabla1[[#This Row],[Entry Price]]-Tabla1[[#This Row],[Initial Stop]])/2</f>
        <v>13.504999999999999</v>
      </c>
      <c r="I742" s="7">
        <v>30</v>
      </c>
      <c r="J742" s="7">
        <f t="shared" si="270"/>
        <v>10.499999999999989</v>
      </c>
      <c r="K742" s="7">
        <v>1</v>
      </c>
      <c r="L742" s="7">
        <f t="shared" si="271"/>
        <v>10.499999999999989</v>
      </c>
      <c r="M742" s="7" t="s">
        <v>72</v>
      </c>
      <c r="N742" s="7">
        <f>SUMIF(Executions!B:B,A742,Executions!H:H)</f>
        <v>-9.3000000000000149</v>
      </c>
      <c r="O742" s="7">
        <f t="shared" si="272"/>
        <v>-0.88571428571428801</v>
      </c>
      <c r="P742" s="9">
        <f>Tabla1[[#This Row],[Initial Risk $]]/Tabla1[[#This Row],[Position Size (shares)]]+Tabla1[[#This Row],[Entry Price]]</f>
        <v>14.03</v>
      </c>
      <c r="Q742" s="9">
        <f>Tabla1[[#This Row],[Initial Risk $]]/Tabla1[[#This Row],[Position Size (shares)]]*1.5+Tabla1[[#This Row],[Entry Price]]</f>
        <v>14.204999999999998</v>
      </c>
      <c r="R742" s="9">
        <f>Tabla1[[#This Row],[Initial Risk $]]/Tabla1[[#This Row],[Position Size (shares)]]*2+Tabla1[[#This Row],[Entry Price]]</f>
        <v>14.379999999999999</v>
      </c>
      <c r="S742" s="9">
        <f>Tabla1[[#This Row],[Initial Risk $]]/Tabla1[[#This Row],[Position Size (shares)]]*2.5+Tabla1[[#This Row],[Entry Price]]</f>
        <v>14.555</v>
      </c>
      <c r="T742" s="9">
        <f>Tabla1[[#This Row],[Initial Risk $]]/Tabla1[[#This Row],[Position Size (shares)]]*3+Tabla1[[#This Row],[Entry Price]]</f>
        <v>14.729999999999999</v>
      </c>
    </row>
    <row r="743" spans="1:20" hidden="1" x14ac:dyDescent="0.25">
      <c r="A743" s="7" t="str">
        <f t="shared" si="269"/>
        <v>T-742</v>
      </c>
      <c r="B743" s="8">
        <v>46260</v>
      </c>
      <c r="C743" s="7" t="s">
        <v>186</v>
      </c>
      <c r="D743" s="7" t="s">
        <v>28</v>
      </c>
      <c r="E743" s="7" t="s">
        <v>119</v>
      </c>
      <c r="F743" s="7">
        <v>260.74</v>
      </c>
      <c r="G743" s="7">
        <v>259</v>
      </c>
      <c r="H743" s="7">
        <f>Tabla1[[#This Row],[Entry Price]]-(Tabla1[[#This Row],[Entry Price]]-Tabla1[[#This Row],[Initial Stop]])/2</f>
        <v>259.87</v>
      </c>
      <c r="I743" s="7">
        <v>4</v>
      </c>
      <c r="J743" s="7">
        <f t="shared" si="270"/>
        <v>6.9600000000000364</v>
      </c>
      <c r="K743" s="7">
        <v>1</v>
      </c>
      <c r="L743" s="7">
        <f t="shared" si="271"/>
        <v>6.9600000000000364</v>
      </c>
      <c r="M743" s="7" t="s">
        <v>72</v>
      </c>
      <c r="N743" s="7">
        <f>SUMIF(Executions!B:B,A743,Executions!H:H)</f>
        <v>-7.2000000000000455</v>
      </c>
      <c r="O743" s="7">
        <f t="shared" si="272"/>
        <v>-1.0344827586206908</v>
      </c>
      <c r="P743" s="9">
        <f>Tabla1[[#This Row],[Initial Risk $]]/Tabla1[[#This Row],[Position Size (shares)]]+Tabla1[[#This Row],[Entry Price]]</f>
        <v>262.48</v>
      </c>
      <c r="Q743" s="9">
        <f>Tabla1[[#This Row],[Initial Risk $]]/Tabla1[[#This Row],[Position Size (shares)]]*1.5+Tabla1[[#This Row],[Entry Price]]</f>
        <v>263.35000000000002</v>
      </c>
      <c r="R743" s="9">
        <f>Tabla1[[#This Row],[Initial Risk $]]/Tabla1[[#This Row],[Position Size (shares)]]*2+Tabla1[[#This Row],[Entry Price]]</f>
        <v>264.22000000000003</v>
      </c>
      <c r="S743" s="9">
        <f>Tabla1[[#This Row],[Initial Risk $]]/Tabla1[[#This Row],[Position Size (shares)]]*2.5+Tabla1[[#This Row],[Entry Price]]</f>
        <v>265.09000000000003</v>
      </c>
      <c r="T743" s="9">
        <f>Tabla1[[#This Row],[Initial Risk $]]/Tabla1[[#This Row],[Position Size (shares)]]*3+Tabla1[[#This Row],[Entry Price]]</f>
        <v>265.96000000000004</v>
      </c>
    </row>
    <row r="744" spans="1:20" hidden="1" x14ac:dyDescent="0.25">
      <c r="A744" s="7" t="str">
        <f t="shared" si="269"/>
        <v>T-743</v>
      </c>
      <c r="B744" s="8">
        <v>46260</v>
      </c>
      <c r="C744" s="7" t="s">
        <v>494</v>
      </c>
      <c r="D744" s="7" t="s">
        <v>28</v>
      </c>
      <c r="E744" s="7" t="s">
        <v>119</v>
      </c>
      <c r="F744" s="7">
        <v>572.88</v>
      </c>
      <c r="G744" s="7">
        <v>562</v>
      </c>
      <c r="H744" s="7">
        <f>Tabla1[[#This Row],[Entry Price]]-(Tabla1[[#This Row],[Entry Price]]-Tabla1[[#This Row],[Initial Stop]])/2</f>
        <v>567.44000000000005</v>
      </c>
      <c r="I744" s="7">
        <v>1</v>
      </c>
      <c r="J744" s="7">
        <f t="shared" si="270"/>
        <v>10.879999999999995</v>
      </c>
      <c r="K744" s="7">
        <v>1</v>
      </c>
      <c r="L744" s="7">
        <f t="shared" si="271"/>
        <v>10.879999999999995</v>
      </c>
      <c r="M744" s="7" t="s">
        <v>72</v>
      </c>
      <c r="N744" s="7">
        <f>SUMIF(Executions!B:B,A744,Executions!H:H)</f>
        <v>3.2300000000000182</v>
      </c>
      <c r="O744" s="7">
        <f t="shared" si="272"/>
        <v>0.29687500000000178</v>
      </c>
      <c r="P744" s="9">
        <f>Tabla1[[#This Row],[Initial Risk $]]/Tabla1[[#This Row],[Position Size (shares)]]+Tabla1[[#This Row],[Entry Price]]</f>
        <v>583.76</v>
      </c>
      <c r="Q744" s="9">
        <f>Tabla1[[#This Row],[Initial Risk $]]/Tabla1[[#This Row],[Position Size (shares)]]*1.5+Tabla1[[#This Row],[Entry Price]]</f>
        <v>589.20000000000005</v>
      </c>
      <c r="R744" s="9">
        <f>Tabla1[[#This Row],[Initial Risk $]]/Tabla1[[#This Row],[Position Size (shares)]]*2+Tabla1[[#This Row],[Entry Price]]</f>
        <v>594.64</v>
      </c>
      <c r="S744" s="9">
        <f>Tabla1[[#This Row],[Initial Risk $]]/Tabla1[[#This Row],[Position Size (shares)]]*2.5+Tabla1[[#This Row],[Entry Price]]</f>
        <v>600.07999999999993</v>
      </c>
      <c r="T744" s="9">
        <f>Tabla1[[#This Row],[Initial Risk $]]/Tabla1[[#This Row],[Position Size (shares)]]*3+Tabla1[[#This Row],[Entry Price]]</f>
        <v>605.52</v>
      </c>
    </row>
    <row r="745" spans="1:20" hidden="1" x14ac:dyDescent="0.25">
      <c r="A745" s="7" t="str">
        <f t="shared" si="269"/>
        <v>T-744</v>
      </c>
      <c r="B745" s="8">
        <v>46260</v>
      </c>
      <c r="C745" s="7" t="s">
        <v>359</v>
      </c>
      <c r="D745" s="7" t="s">
        <v>28</v>
      </c>
      <c r="E745" s="7" t="s">
        <v>119</v>
      </c>
      <c r="F745" s="7">
        <v>81.900000000000006</v>
      </c>
      <c r="G745" s="7">
        <v>81.260000000000005</v>
      </c>
      <c r="H745" s="7">
        <f>Tabla1[[#This Row],[Entry Price]]-(Tabla1[[#This Row],[Entry Price]]-Tabla1[[#This Row],[Initial Stop]])/2</f>
        <v>81.580000000000013</v>
      </c>
      <c r="I745" s="7">
        <v>12</v>
      </c>
      <c r="J745" s="7">
        <f t="shared" si="270"/>
        <v>7.6800000000000068</v>
      </c>
      <c r="K745" s="7">
        <v>1</v>
      </c>
      <c r="L745" s="7">
        <f t="shared" si="271"/>
        <v>7.6800000000000068</v>
      </c>
      <c r="M745" s="7" t="s">
        <v>72</v>
      </c>
      <c r="N745" s="7">
        <f>SUMIF(Executions!B:B,A745,Executions!H:H)</f>
        <v>-4.6800000000000068</v>
      </c>
      <c r="O745" s="7">
        <f t="shared" si="272"/>
        <v>-0.60937500000000033</v>
      </c>
      <c r="P745" s="9">
        <f>Tabla1[[#This Row],[Initial Risk $]]/Tabla1[[#This Row],[Position Size (shares)]]+Tabla1[[#This Row],[Entry Price]]</f>
        <v>82.54</v>
      </c>
      <c r="Q745" s="9">
        <f>Tabla1[[#This Row],[Initial Risk $]]/Tabla1[[#This Row],[Position Size (shares)]]*1.5+Tabla1[[#This Row],[Entry Price]]</f>
        <v>82.860000000000014</v>
      </c>
      <c r="R745" s="9">
        <f>Tabla1[[#This Row],[Initial Risk $]]/Tabla1[[#This Row],[Position Size (shares)]]*2+Tabla1[[#This Row],[Entry Price]]</f>
        <v>83.18</v>
      </c>
      <c r="S745" s="9">
        <f>Tabla1[[#This Row],[Initial Risk $]]/Tabla1[[#This Row],[Position Size (shares)]]*2.5+Tabla1[[#This Row],[Entry Price]]</f>
        <v>83.5</v>
      </c>
      <c r="T745" s="9">
        <f>Tabla1[[#This Row],[Initial Risk $]]/Tabla1[[#This Row],[Position Size (shares)]]*3+Tabla1[[#This Row],[Entry Price]]</f>
        <v>83.820000000000007</v>
      </c>
    </row>
    <row r="746" spans="1:20" hidden="1" x14ac:dyDescent="0.25">
      <c r="A746" s="7" t="str">
        <f t="shared" si="269"/>
        <v>T-745</v>
      </c>
      <c r="B746" s="8">
        <v>46260</v>
      </c>
      <c r="C746" s="7" t="s">
        <v>181</v>
      </c>
      <c r="D746" s="7" t="s">
        <v>28</v>
      </c>
      <c r="E746" s="7" t="s">
        <v>58</v>
      </c>
      <c r="F746" s="7">
        <v>16.88</v>
      </c>
      <c r="G746" s="7">
        <v>16.64</v>
      </c>
      <c r="H746" s="7">
        <f>Tabla1[[#This Row],[Entry Price]]-(Tabla1[[#This Row],[Entry Price]]-Tabla1[[#This Row],[Initial Stop]])/2</f>
        <v>16.759999999999998</v>
      </c>
      <c r="I746" s="7">
        <v>50</v>
      </c>
      <c r="J746" s="7">
        <f t="shared" si="270"/>
        <v>11.999999999999922</v>
      </c>
      <c r="K746" s="7">
        <v>1</v>
      </c>
      <c r="L746" s="7">
        <f t="shared" si="271"/>
        <v>11.999999999999922</v>
      </c>
      <c r="M746" s="7" t="s">
        <v>72</v>
      </c>
      <c r="N746" s="7">
        <f>SUMIF(Executions!B:B,A746,Executions!H:H)</f>
        <v>-12.5</v>
      </c>
      <c r="O746" s="7">
        <f t="shared" si="272"/>
        <v>-1.0416666666666734</v>
      </c>
      <c r="P746" s="9">
        <f>Tabla1[[#This Row],[Initial Risk $]]/Tabla1[[#This Row],[Position Size (shares)]]+Tabla1[[#This Row],[Entry Price]]</f>
        <v>17.119999999999997</v>
      </c>
      <c r="Q746" s="9">
        <f>Tabla1[[#This Row],[Initial Risk $]]/Tabla1[[#This Row],[Position Size (shares)]]*1.5+Tabla1[[#This Row],[Entry Price]]</f>
        <v>17.239999999999995</v>
      </c>
      <c r="R746" s="9">
        <f>Tabla1[[#This Row],[Initial Risk $]]/Tabla1[[#This Row],[Position Size (shares)]]*2+Tabla1[[#This Row],[Entry Price]]</f>
        <v>17.359999999999996</v>
      </c>
      <c r="S746" s="9">
        <f>Tabla1[[#This Row],[Initial Risk $]]/Tabla1[[#This Row],[Position Size (shares)]]*2.5+Tabla1[[#This Row],[Entry Price]]</f>
        <v>17.479999999999997</v>
      </c>
      <c r="T746" s="9">
        <f>Tabla1[[#This Row],[Initial Risk $]]/Tabla1[[#This Row],[Position Size (shares)]]*3+Tabla1[[#This Row],[Entry Price]]</f>
        <v>17.599999999999994</v>
      </c>
    </row>
    <row r="747" spans="1:20" hidden="1" x14ac:dyDescent="0.25">
      <c r="A747" s="7" t="str">
        <f t="shared" si="269"/>
        <v>T-746</v>
      </c>
      <c r="B747" s="8">
        <v>46260</v>
      </c>
      <c r="C747" s="7" t="s">
        <v>279</v>
      </c>
      <c r="D747" s="7" t="s">
        <v>28</v>
      </c>
      <c r="E747" s="7" t="s">
        <v>60</v>
      </c>
      <c r="F747" s="7">
        <v>931.54</v>
      </c>
      <c r="G747" s="7">
        <v>921.54</v>
      </c>
      <c r="H747" s="7">
        <f>Tabla1[[#This Row],[Entry Price]]-(Tabla1[[#This Row],[Entry Price]]-Tabla1[[#This Row],[Initial Stop]])/2</f>
        <v>926.54</v>
      </c>
      <c r="I747" s="7">
        <v>1</v>
      </c>
      <c r="J747" s="7">
        <f t="shared" si="270"/>
        <v>10</v>
      </c>
      <c r="K747" s="7">
        <v>1</v>
      </c>
      <c r="L747" s="7">
        <f t="shared" si="271"/>
        <v>10</v>
      </c>
      <c r="M747" s="7" t="s">
        <v>72</v>
      </c>
      <c r="N747" s="7">
        <f>SUMIF(Executions!B:B,A747,Executions!H:H)</f>
        <v>4.2200000000000273</v>
      </c>
      <c r="O747" s="7">
        <f t="shared" si="272"/>
        <v>0.42200000000000271</v>
      </c>
      <c r="P747" s="9">
        <f>Tabla1[[#This Row],[Initial Risk $]]/Tabla1[[#This Row],[Position Size (shares)]]+Tabla1[[#This Row],[Entry Price]]</f>
        <v>941.54</v>
      </c>
      <c r="Q747" s="9">
        <f>Tabla1[[#This Row],[Initial Risk $]]/Tabla1[[#This Row],[Position Size (shares)]]*1.5+Tabla1[[#This Row],[Entry Price]]</f>
        <v>946.54</v>
      </c>
      <c r="R747" s="9">
        <f>Tabla1[[#This Row],[Initial Risk $]]/Tabla1[[#This Row],[Position Size (shares)]]*2+Tabla1[[#This Row],[Entry Price]]</f>
        <v>951.54</v>
      </c>
      <c r="S747" s="9">
        <f>Tabla1[[#This Row],[Initial Risk $]]/Tabla1[[#This Row],[Position Size (shares)]]*2.5+Tabla1[[#This Row],[Entry Price]]</f>
        <v>956.54</v>
      </c>
      <c r="T747" s="9">
        <f>Tabla1[[#This Row],[Initial Risk $]]/Tabla1[[#This Row],[Position Size (shares)]]*3+Tabla1[[#This Row],[Entry Price]]</f>
        <v>961.54</v>
      </c>
    </row>
    <row r="748" spans="1:20" hidden="1" x14ac:dyDescent="0.25">
      <c r="A748" s="7" t="str">
        <f t="shared" si="269"/>
        <v>T-747</v>
      </c>
      <c r="B748" s="8">
        <v>46260</v>
      </c>
      <c r="C748" s="7" t="s">
        <v>1009</v>
      </c>
      <c r="D748" s="7" t="s">
        <v>28</v>
      </c>
      <c r="E748" s="7" t="s">
        <v>51</v>
      </c>
      <c r="F748" s="7">
        <v>148.08000000000001</v>
      </c>
      <c r="G748" s="7">
        <v>143.06</v>
      </c>
      <c r="H748" s="7">
        <f>Tabla1[[#This Row],[Entry Price]]-(Tabla1[[#This Row],[Entry Price]]-Tabla1[[#This Row],[Initial Stop]])/2</f>
        <v>145.57</v>
      </c>
      <c r="I748" s="7">
        <v>2</v>
      </c>
      <c r="J748" s="7">
        <f t="shared" si="270"/>
        <v>10.04000000000002</v>
      </c>
      <c r="K748" s="7">
        <v>1</v>
      </c>
      <c r="L748" s="7">
        <f t="shared" si="271"/>
        <v>10.04000000000002</v>
      </c>
      <c r="M748" s="7" t="s">
        <v>72</v>
      </c>
      <c r="N748" s="7">
        <f>SUMIF(Executions!B:B,A748,Executions!H:H)</f>
        <v>2.2599999999999909</v>
      </c>
      <c r="O748" s="7">
        <f t="shared" si="272"/>
        <v>0.22509960159362413</v>
      </c>
      <c r="P748" s="9">
        <f>Tabla1[[#This Row],[Initial Risk $]]/Tabla1[[#This Row],[Position Size (shares)]]+Tabla1[[#This Row],[Entry Price]]</f>
        <v>153.10000000000002</v>
      </c>
      <c r="Q748" s="9">
        <f>Tabla1[[#This Row],[Initial Risk $]]/Tabla1[[#This Row],[Position Size (shares)]]*1.5+Tabla1[[#This Row],[Entry Price]]</f>
        <v>155.61000000000001</v>
      </c>
      <c r="R748" s="9">
        <f>Tabla1[[#This Row],[Initial Risk $]]/Tabla1[[#This Row],[Position Size (shares)]]*2+Tabla1[[#This Row],[Entry Price]]</f>
        <v>158.12000000000003</v>
      </c>
      <c r="S748" s="9">
        <f>Tabla1[[#This Row],[Initial Risk $]]/Tabla1[[#This Row],[Position Size (shares)]]*2.5+Tabla1[[#This Row],[Entry Price]]</f>
        <v>160.63000000000005</v>
      </c>
      <c r="T748" s="9">
        <f>Tabla1[[#This Row],[Initial Risk $]]/Tabla1[[#This Row],[Position Size (shares)]]*3+Tabla1[[#This Row],[Entry Price]]</f>
        <v>163.14000000000004</v>
      </c>
    </row>
    <row r="749" spans="1:20" hidden="1" x14ac:dyDescent="0.25">
      <c r="A749" s="7" t="str">
        <f t="shared" si="269"/>
        <v>T-748</v>
      </c>
      <c r="B749" s="8">
        <v>46260</v>
      </c>
      <c r="C749" s="7" t="s">
        <v>1010</v>
      </c>
      <c r="D749" s="7" t="s">
        <v>28</v>
      </c>
      <c r="E749" s="7" t="s">
        <v>58</v>
      </c>
      <c r="F749" s="7">
        <v>96.87</v>
      </c>
      <c r="G749" s="7">
        <v>96.27</v>
      </c>
      <c r="H749" s="7">
        <f>Tabla1[[#This Row],[Entry Price]]-(Tabla1[[#This Row],[Entry Price]]-Tabla1[[#This Row],[Initial Stop]])/2</f>
        <v>96.57</v>
      </c>
      <c r="I749" s="7">
        <v>5</v>
      </c>
      <c r="J749" s="7">
        <f t="shared" si="270"/>
        <v>3.0000000000000426</v>
      </c>
      <c r="K749" s="7">
        <v>1</v>
      </c>
      <c r="L749" s="7">
        <f t="shared" si="271"/>
        <v>3.0000000000000426</v>
      </c>
      <c r="M749" s="7" t="s">
        <v>72</v>
      </c>
      <c r="N749" s="7">
        <f>SUMIF(Executions!B:B,A749,Executions!H:H)</f>
        <v>0.54999999999999716</v>
      </c>
      <c r="O749" s="7">
        <f t="shared" si="272"/>
        <v>0.18333333333332977</v>
      </c>
      <c r="P749" s="9">
        <f>Tabla1[[#This Row],[Initial Risk $]]/Tabla1[[#This Row],[Position Size (shares)]]+Tabla1[[#This Row],[Entry Price]]</f>
        <v>97.470000000000013</v>
      </c>
      <c r="Q749" s="9">
        <f>Tabla1[[#This Row],[Initial Risk $]]/Tabla1[[#This Row],[Position Size (shares)]]*1.5+Tabla1[[#This Row],[Entry Price]]</f>
        <v>97.77000000000001</v>
      </c>
      <c r="R749" s="9">
        <f>Tabla1[[#This Row],[Initial Risk $]]/Tabla1[[#This Row],[Position Size (shares)]]*2+Tabla1[[#This Row],[Entry Price]]</f>
        <v>98.070000000000022</v>
      </c>
      <c r="S749" s="9">
        <f>Tabla1[[#This Row],[Initial Risk $]]/Tabla1[[#This Row],[Position Size (shares)]]*2.5+Tabla1[[#This Row],[Entry Price]]</f>
        <v>98.370000000000033</v>
      </c>
      <c r="T749" s="9">
        <f>Tabla1[[#This Row],[Initial Risk $]]/Tabla1[[#This Row],[Position Size (shares)]]*3+Tabla1[[#This Row],[Entry Price]]</f>
        <v>98.67000000000003</v>
      </c>
    </row>
    <row r="750" spans="1:20" hidden="1" x14ac:dyDescent="0.25">
      <c r="A750" s="7" t="str">
        <f t="shared" ref="A750:A758" si="273">"T-"&amp; TEXT(ROW()-1,"000")</f>
        <v>T-749</v>
      </c>
      <c r="B750" s="8">
        <v>46261</v>
      </c>
      <c r="C750" s="7" t="s">
        <v>164</v>
      </c>
      <c r="D750" s="7" t="s">
        <v>28</v>
      </c>
      <c r="E750" s="7" t="s">
        <v>51</v>
      </c>
      <c r="F750" s="7">
        <v>224.44</v>
      </c>
      <c r="G750" s="7">
        <v>221.19</v>
      </c>
      <c r="H750" s="7">
        <f>Tabla1[[#This Row],[Entry Price]]-(Tabla1[[#This Row],[Entry Price]]-Tabla1[[#This Row],[Initial Stop]])/2</f>
        <v>222.815</v>
      </c>
      <c r="I750" s="7">
        <v>4</v>
      </c>
      <c r="J750" s="7">
        <f t="shared" ref="J750:J758" si="274">IF(D750="Long",(F750-G750)*I750,(G750-F750)*0)</f>
        <v>13</v>
      </c>
      <c r="K750" s="7">
        <v>1</v>
      </c>
      <c r="L750" s="7">
        <f t="shared" ref="L750:L758" si="275">J750*K750</f>
        <v>13</v>
      </c>
      <c r="M750" s="7" t="s">
        <v>72</v>
      </c>
      <c r="N750" s="7">
        <f>SUMIF(Executions!B:B,A750,Executions!H:H)</f>
        <v>21.600000000000023</v>
      </c>
      <c r="O750" s="7">
        <f t="shared" ref="O750:O758" si="276">N750/J750</f>
        <v>1.6615384615384632</v>
      </c>
      <c r="P750" s="9">
        <f>Tabla1[[#This Row],[Initial Risk $]]/Tabla1[[#This Row],[Position Size (shares)]]+Tabla1[[#This Row],[Entry Price]]</f>
        <v>227.69</v>
      </c>
      <c r="Q750" s="9">
        <f>Tabla1[[#This Row],[Initial Risk $]]/Tabla1[[#This Row],[Position Size (shares)]]*1.5+Tabla1[[#This Row],[Entry Price]]</f>
        <v>229.315</v>
      </c>
      <c r="R750" s="9">
        <f>Tabla1[[#This Row],[Initial Risk $]]/Tabla1[[#This Row],[Position Size (shares)]]*2+Tabla1[[#This Row],[Entry Price]]</f>
        <v>230.94</v>
      </c>
      <c r="S750" s="9">
        <f>Tabla1[[#This Row],[Initial Risk $]]/Tabla1[[#This Row],[Position Size (shares)]]*2.5+Tabla1[[#This Row],[Entry Price]]</f>
        <v>232.565</v>
      </c>
      <c r="T750" s="9">
        <f>Tabla1[[#This Row],[Initial Risk $]]/Tabla1[[#This Row],[Position Size (shares)]]*3+Tabla1[[#This Row],[Entry Price]]</f>
        <v>234.19</v>
      </c>
    </row>
    <row r="751" spans="1:20" hidden="1" x14ac:dyDescent="0.25">
      <c r="A751" s="7" t="str">
        <f t="shared" si="273"/>
        <v>T-750</v>
      </c>
      <c r="B751" s="8">
        <v>46261</v>
      </c>
      <c r="C751" s="7" t="s">
        <v>135</v>
      </c>
      <c r="D751" s="7" t="s">
        <v>28</v>
      </c>
      <c r="E751" s="7" t="s">
        <v>58</v>
      </c>
      <c r="F751" s="7">
        <v>262.58999999999997</v>
      </c>
      <c r="G751" s="7">
        <v>259.58999999999997</v>
      </c>
      <c r="H751" s="7">
        <f>Tabla1[[#This Row],[Entry Price]]-(Tabla1[[#This Row],[Entry Price]]-Tabla1[[#This Row],[Initial Stop]])/2</f>
        <v>261.08999999999997</v>
      </c>
      <c r="I751" s="7">
        <v>4</v>
      </c>
      <c r="J751" s="7">
        <f t="shared" si="274"/>
        <v>12</v>
      </c>
      <c r="K751" s="7">
        <v>1</v>
      </c>
      <c r="L751" s="7">
        <f t="shared" si="275"/>
        <v>12</v>
      </c>
      <c r="M751" s="7" t="s">
        <v>72</v>
      </c>
      <c r="N751" s="7">
        <f>SUMIF(Executions!B:B,A751,Executions!H:H)</f>
        <v>-12.879999999999882</v>
      </c>
      <c r="O751" s="7">
        <f t="shared" si="276"/>
        <v>-1.0733333333333235</v>
      </c>
      <c r="P751" s="9">
        <f>Tabla1[[#This Row],[Initial Risk $]]/Tabla1[[#This Row],[Position Size (shares)]]+Tabla1[[#This Row],[Entry Price]]</f>
        <v>265.58999999999997</v>
      </c>
      <c r="Q751" s="9">
        <f>Tabla1[[#This Row],[Initial Risk $]]/Tabla1[[#This Row],[Position Size (shares)]]*1.5+Tabla1[[#This Row],[Entry Price]]</f>
        <v>267.08999999999997</v>
      </c>
      <c r="R751" s="9">
        <f>Tabla1[[#This Row],[Initial Risk $]]/Tabla1[[#This Row],[Position Size (shares)]]*2+Tabla1[[#This Row],[Entry Price]]</f>
        <v>268.58999999999997</v>
      </c>
      <c r="S751" s="9">
        <f>Tabla1[[#This Row],[Initial Risk $]]/Tabla1[[#This Row],[Position Size (shares)]]*2.5+Tabla1[[#This Row],[Entry Price]]</f>
        <v>270.08999999999997</v>
      </c>
      <c r="T751" s="9">
        <f>Tabla1[[#This Row],[Initial Risk $]]/Tabla1[[#This Row],[Position Size (shares)]]*3+Tabla1[[#This Row],[Entry Price]]</f>
        <v>271.58999999999997</v>
      </c>
    </row>
    <row r="752" spans="1:20" hidden="1" x14ac:dyDescent="0.25">
      <c r="A752" s="7" t="str">
        <f t="shared" si="273"/>
        <v>T-751</v>
      </c>
      <c r="B752" s="8">
        <v>46261</v>
      </c>
      <c r="C752" s="7" t="s">
        <v>971</v>
      </c>
      <c r="D752" s="7" t="s">
        <v>28</v>
      </c>
      <c r="E752" s="7" t="s">
        <v>58</v>
      </c>
      <c r="F752" s="7">
        <v>93.5</v>
      </c>
      <c r="G752" s="7">
        <v>91.95</v>
      </c>
      <c r="H752" s="7">
        <f>Tabla1[[#This Row],[Entry Price]]-(Tabla1[[#This Row],[Entry Price]]-Tabla1[[#This Row],[Initial Stop]])/2</f>
        <v>92.724999999999994</v>
      </c>
      <c r="I752" s="7">
        <v>5</v>
      </c>
      <c r="J752" s="7">
        <f t="shared" si="274"/>
        <v>7.7499999999999858</v>
      </c>
      <c r="K752" s="7">
        <v>1</v>
      </c>
      <c r="L752" s="7">
        <f t="shared" si="275"/>
        <v>7.7499999999999858</v>
      </c>
      <c r="M752" s="7" t="s">
        <v>72</v>
      </c>
      <c r="N752" s="7">
        <f>SUMIF(Executions!B:B,A752,Executions!H:H)</f>
        <v>0.60000000000002274</v>
      </c>
      <c r="O752" s="7">
        <f t="shared" si="276"/>
        <v>7.7419354838712748E-2</v>
      </c>
      <c r="P752" s="9">
        <f>Tabla1[[#This Row],[Initial Risk $]]/Tabla1[[#This Row],[Position Size (shares)]]+Tabla1[[#This Row],[Entry Price]]</f>
        <v>95.05</v>
      </c>
      <c r="Q752" s="9">
        <f>Tabla1[[#This Row],[Initial Risk $]]/Tabla1[[#This Row],[Position Size (shares)]]*1.5+Tabla1[[#This Row],[Entry Price]]</f>
        <v>95.824999999999989</v>
      </c>
      <c r="R752" s="9">
        <f>Tabla1[[#This Row],[Initial Risk $]]/Tabla1[[#This Row],[Position Size (shares)]]*2+Tabla1[[#This Row],[Entry Price]]</f>
        <v>96.6</v>
      </c>
      <c r="S752" s="9">
        <f>Tabla1[[#This Row],[Initial Risk $]]/Tabla1[[#This Row],[Position Size (shares)]]*2.5+Tabla1[[#This Row],[Entry Price]]</f>
        <v>97.375</v>
      </c>
      <c r="T752" s="9">
        <f>Tabla1[[#This Row],[Initial Risk $]]/Tabla1[[#This Row],[Position Size (shares)]]*3+Tabla1[[#This Row],[Entry Price]]</f>
        <v>98.149999999999991</v>
      </c>
    </row>
    <row r="753" spans="1:20" hidden="1" x14ac:dyDescent="0.25">
      <c r="A753" s="7" t="str">
        <f t="shared" si="273"/>
        <v>T-752</v>
      </c>
      <c r="B753" s="8">
        <v>46261</v>
      </c>
      <c r="C753" s="7" t="s">
        <v>1017</v>
      </c>
      <c r="D753" s="7" t="s">
        <v>28</v>
      </c>
      <c r="E753" s="7" t="s">
        <v>51</v>
      </c>
      <c r="F753" s="7">
        <v>166.84</v>
      </c>
      <c r="G753" s="7">
        <v>162.85</v>
      </c>
      <c r="H753" s="7">
        <f>Tabla1[[#This Row],[Entry Price]]-(Tabla1[[#This Row],[Entry Price]]-Tabla1[[#This Row],[Initial Stop]])/2</f>
        <v>164.845</v>
      </c>
      <c r="I753" s="7">
        <v>4</v>
      </c>
      <c r="J753" s="7">
        <f t="shared" si="274"/>
        <v>15.960000000000036</v>
      </c>
      <c r="K753" s="7">
        <v>1</v>
      </c>
      <c r="L753" s="7">
        <f t="shared" si="275"/>
        <v>15.960000000000036</v>
      </c>
      <c r="M753" s="7" t="s">
        <v>72</v>
      </c>
      <c r="N753" s="7">
        <f>SUMIF(Executions!B:B,A753,Executions!H:H)</f>
        <v>13.960000000000036</v>
      </c>
      <c r="O753" s="7">
        <f t="shared" si="276"/>
        <v>0.87468671679198029</v>
      </c>
      <c r="P753" s="9">
        <f>Tabla1[[#This Row],[Initial Risk $]]/Tabla1[[#This Row],[Position Size (shares)]]+Tabla1[[#This Row],[Entry Price]]</f>
        <v>170.83</v>
      </c>
      <c r="Q753" s="9">
        <f>Tabla1[[#This Row],[Initial Risk $]]/Tabla1[[#This Row],[Position Size (shares)]]*1.5+Tabla1[[#This Row],[Entry Price]]</f>
        <v>172.82500000000002</v>
      </c>
      <c r="R753" s="9">
        <f>Tabla1[[#This Row],[Initial Risk $]]/Tabla1[[#This Row],[Position Size (shares)]]*2+Tabla1[[#This Row],[Entry Price]]</f>
        <v>174.82000000000002</v>
      </c>
      <c r="S753" s="9">
        <f>Tabla1[[#This Row],[Initial Risk $]]/Tabla1[[#This Row],[Position Size (shares)]]*2.5+Tabla1[[#This Row],[Entry Price]]</f>
        <v>176.81500000000003</v>
      </c>
      <c r="T753" s="9">
        <f>Tabla1[[#This Row],[Initial Risk $]]/Tabla1[[#This Row],[Position Size (shares)]]*3+Tabla1[[#This Row],[Entry Price]]</f>
        <v>178.81000000000003</v>
      </c>
    </row>
    <row r="754" spans="1:20" hidden="1" x14ac:dyDescent="0.25">
      <c r="A754" s="7" t="str">
        <f t="shared" si="273"/>
        <v>T-753</v>
      </c>
      <c r="B754" s="8">
        <v>46261</v>
      </c>
      <c r="C754" s="7" t="s">
        <v>370</v>
      </c>
      <c r="D754" s="7" t="s">
        <v>28</v>
      </c>
      <c r="E754" s="7" t="s">
        <v>58</v>
      </c>
      <c r="F754" s="7">
        <v>43.49</v>
      </c>
      <c r="G754" s="7">
        <v>42.81</v>
      </c>
      <c r="H754" s="7">
        <f>Tabla1[[#This Row],[Entry Price]]-(Tabla1[[#This Row],[Entry Price]]-Tabla1[[#This Row],[Initial Stop]])/2</f>
        <v>43.150000000000006</v>
      </c>
      <c r="I754" s="7">
        <v>20</v>
      </c>
      <c r="J754" s="7">
        <f t="shared" si="274"/>
        <v>13.599999999999994</v>
      </c>
      <c r="K754" s="7">
        <v>1</v>
      </c>
      <c r="L754" s="7">
        <f t="shared" si="275"/>
        <v>13.599999999999994</v>
      </c>
      <c r="M754" s="7" t="s">
        <v>72</v>
      </c>
      <c r="N754" s="7">
        <f>SUMIF(Executions!B:B,A754,Executions!H:H)</f>
        <v>15</v>
      </c>
      <c r="O754" s="7">
        <f t="shared" si="276"/>
        <v>1.1029411764705888</v>
      </c>
      <c r="P754" s="9">
        <f>Tabla1[[#This Row],[Initial Risk $]]/Tabla1[[#This Row],[Position Size (shares)]]+Tabla1[[#This Row],[Entry Price]]</f>
        <v>44.17</v>
      </c>
      <c r="Q754" s="9">
        <f>Tabla1[[#This Row],[Initial Risk $]]/Tabla1[[#This Row],[Position Size (shares)]]*1.5+Tabla1[[#This Row],[Entry Price]]</f>
        <v>44.510000000000005</v>
      </c>
      <c r="R754" s="9">
        <f>Tabla1[[#This Row],[Initial Risk $]]/Tabla1[[#This Row],[Position Size (shares)]]*2+Tabla1[[#This Row],[Entry Price]]</f>
        <v>44.85</v>
      </c>
      <c r="S754" s="9">
        <f>Tabla1[[#This Row],[Initial Risk $]]/Tabla1[[#This Row],[Position Size (shares)]]*2.5+Tabla1[[#This Row],[Entry Price]]</f>
        <v>45.19</v>
      </c>
      <c r="T754" s="9">
        <f>Tabla1[[#This Row],[Initial Risk $]]/Tabla1[[#This Row],[Position Size (shares)]]*3+Tabla1[[#This Row],[Entry Price]]</f>
        <v>45.53</v>
      </c>
    </row>
    <row r="755" spans="1:20" hidden="1" x14ac:dyDescent="0.25">
      <c r="A755" s="7" t="str">
        <f t="shared" si="273"/>
        <v>T-754</v>
      </c>
      <c r="B755" s="8">
        <v>46261</v>
      </c>
      <c r="C755" s="7" t="s">
        <v>130</v>
      </c>
      <c r="D755" s="7" t="s">
        <v>28</v>
      </c>
      <c r="E755" s="7" t="s">
        <v>27</v>
      </c>
      <c r="F755" s="7">
        <v>476.51</v>
      </c>
      <c r="G755" s="7">
        <v>471.51</v>
      </c>
      <c r="H755" s="7">
        <f>Tabla1[[#This Row],[Entry Price]]-(Tabla1[[#This Row],[Entry Price]]-Tabla1[[#This Row],[Initial Stop]])/2</f>
        <v>474.01</v>
      </c>
      <c r="I755" s="7">
        <v>2</v>
      </c>
      <c r="J755" s="7">
        <f t="shared" si="274"/>
        <v>10</v>
      </c>
      <c r="K755" s="7">
        <v>1</v>
      </c>
      <c r="L755" s="7">
        <f t="shared" si="275"/>
        <v>10</v>
      </c>
      <c r="M755" s="7" t="s">
        <v>72</v>
      </c>
      <c r="N755" s="7">
        <f>SUMIF(Executions!B:B,A755,Executions!H:H)</f>
        <v>-6.17999999999995</v>
      </c>
      <c r="O755" s="7">
        <f t="shared" si="276"/>
        <v>-0.617999999999995</v>
      </c>
      <c r="P755" s="9">
        <f>Tabla1[[#This Row],[Initial Risk $]]/Tabla1[[#This Row],[Position Size (shares)]]+Tabla1[[#This Row],[Entry Price]]</f>
        <v>481.51</v>
      </c>
      <c r="Q755" s="9">
        <f>Tabla1[[#This Row],[Initial Risk $]]/Tabla1[[#This Row],[Position Size (shares)]]*1.5+Tabla1[[#This Row],[Entry Price]]</f>
        <v>484.01</v>
      </c>
      <c r="R755" s="9">
        <f>Tabla1[[#This Row],[Initial Risk $]]/Tabla1[[#This Row],[Position Size (shares)]]*2+Tabla1[[#This Row],[Entry Price]]</f>
        <v>486.51</v>
      </c>
      <c r="S755" s="9">
        <f>Tabla1[[#This Row],[Initial Risk $]]/Tabla1[[#This Row],[Position Size (shares)]]*2.5+Tabla1[[#This Row],[Entry Price]]</f>
        <v>489.01</v>
      </c>
      <c r="T755" s="9">
        <f>Tabla1[[#This Row],[Initial Risk $]]/Tabla1[[#This Row],[Position Size (shares)]]*3+Tabla1[[#This Row],[Entry Price]]</f>
        <v>491.51</v>
      </c>
    </row>
    <row r="756" spans="1:20" hidden="1" x14ac:dyDescent="0.25">
      <c r="A756" s="7" t="str">
        <f t="shared" si="273"/>
        <v>T-755</v>
      </c>
      <c r="B756" s="8">
        <v>46261</v>
      </c>
      <c r="C756" s="7" t="s">
        <v>279</v>
      </c>
      <c r="D756" s="7" t="s">
        <v>28</v>
      </c>
      <c r="E756" s="7" t="s">
        <v>60</v>
      </c>
      <c r="F756" s="7">
        <v>927.83</v>
      </c>
      <c r="G756" s="7">
        <v>917.83</v>
      </c>
      <c r="H756" s="7">
        <f>Tabla1[[#This Row],[Entry Price]]-(Tabla1[[#This Row],[Entry Price]]-Tabla1[[#This Row],[Initial Stop]])/2</f>
        <v>922.83</v>
      </c>
      <c r="I756" s="7">
        <v>1</v>
      </c>
      <c r="J756" s="7">
        <f t="shared" si="274"/>
        <v>10</v>
      </c>
      <c r="K756" s="7">
        <v>1</v>
      </c>
      <c r="L756" s="7">
        <f t="shared" si="275"/>
        <v>10</v>
      </c>
      <c r="M756" s="7" t="s">
        <v>72</v>
      </c>
      <c r="N756" s="7">
        <f>SUMIF(Executions!B:B,A756,Executions!H:H)</f>
        <v>-9.7800000000000864</v>
      </c>
      <c r="O756" s="7">
        <f t="shared" si="276"/>
        <v>-0.97800000000000864</v>
      </c>
      <c r="P756" s="9">
        <f>Tabla1[[#This Row],[Initial Risk $]]/Tabla1[[#This Row],[Position Size (shares)]]+Tabla1[[#This Row],[Entry Price]]</f>
        <v>937.83</v>
      </c>
      <c r="Q756" s="9">
        <f>Tabla1[[#This Row],[Initial Risk $]]/Tabla1[[#This Row],[Position Size (shares)]]*1.5+Tabla1[[#This Row],[Entry Price]]</f>
        <v>942.83</v>
      </c>
      <c r="R756" s="9">
        <f>Tabla1[[#This Row],[Initial Risk $]]/Tabla1[[#This Row],[Position Size (shares)]]*2+Tabla1[[#This Row],[Entry Price]]</f>
        <v>947.83</v>
      </c>
      <c r="S756" s="9">
        <f>Tabla1[[#This Row],[Initial Risk $]]/Tabla1[[#This Row],[Position Size (shares)]]*2.5+Tabla1[[#This Row],[Entry Price]]</f>
        <v>952.83</v>
      </c>
      <c r="T756" s="9">
        <f>Tabla1[[#This Row],[Initial Risk $]]/Tabla1[[#This Row],[Position Size (shares)]]*3+Tabla1[[#This Row],[Entry Price]]</f>
        <v>957.83</v>
      </c>
    </row>
    <row r="757" spans="1:20" hidden="1" x14ac:dyDescent="0.25">
      <c r="A757" s="7" t="str">
        <f t="shared" si="273"/>
        <v>T-756</v>
      </c>
      <c r="B757" s="8">
        <v>46261</v>
      </c>
      <c r="C757" s="7" t="s">
        <v>154</v>
      </c>
      <c r="D757" s="7" t="s">
        <v>28</v>
      </c>
      <c r="E757" s="7" t="s">
        <v>27</v>
      </c>
      <c r="F757" s="7">
        <v>338.39</v>
      </c>
      <c r="G757" s="7">
        <v>336.62</v>
      </c>
      <c r="H757" s="7">
        <f>Tabla1[[#This Row],[Entry Price]]-(Tabla1[[#This Row],[Entry Price]]-Tabla1[[#This Row],[Initial Stop]])/2</f>
        <v>337.505</v>
      </c>
      <c r="I757" s="7">
        <v>3</v>
      </c>
      <c r="J757" s="7">
        <f t="shared" si="274"/>
        <v>5.3099999999999454</v>
      </c>
      <c r="K757" s="7">
        <v>1</v>
      </c>
      <c r="L757" s="7">
        <f t="shared" si="275"/>
        <v>5.3099999999999454</v>
      </c>
      <c r="M757" s="7" t="s">
        <v>72</v>
      </c>
      <c r="N757" s="7">
        <f>SUMIF(Executions!B:B,A757,Executions!H:H)</f>
        <v>-3.4199999999999591</v>
      </c>
      <c r="O757" s="7">
        <f t="shared" si="276"/>
        <v>-0.64406779661016844</v>
      </c>
      <c r="P757" s="9">
        <f>Tabla1[[#This Row],[Initial Risk $]]/Tabla1[[#This Row],[Position Size (shares)]]+Tabla1[[#This Row],[Entry Price]]</f>
        <v>340.15999999999997</v>
      </c>
      <c r="Q757" s="9">
        <f>Tabla1[[#This Row],[Initial Risk $]]/Tabla1[[#This Row],[Position Size (shares)]]*1.5+Tabla1[[#This Row],[Entry Price]]</f>
        <v>341.04499999999996</v>
      </c>
      <c r="R757" s="9">
        <f>Tabla1[[#This Row],[Initial Risk $]]/Tabla1[[#This Row],[Position Size (shares)]]*2+Tabla1[[#This Row],[Entry Price]]</f>
        <v>341.92999999999995</v>
      </c>
      <c r="S757" s="9">
        <f>Tabla1[[#This Row],[Initial Risk $]]/Tabla1[[#This Row],[Position Size (shares)]]*2.5+Tabla1[[#This Row],[Entry Price]]</f>
        <v>342.81499999999994</v>
      </c>
      <c r="T757" s="9">
        <f>Tabla1[[#This Row],[Initial Risk $]]/Tabla1[[#This Row],[Position Size (shares)]]*3+Tabla1[[#This Row],[Entry Price]]</f>
        <v>343.69999999999993</v>
      </c>
    </row>
    <row r="758" spans="1:20" hidden="1" x14ac:dyDescent="0.25">
      <c r="A758" s="7" t="str">
        <f t="shared" si="273"/>
        <v>T-757</v>
      </c>
      <c r="B758" s="8">
        <v>46261</v>
      </c>
      <c r="C758" s="7" t="s">
        <v>101</v>
      </c>
      <c r="D758" s="7" t="s">
        <v>28</v>
      </c>
      <c r="E758" s="7" t="s">
        <v>119</v>
      </c>
      <c r="F758" s="7">
        <v>11.6</v>
      </c>
      <c r="G758" s="7">
        <v>10.42</v>
      </c>
      <c r="H758" s="7">
        <f>Tabla1[[#This Row],[Entry Price]]-(Tabla1[[#This Row],[Entry Price]]-Tabla1[[#This Row],[Initial Stop]])/2</f>
        <v>11.01</v>
      </c>
      <c r="I758" s="7">
        <v>10</v>
      </c>
      <c r="J758" s="7">
        <f t="shared" si="274"/>
        <v>11.799999999999997</v>
      </c>
      <c r="K758" s="7">
        <v>1</v>
      </c>
      <c r="L758" s="7">
        <f t="shared" si="275"/>
        <v>11.799999999999997</v>
      </c>
      <c r="M758" s="7" t="s">
        <v>72</v>
      </c>
      <c r="N758" s="7">
        <f>SUMIF(Executions!B:B,A758,Executions!H:H)</f>
        <v>-11.999999999999993</v>
      </c>
      <c r="O758" s="7">
        <f t="shared" si="276"/>
        <v>-1.0169491525423726</v>
      </c>
      <c r="P758" s="9">
        <f>Tabla1[[#This Row],[Initial Risk $]]/Tabla1[[#This Row],[Position Size (shares)]]+Tabla1[[#This Row],[Entry Price]]</f>
        <v>12.78</v>
      </c>
      <c r="Q758" s="9">
        <f>Tabla1[[#This Row],[Initial Risk $]]/Tabla1[[#This Row],[Position Size (shares)]]*1.5+Tabla1[[#This Row],[Entry Price]]</f>
        <v>13.37</v>
      </c>
      <c r="R758" s="9">
        <f>Tabla1[[#This Row],[Initial Risk $]]/Tabla1[[#This Row],[Position Size (shares)]]*2+Tabla1[[#This Row],[Entry Price]]</f>
        <v>13.959999999999999</v>
      </c>
      <c r="S758" s="9">
        <f>Tabla1[[#This Row],[Initial Risk $]]/Tabla1[[#This Row],[Position Size (shares)]]*2.5+Tabla1[[#This Row],[Entry Price]]</f>
        <v>14.549999999999999</v>
      </c>
      <c r="T758" s="9">
        <f>Tabla1[[#This Row],[Initial Risk $]]/Tabla1[[#This Row],[Position Size (shares)]]*3+Tabla1[[#This Row],[Entry Price]]</f>
        <v>15.139999999999999</v>
      </c>
    </row>
    <row r="759" spans="1:20" hidden="1" x14ac:dyDescent="0.25">
      <c r="A759" s="7" t="str">
        <f t="shared" ref="A759:A766" si="277">"T-"&amp; TEXT(ROW()-1,"000")</f>
        <v>T-758</v>
      </c>
      <c r="B759" s="8">
        <v>46262</v>
      </c>
      <c r="C759" s="7" t="s">
        <v>130</v>
      </c>
      <c r="D759" s="7" t="s">
        <v>28</v>
      </c>
      <c r="E759" s="7" t="s">
        <v>119</v>
      </c>
      <c r="F759" s="7">
        <v>470.9</v>
      </c>
      <c r="G759" s="7">
        <v>466.4</v>
      </c>
      <c r="H759" s="7">
        <f>Tabla1[[#This Row],[Entry Price]]-(Tabla1[[#This Row],[Entry Price]]-Tabla1[[#This Row],[Initial Stop]])/2</f>
        <v>468.65</v>
      </c>
      <c r="I759" s="7">
        <v>2</v>
      </c>
      <c r="J759" s="7">
        <f t="shared" ref="J759:J766" si="278">IF(D759="Long",(F759-G759)*I759,(G759-F759)*0)</f>
        <v>9</v>
      </c>
      <c r="K759" s="7">
        <v>1</v>
      </c>
      <c r="L759" s="7">
        <f t="shared" ref="L759:L766" si="279">J759*K759</f>
        <v>9</v>
      </c>
      <c r="M759" s="7" t="s">
        <v>72</v>
      </c>
      <c r="N759" s="7">
        <f>SUMIF(Executions!B:B,A759,Executions!H:H)</f>
        <v>7</v>
      </c>
      <c r="O759" s="7">
        <f t="shared" ref="O759:O766" si="280">N759/J759</f>
        <v>0.77777777777777779</v>
      </c>
      <c r="P759" s="9">
        <f>Tabla1[[#This Row],[Initial Risk $]]/Tabla1[[#This Row],[Position Size (shares)]]+Tabla1[[#This Row],[Entry Price]]</f>
        <v>475.4</v>
      </c>
      <c r="Q759" s="9">
        <f>Tabla1[[#This Row],[Initial Risk $]]/Tabla1[[#This Row],[Position Size (shares)]]*1.5+Tabla1[[#This Row],[Entry Price]]</f>
        <v>477.65</v>
      </c>
      <c r="R759" s="9">
        <f>Tabla1[[#This Row],[Initial Risk $]]/Tabla1[[#This Row],[Position Size (shares)]]*2+Tabla1[[#This Row],[Entry Price]]</f>
        <v>479.9</v>
      </c>
      <c r="S759" s="9">
        <f>Tabla1[[#This Row],[Initial Risk $]]/Tabla1[[#This Row],[Position Size (shares)]]*2.5+Tabla1[[#This Row],[Entry Price]]</f>
        <v>482.15</v>
      </c>
      <c r="T759" s="9">
        <f>Tabla1[[#This Row],[Initial Risk $]]/Tabla1[[#This Row],[Position Size (shares)]]*3+Tabla1[[#This Row],[Entry Price]]</f>
        <v>484.4</v>
      </c>
    </row>
    <row r="760" spans="1:20" hidden="1" x14ac:dyDescent="0.25">
      <c r="A760" s="7" t="str">
        <f t="shared" si="277"/>
        <v>T-759</v>
      </c>
      <c r="B760" s="8">
        <v>46262</v>
      </c>
      <c r="C760" s="7" t="s">
        <v>164</v>
      </c>
      <c r="D760" s="7" t="s">
        <v>28</v>
      </c>
      <c r="E760" s="7" t="s">
        <v>58</v>
      </c>
      <c r="F760" s="7">
        <v>226.97</v>
      </c>
      <c r="G760" s="7">
        <v>223.97</v>
      </c>
      <c r="H760" s="7">
        <f>Tabla1[[#This Row],[Entry Price]]-(Tabla1[[#This Row],[Entry Price]]-Tabla1[[#This Row],[Initial Stop]])/2</f>
        <v>225.47</v>
      </c>
      <c r="I760" s="7">
        <v>4</v>
      </c>
      <c r="J760" s="7">
        <f t="shared" si="278"/>
        <v>12</v>
      </c>
      <c r="K760" s="7">
        <v>1</v>
      </c>
      <c r="L760" s="7">
        <f t="shared" si="279"/>
        <v>12</v>
      </c>
      <c r="M760" s="7" t="s">
        <v>72</v>
      </c>
      <c r="N760" s="7">
        <f>SUMIF(Executions!B:B,A760,Executions!H:H)</f>
        <v>-6.6000000000000227</v>
      </c>
      <c r="O760" s="7">
        <f t="shared" si="280"/>
        <v>-0.55000000000000193</v>
      </c>
      <c r="P760" s="9">
        <f>Tabla1[[#This Row],[Initial Risk $]]/Tabla1[[#This Row],[Position Size (shares)]]+Tabla1[[#This Row],[Entry Price]]</f>
        <v>229.97</v>
      </c>
      <c r="Q760" s="9">
        <f>Tabla1[[#This Row],[Initial Risk $]]/Tabla1[[#This Row],[Position Size (shares)]]*1.5+Tabla1[[#This Row],[Entry Price]]</f>
        <v>231.47</v>
      </c>
      <c r="R760" s="9">
        <f>Tabla1[[#This Row],[Initial Risk $]]/Tabla1[[#This Row],[Position Size (shares)]]*2+Tabla1[[#This Row],[Entry Price]]</f>
        <v>232.97</v>
      </c>
      <c r="S760" s="9">
        <f>Tabla1[[#This Row],[Initial Risk $]]/Tabla1[[#This Row],[Position Size (shares)]]*2.5+Tabla1[[#This Row],[Entry Price]]</f>
        <v>234.47</v>
      </c>
      <c r="T760" s="9">
        <f>Tabla1[[#This Row],[Initial Risk $]]/Tabla1[[#This Row],[Position Size (shares)]]*3+Tabla1[[#This Row],[Entry Price]]</f>
        <v>235.97</v>
      </c>
    </row>
    <row r="761" spans="1:20" hidden="1" x14ac:dyDescent="0.25">
      <c r="A761" s="7" t="str">
        <f t="shared" si="277"/>
        <v>T-760</v>
      </c>
      <c r="B761" s="8">
        <v>46262</v>
      </c>
      <c r="C761" s="7" t="s">
        <v>494</v>
      </c>
      <c r="D761" s="7" t="s">
        <v>28</v>
      </c>
      <c r="E761" s="7" t="s">
        <v>58</v>
      </c>
      <c r="F761" s="7">
        <v>580.59</v>
      </c>
      <c r="G761" s="7">
        <v>575.37</v>
      </c>
      <c r="H761" s="7">
        <f>Tabla1[[#This Row],[Entry Price]]-(Tabla1[[#This Row],[Entry Price]]-Tabla1[[#This Row],[Initial Stop]])/2</f>
        <v>577.98</v>
      </c>
      <c r="I761" s="7">
        <v>2</v>
      </c>
      <c r="J761" s="7">
        <f t="shared" si="278"/>
        <v>10.440000000000055</v>
      </c>
      <c r="K761" s="7">
        <v>1</v>
      </c>
      <c r="L761" s="7">
        <f t="shared" si="279"/>
        <v>10.440000000000055</v>
      </c>
      <c r="M761" s="7" t="s">
        <v>72</v>
      </c>
      <c r="N761" s="7">
        <f>SUMIF(Executions!B:B,A761,Executions!H:H)</f>
        <v>-9.7000000000000455</v>
      </c>
      <c r="O761" s="7">
        <f t="shared" si="280"/>
        <v>-0.92911877394635967</v>
      </c>
      <c r="P761" s="9">
        <f>Tabla1[[#This Row],[Initial Risk $]]/Tabla1[[#This Row],[Position Size (shares)]]+Tabla1[[#This Row],[Entry Price]]</f>
        <v>585.81000000000006</v>
      </c>
      <c r="Q761" s="9">
        <f>Tabla1[[#This Row],[Initial Risk $]]/Tabla1[[#This Row],[Position Size (shares)]]*1.5+Tabla1[[#This Row],[Entry Price]]</f>
        <v>588.42000000000007</v>
      </c>
      <c r="R761" s="9">
        <f>Tabla1[[#This Row],[Initial Risk $]]/Tabla1[[#This Row],[Position Size (shares)]]*2+Tabla1[[#This Row],[Entry Price]]</f>
        <v>591.03000000000009</v>
      </c>
      <c r="S761" s="9">
        <f>Tabla1[[#This Row],[Initial Risk $]]/Tabla1[[#This Row],[Position Size (shares)]]*2.5+Tabla1[[#This Row],[Entry Price]]</f>
        <v>593.6400000000001</v>
      </c>
      <c r="T761" s="9">
        <f>Tabla1[[#This Row],[Initial Risk $]]/Tabla1[[#This Row],[Position Size (shares)]]*3+Tabla1[[#This Row],[Entry Price]]</f>
        <v>596.25000000000011</v>
      </c>
    </row>
    <row r="762" spans="1:20" hidden="1" x14ac:dyDescent="0.25">
      <c r="A762" s="7" t="str">
        <f t="shared" si="277"/>
        <v>T-761</v>
      </c>
      <c r="B762" s="8">
        <v>46262</v>
      </c>
      <c r="C762" s="7" t="s">
        <v>233</v>
      </c>
      <c r="D762" s="7" t="s">
        <v>28</v>
      </c>
      <c r="E762" s="7" t="s">
        <v>58</v>
      </c>
      <c r="F762" s="7">
        <v>512.54</v>
      </c>
      <c r="G762" s="7">
        <v>506.17</v>
      </c>
      <c r="H762" s="7">
        <f>Tabla1[[#This Row],[Entry Price]]-(Tabla1[[#This Row],[Entry Price]]-Tabla1[[#This Row],[Initial Stop]])/2</f>
        <v>509.35500000000002</v>
      </c>
      <c r="I762" s="7">
        <v>2</v>
      </c>
      <c r="J762" s="7">
        <f t="shared" si="278"/>
        <v>12.739999999999895</v>
      </c>
      <c r="K762" s="7">
        <v>1</v>
      </c>
      <c r="L762" s="7">
        <f t="shared" si="279"/>
        <v>12.739999999999895</v>
      </c>
      <c r="M762" s="7" t="s">
        <v>72</v>
      </c>
      <c r="N762" s="7">
        <f>SUMIF(Executions!B:B,A762,Executions!H:H)</f>
        <v>-29.659999999999968</v>
      </c>
      <c r="O762" s="7">
        <f t="shared" si="280"/>
        <v>-2.3281004709576303</v>
      </c>
      <c r="P762" s="9">
        <f>Tabla1[[#This Row],[Initial Risk $]]/Tabla1[[#This Row],[Position Size (shares)]]+Tabla1[[#This Row],[Entry Price]]</f>
        <v>518.90999999999985</v>
      </c>
      <c r="Q762" s="9">
        <f>Tabla1[[#This Row],[Initial Risk $]]/Tabla1[[#This Row],[Position Size (shares)]]*1.5+Tabla1[[#This Row],[Entry Price]]</f>
        <v>522.09499999999991</v>
      </c>
      <c r="R762" s="9">
        <f>Tabla1[[#This Row],[Initial Risk $]]/Tabla1[[#This Row],[Position Size (shares)]]*2+Tabla1[[#This Row],[Entry Price]]</f>
        <v>525.27999999999986</v>
      </c>
      <c r="S762" s="9">
        <f>Tabla1[[#This Row],[Initial Risk $]]/Tabla1[[#This Row],[Position Size (shares)]]*2.5+Tabla1[[#This Row],[Entry Price]]</f>
        <v>528.4649999999998</v>
      </c>
      <c r="T762" s="9">
        <f>Tabla1[[#This Row],[Initial Risk $]]/Tabla1[[#This Row],[Position Size (shares)]]*3+Tabla1[[#This Row],[Entry Price]]</f>
        <v>531.64999999999986</v>
      </c>
    </row>
    <row r="763" spans="1:20" hidden="1" x14ac:dyDescent="0.25">
      <c r="A763" s="7" t="str">
        <f t="shared" si="277"/>
        <v>T-762</v>
      </c>
      <c r="B763" s="8">
        <v>46262</v>
      </c>
      <c r="C763" s="7" t="s">
        <v>359</v>
      </c>
      <c r="D763" s="7" t="s">
        <v>28</v>
      </c>
      <c r="E763" s="7" t="s">
        <v>58</v>
      </c>
      <c r="F763" s="7">
        <v>81</v>
      </c>
      <c r="G763" s="7">
        <v>80.12</v>
      </c>
      <c r="H763" s="7">
        <f>Tabla1[[#This Row],[Entry Price]]-(Tabla1[[#This Row],[Entry Price]]-Tabla1[[#This Row],[Initial Stop]])/2</f>
        <v>80.56</v>
      </c>
      <c r="I763" s="7">
        <v>12</v>
      </c>
      <c r="J763" s="7">
        <f t="shared" si="278"/>
        <v>10.559999999999945</v>
      </c>
      <c r="K763" s="7">
        <v>1</v>
      </c>
      <c r="L763" s="7">
        <f t="shared" si="279"/>
        <v>10.559999999999945</v>
      </c>
      <c r="M763" s="7" t="s">
        <v>72</v>
      </c>
      <c r="N763" s="7">
        <f>SUMIF(Executions!B:B,A763,Executions!H:H)</f>
        <v>14.04000000000002</v>
      </c>
      <c r="O763" s="7">
        <f t="shared" si="280"/>
        <v>1.3295454545454632</v>
      </c>
      <c r="P763" s="9">
        <f>Tabla1[[#This Row],[Initial Risk $]]/Tabla1[[#This Row],[Position Size (shares)]]+Tabla1[[#This Row],[Entry Price]]</f>
        <v>81.88</v>
      </c>
      <c r="Q763" s="9">
        <f>Tabla1[[#This Row],[Initial Risk $]]/Tabla1[[#This Row],[Position Size (shares)]]*1.5+Tabla1[[#This Row],[Entry Price]]</f>
        <v>82.32</v>
      </c>
      <c r="R763" s="9">
        <f>Tabla1[[#This Row],[Initial Risk $]]/Tabla1[[#This Row],[Position Size (shares)]]*2+Tabla1[[#This Row],[Entry Price]]</f>
        <v>82.759999999999991</v>
      </c>
      <c r="S763" s="9">
        <f>Tabla1[[#This Row],[Initial Risk $]]/Tabla1[[#This Row],[Position Size (shares)]]*2.5+Tabla1[[#This Row],[Entry Price]]</f>
        <v>83.199999999999989</v>
      </c>
      <c r="T763" s="9">
        <f>Tabla1[[#This Row],[Initial Risk $]]/Tabla1[[#This Row],[Position Size (shares)]]*3+Tabla1[[#This Row],[Entry Price]]</f>
        <v>83.639999999999986</v>
      </c>
    </row>
    <row r="764" spans="1:20" hidden="1" x14ac:dyDescent="0.25">
      <c r="A764" s="7" t="str">
        <f t="shared" si="277"/>
        <v>T-763</v>
      </c>
      <c r="B764" s="8">
        <v>46262</v>
      </c>
      <c r="C764" s="7" t="s">
        <v>279</v>
      </c>
      <c r="D764" s="7" t="s">
        <v>28</v>
      </c>
      <c r="E764" s="7" t="s">
        <v>58</v>
      </c>
      <c r="F764" s="7">
        <v>938.22</v>
      </c>
      <c r="G764" s="7">
        <v>923.67</v>
      </c>
      <c r="H764" s="7">
        <f>Tabla1[[#This Row],[Entry Price]]-(Tabla1[[#This Row],[Entry Price]]-Tabla1[[#This Row],[Initial Stop]])/2</f>
        <v>930.94499999999994</v>
      </c>
      <c r="I764" s="7">
        <v>1</v>
      </c>
      <c r="J764" s="7">
        <f t="shared" si="278"/>
        <v>14.550000000000068</v>
      </c>
      <c r="K764" s="7">
        <v>1</v>
      </c>
      <c r="L764" s="7">
        <f t="shared" si="279"/>
        <v>14.550000000000068</v>
      </c>
      <c r="M764" s="7" t="s">
        <v>72</v>
      </c>
      <c r="N764" s="7">
        <f>SUMIF(Executions!B:B,A764,Executions!H:H)</f>
        <v>-14.850000000000023</v>
      </c>
      <c r="O764" s="7">
        <f t="shared" si="280"/>
        <v>-1.0206185567010277</v>
      </c>
      <c r="P764" s="9">
        <f>Tabla1[[#This Row],[Initial Risk $]]/Tabla1[[#This Row],[Position Size (shares)]]+Tabla1[[#This Row],[Entry Price]]</f>
        <v>952.7700000000001</v>
      </c>
      <c r="Q764" s="9">
        <f>Tabla1[[#This Row],[Initial Risk $]]/Tabla1[[#This Row],[Position Size (shares)]]*1.5+Tabla1[[#This Row],[Entry Price]]</f>
        <v>960.04500000000007</v>
      </c>
      <c r="R764" s="9">
        <f>Tabla1[[#This Row],[Initial Risk $]]/Tabla1[[#This Row],[Position Size (shares)]]*2+Tabla1[[#This Row],[Entry Price]]</f>
        <v>967.32000000000016</v>
      </c>
      <c r="S764" s="9">
        <f>Tabla1[[#This Row],[Initial Risk $]]/Tabla1[[#This Row],[Position Size (shares)]]*2.5+Tabla1[[#This Row],[Entry Price]]</f>
        <v>974.59500000000025</v>
      </c>
      <c r="T764" s="9">
        <f>Tabla1[[#This Row],[Initial Risk $]]/Tabla1[[#This Row],[Position Size (shares)]]*3+Tabla1[[#This Row],[Entry Price]]</f>
        <v>981.87000000000023</v>
      </c>
    </row>
    <row r="765" spans="1:20" hidden="1" x14ac:dyDescent="0.25">
      <c r="A765" s="7" t="str">
        <f t="shared" si="277"/>
        <v>T-764</v>
      </c>
      <c r="B765" s="8">
        <v>46262</v>
      </c>
      <c r="C765" s="7" t="s">
        <v>164</v>
      </c>
      <c r="D765" s="7" t="s">
        <v>28</v>
      </c>
      <c r="E765" s="7" t="s">
        <v>119</v>
      </c>
      <c r="F765" s="7">
        <v>225.83</v>
      </c>
      <c r="G765" s="7">
        <v>223.13</v>
      </c>
      <c r="H765" s="7">
        <f>Tabla1[[#This Row],[Entry Price]]-(Tabla1[[#This Row],[Entry Price]]-Tabla1[[#This Row],[Initial Stop]])/2</f>
        <v>224.48000000000002</v>
      </c>
      <c r="I765" s="7">
        <v>4</v>
      </c>
      <c r="J765" s="7">
        <f t="shared" si="278"/>
        <v>10.800000000000068</v>
      </c>
      <c r="K765" s="7">
        <v>1</v>
      </c>
      <c r="L765" s="7">
        <f t="shared" si="279"/>
        <v>10.800000000000068</v>
      </c>
      <c r="M765" s="7" t="s">
        <v>72</v>
      </c>
      <c r="N765" s="7">
        <f>SUMIF(Executions!B:B,A765,Executions!H:H)</f>
        <v>-10.760000000000105</v>
      </c>
      <c r="O765" s="7">
        <f t="shared" si="280"/>
        <v>-0.99629629629629968</v>
      </c>
      <c r="P765" s="9">
        <f>Tabla1[[#This Row],[Initial Risk $]]/Tabla1[[#This Row],[Position Size (shares)]]+Tabla1[[#This Row],[Entry Price]]</f>
        <v>228.53000000000003</v>
      </c>
      <c r="Q765" s="9">
        <f>Tabla1[[#This Row],[Initial Risk $]]/Tabla1[[#This Row],[Position Size (shares)]]*1.5+Tabla1[[#This Row],[Entry Price]]</f>
        <v>229.88000000000005</v>
      </c>
      <c r="R765" s="9">
        <f>Tabla1[[#This Row],[Initial Risk $]]/Tabla1[[#This Row],[Position Size (shares)]]*2+Tabla1[[#This Row],[Entry Price]]</f>
        <v>231.23000000000005</v>
      </c>
      <c r="S765" s="9">
        <f>Tabla1[[#This Row],[Initial Risk $]]/Tabla1[[#This Row],[Position Size (shares)]]*2.5+Tabla1[[#This Row],[Entry Price]]</f>
        <v>232.58000000000004</v>
      </c>
      <c r="T765" s="9">
        <f>Tabla1[[#This Row],[Initial Risk $]]/Tabla1[[#This Row],[Position Size (shares)]]*3+Tabla1[[#This Row],[Entry Price]]</f>
        <v>233.93000000000006</v>
      </c>
    </row>
    <row r="766" spans="1:20" hidden="1" x14ac:dyDescent="0.25">
      <c r="A766" s="7" t="str">
        <f t="shared" si="277"/>
        <v>T-765</v>
      </c>
      <c r="B766" s="8">
        <v>46262</v>
      </c>
      <c r="C766" s="7" t="s">
        <v>202</v>
      </c>
      <c r="D766" s="7" t="s">
        <v>28</v>
      </c>
      <c r="E766" s="7" t="s">
        <v>119</v>
      </c>
      <c r="F766" s="7">
        <v>7.05</v>
      </c>
      <c r="G766" s="7">
        <v>6.72</v>
      </c>
      <c r="H766" s="7">
        <f>Tabla1[[#This Row],[Entry Price]]-(Tabla1[[#This Row],[Entry Price]]-Tabla1[[#This Row],[Initial Stop]])/2</f>
        <v>6.8849999999999998</v>
      </c>
      <c r="I766" s="7">
        <v>9</v>
      </c>
      <c r="J766" s="7">
        <f t="shared" si="278"/>
        <v>2.9700000000000006</v>
      </c>
      <c r="K766" s="7">
        <v>1</v>
      </c>
      <c r="L766" s="7">
        <f t="shared" si="279"/>
        <v>2.9700000000000006</v>
      </c>
      <c r="M766" s="7" t="s">
        <v>72</v>
      </c>
      <c r="N766" s="7">
        <f>SUMIF(Executions!B:B,A766,Executions!H:H)</f>
        <v>-2.9700000000000006</v>
      </c>
      <c r="O766" s="7">
        <f t="shared" si="280"/>
        <v>-1</v>
      </c>
      <c r="P766" s="9">
        <f>Tabla1[[#This Row],[Initial Risk $]]/Tabla1[[#This Row],[Position Size (shares)]]+Tabla1[[#This Row],[Entry Price]]</f>
        <v>7.38</v>
      </c>
      <c r="Q766" s="9">
        <f>Tabla1[[#This Row],[Initial Risk $]]/Tabla1[[#This Row],[Position Size (shares)]]*1.5+Tabla1[[#This Row],[Entry Price]]</f>
        <v>7.5449999999999999</v>
      </c>
      <c r="R766" s="9">
        <f>Tabla1[[#This Row],[Initial Risk $]]/Tabla1[[#This Row],[Position Size (shares)]]*2+Tabla1[[#This Row],[Entry Price]]</f>
        <v>7.71</v>
      </c>
      <c r="S766" s="9">
        <f>Tabla1[[#This Row],[Initial Risk $]]/Tabla1[[#This Row],[Position Size (shares)]]*2.5+Tabla1[[#This Row],[Entry Price]]</f>
        <v>7.875</v>
      </c>
      <c r="T766" s="9">
        <f>Tabla1[[#This Row],[Initial Risk $]]/Tabla1[[#This Row],[Position Size (shares)]]*3+Tabla1[[#This Row],[Entry Price]]</f>
        <v>8.0399999999999991</v>
      </c>
    </row>
    <row r="767" spans="1:20" hidden="1" x14ac:dyDescent="0.25">
      <c r="A767" s="7" t="str">
        <f t="shared" ref="A767:A773" si="281">"T-"&amp; TEXT(ROW()-1,"000")</f>
        <v>T-766</v>
      </c>
      <c r="B767" s="8">
        <v>46266</v>
      </c>
      <c r="C767" s="7" t="s">
        <v>582</v>
      </c>
      <c r="D767" s="7" t="s">
        <v>28</v>
      </c>
      <c r="E767" s="7" t="s">
        <v>58</v>
      </c>
      <c r="F767" s="7">
        <v>108.88</v>
      </c>
      <c r="G767" s="7">
        <v>107.64</v>
      </c>
      <c r="H767" s="7">
        <f>Tabla1[[#This Row],[Entry Price]]-(Tabla1[[#This Row],[Entry Price]]-Tabla1[[#This Row],[Initial Stop]])/2</f>
        <v>108.25999999999999</v>
      </c>
      <c r="I767" s="7">
        <v>10</v>
      </c>
      <c r="J767" s="7">
        <f t="shared" ref="J767:J773" si="282">IF(D767="Long",(F767-G767)*I767,(G767-F767)*0)</f>
        <v>12.399999999999949</v>
      </c>
      <c r="K767" s="7">
        <v>1</v>
      </c>
      <c r="L767" s="7">
        <f t="shared" ref="L767:L773" si="283">J767*K767</f>
        <v>12.399999999999949</v>
      </c>
      <c r="M767" s="7" t="s">
        <v>72</v>
      </c>
      <c r="N767" s="7">
        <f>SUMIF(Executions!B:B,A767,Executions!H:H)</f>
        <v>-12.5</v>
      </c>
      <c r="O767" s="7">
        <f t="shared" ref="O767:O773" si="284">N767/J767</f>
        <v>-1.0080645161290365</v>
      </c>
      <c r="P767" s="9">
        <f>Tabla1[[#This Row],[Initial Risk $]]/Tabla1[[#This Row],[Position Size (shares)]]+Tabla1[[#This Row],[Entry Price]]</f>
        <v>110.11999999999999</v>
      </c>
      <c r="Q767" s="9">
        <f>Tabla1[[#This Row],[Initial Risk $]]/Tabla1[[#This Row],[Position Size (shares)]]*1.5+Tabla1[[#This Row],[Entry Price]]</f>
        <v>110.73999999999998</v>
      </c>
      <c r="R767" s="9">
        <f>Tabla1[[#This Row],[Initial Risk $]]/Tabla1[[#This Row],[Position Size (shares)]]*2+Tabla1[[#This Row],[Entry Price]]</f>
        <v>111.35999999999999</v>
      </c>
      <c r="S767" s="9">
        <f>Tabla1[[#This Row],[Initial Risk $]]/Tabla1[[#This Row],[Position Size (shares)]]*2.5+Tabla1[[#This Row],[Entry Price]]</f>
        <v>111.97999999999999</v>
      </c>
      <c r="T767" s="9">
        <f>Tabla1[[#This Row],[Initial Risk $]]/Tabla1[[#This Row],[Position Size (shares)]]*3+Tabla1[[#This Row],[Entry Price]]</f>
        <v>112.59999999999998</v>
      </c>
    </row>
    <row r="768" spans="1:20" hidden="1" x14ac:dyDescent="0.25">
      <c r="A768" s="7" t="str">
        <f t="shared" si="281"/>
        <v>T-767</v>
      </c>
      <c r="B768" s="8">
        <v>46266</v>
      </c>
      <c r="C768" s="7" t="s">
        <v>279</v>
      </c>
      <c r="D768" s="7" t="s">
        <v>28</v>
      </c>
      <c r="E768" s="7" t="s">
        <v>119</v>
      </c>
      <c r="F768" s="7">
        <v>940.25</v>
      </c>
      <c r="G768" s="7">
        <v>929.22</v>
      </c>
      <c r="H768" s="7">
        <f>Tabla1[[#This Row],[Entry Price]]-(Tabla1[[#This Row],[Entry Price]]-Tabla1[[#This Row],[Initial Stop]])/2</f>
        <v>934.73500000000001</v>
      </c>
      <c r="I768" s="7">
        <v>1</v>
      </c>
      <c r="J768" s="7">
        <f t="shared" si="282"/>
        <v>11.029999999999973</v>
      </c>
      <c r="K768" s="7">
        <v>1</v>
      </c>
      <c r="L768" s="7">
        <f t="shared" si="283"/>
        <v>11.029999999999973</v>
      </c>
      <c r="M768" s="7" t="s">
        <v>72</v>
      </c>
      <c r="N768" s="7">
        <f>SUMIF(Executions!B:B,A768,Executions!H:H)</f>
        <v>25.419999999999959</v>
      </c>
      <c r="O768" s="7">
        <f t="shared" si="284"/>
        <v>2.3046237533998206</v>
      </c>
      <c r="P768" s="9">
        <f>Tabla1[[#This Row],[Initial Risk $]]/Tabla1[[#This Row],[Position Size (shares)]]+Tabla1[[#This Row],[Entry Price]]</f>
        <v>951.28</v>
      </c>
      <c r="Q768" s="9">
        <f>Tabla1[[#This Row],[Initial Risk $]]/Tabla1[[#This Row],[Position Size (shares)]]*1.5+Tabla1[[#This Row],[Entry Price]]</f>
        <v>956.79499999999996</v>
      </c>
      <c r="R768" s="9">
        <f>Tabla1[[#This Row],[Initial Risk $]]/Tabla1[[#This Row],[Position Size (shares)]]*2+Tabla1[[#This Row],[Entry Price]]</f>
        <v>962.31</v>
      </c>
      <c r="S768" s="9">
        <f>Tabla1[[#This Row],[Initial Risk $]]/Tabla1[[#This Row],[Position Size (shares)]]*2.5+Tabla1[[#This Row],[Entry Price]]</f>
        <v>967.82499999999993</v>
      </c>
      <c r="T768" s="9">
        <f>Tabla1[[#This Row],[Initial Risk $]]/Tabla1[[#This Row],[Position Size (shares)]]*3+Tabla1[[#This Row],[Entry Price]]</f>
        <v>973.33999999999992</v>
      </c>
    </row>
    <row r="769" spans="1:20" hidden="1" x14ac:dyDescent="0.25">
      <c r="A769" s="7" t="str">
        <f t="shared" si="281"/>
        <v>T-768</v>
      </c>
      <c r="B769" s="8">
        <v>46266</v>
      </c>
      <c r="C769" s="7" t="s">
        <v>154</v>
      </c>
      <c r="D769" s="7" t="s">
        <v>28</v>
      </c>
      <c r="E769" s="7" t="s">
        <v>58</v>
      </c>
      <c r="F769" s="7">
        <v>333.29</v>
      </c>
      <c r="G769" s="7">
        <v>330.91</v>
      </c>
      <c r="H769" s="7">
        <f>Tabla1[[#This Row],[Entry Price]]-(Tabla1[[#This Row],[Entry Price]]-Tabla1[[#This Row],[Initial Stop]])/2</f>
        <v>332.1</v>
      </c>
      <c r="I769" s="7">
        <v>4</v>
      </c>
      <c r="J769" s="7">
        <f t="shared" si="282"/>
        <v>9.5199999999999818</v>
      </c>
      <c r="K769" s="7">
        <v>1</v>
      </c>
      <c r="L769" s="7">
        <f t="shared" si="283"/>
        <v>9.5199999999999818</v>
      </c>
      <c r="M769" s="7" t="s">
        <v>72</v>
      </c>
      <c r="N769" s="7">
        <f>SUMIF(Executions!B:B,A769,Executions!H:H)</f>
        <v>0</v>
      </c>
      <c r="O769" s="7">
        <f t="shared" si="284"/>
        <v>0</v>
      </c>
      <c r="P769" s="9">
        <f>Tabla1[[#This Row],[Initial Risk $]]/Tabla1[[#This Row],[Position Size (shares)]]+Tabla1[[#This Row],[Entry Price]]</f>
        <v>335.67</v>
      </c>
      <c r="Q769" s="9">
        <f>Tabla1[[#This Row],[Initial Risk $]]/Tabla1[[#This Row],[Position Size (shares)]]*1.5+Tabla1[[#This Row],[Entry Price]]</f>
        <v>336.86</v>
      </c>
      <c r="R769" s="9">
        <f>Tabla1[[#This Row],[Initial Risk $]]/Tabla1[[#This Row],[Position Size (shares)]]*2+Tabla1[[#This Row],[Entry Price]]</f>
        <v>338.05</v>
      </c>
      <c r="S769" s="9">
        <f>Tabla1[[#This Row],[Initial Risk $]]/Tabla1[[#This Row],[Position Size (shares)]]*2.5+Tabla1[[#This Row],[Entry Price]]</f>
        <v>339.24</v>
      </c>
      <c r="T769" s="9">
        <f>Tabla1[[#This Row],[Initial Risk $]]/Tabla1[[#This Row],[Position Size (shares)]]*3+Tabla1[[#This Row],[Entry Price]]</f>
        <v>340.43</v>
      </c>
    </row>
    <row r="770" spans="1:20" hidden="1" x14ac:dyDescent="0.25">
      <c r="A770" s="7" t="str">
        <f t="shared" si="281"/>
        <v>T-769</v>
      </c>
      <c r="B770" s="8">
        <v>46266</v>
      </c>
      <c r="C770" s="7" t="s">
        <v>971</v>
      </c>
      <c r="D770" s="7" t="s">
        <v>28</v>
      </c>
      <c r="E770" s="7" t="s">
        <v>58</v>
      </c>
      <c r="F770" s="7">
        <v>92.14</v>
      </c>
      <c r="G770" s="7">
        <v>89.31</v>
      </c>
      <c r="H770" s="7">
        <f>Tabla1[[#This Row],[Entry Price]]-(Tabla1[[#This Row],[Entry Price]]-Tabla1[[#This Row],[Initial Stop]])/2</f>
        <v>90.724999999999994</v>
      </c>
      <c r="I770" s="7">
        <v>5</v>
      </c>
      <c r="J770" s="7">
        <f t="shared" si="282"/>
        <v>14.149999999999991</v>
      </c>
      <c r="K770" s="7">
        <v>1</v>
      </c>
      <c r="L770" s="7">
        <f t="shared" si="283"/>
        <v>14.149999999999991</v>
      </c>
      <c r="M770" s="7" t="s">
        <v>72</v>
      </c>
      <c r="N770" s="7">
        <f>SUMIF(Executions!B:B,A770,Executions!H:H)</f>
        <v>-13.599999999999994</v>
      </c>
      <c r="O770" s="7">
        <f t="shared" si="284"/>
        <v>-0.96113074204947013</v>
      </c>
      <c r="P770" s="9">
        <f>Tabla1[[#This Row],[Initial Risk $]]/Tabla1[[#This Row],[Position Size (shares)]]+Tabla1[[#This Row],[Entry Price]]</f>
        <v>94.97</v>
      </c>
      <c r="Q770" s="9">
        <f>Tabla1[[#This Row],[Initial Risk $]]/Tabla1[[#This Row],[Position Size (shares)]]*1.5+Tabla1[[#This Row],[Entry Price]]</f>
        <v>96.384999999999991</v>
      </c>
      <c r="R770" s="9">
        <f>Tabla1[[#This Row],[Initial Risk $]]/Tabla1[[#This Row],[Position Size (shares)]]*2+Tabla1[[#This Row],[Entry Price]]</f>
        <v>97.8</v>
      </c>
      <c r="S770" s="9">
        <f>Tabla1[[#This Row],[Initial Risk $]]/Tabla1[[#This Row],[Position Size (shares)]]*2.5+Tabla1[[#This Row],[Entry Price]]</f>
        <v>99.215000000000003</v>
      </c>
      <c r="T770" s="9">
        <f>Tabla1[[#This Row],[Initial Risk $]]/Tabla1[[#This Row],[Position Size (shares)]]*3+Tabla1[[#This Row],[Entry Price]]</f>
        <v>100.63</v>
      </c>
    </row>
    <row r="771" spans="1:20" hidden="1" x14ac:dyDescent="0.25">
      <c r="A771" s="7" t="str">
        <f t="shared" si="281"/>
        <v>T-770</v>
      </c>
      <c r="B771" s="8">
        <v>46266</v>
      </c>
      <c r="C771" s="7" t="s">
        <v>164</v>
      </c>
      <c r="D771" s="7" t="s">
        <v>28</v>
      </c>
      <c r="E771" s="7" t="s">
        <v>58</v>
      </c>
      <c r="F771" s="7">
        <v>218.66</v>
      </c>
      <c r="G771" s="7">
        <v>216.41</v>
      </c>
      <c r="H771" s="7">
        <f>Tabla1[[#This Row],[Entry Price]]-(Tabla1[[#This Row],[Entry Price]]-Tabla1[[#This Row],[Initial Stop]])/2</f>
        <v>217.535</v>
      </c>
      <c r="I771" s="7">
        <v>4</v>
      </c>
      <c r="J771" s="7">
        <f t="shared" si="282"/>
        <v>9</v>
      </c>
      <c r="K771" s="7">
        <v>1</v>
      </c>
      <c r="L771" s="7">
        <f t="shared" si="283"/>
        <v>9</v>
      </c>
      <c r="M771" s="7" t="s">
        <v>72</v>
      </c>
      <c r="N771" s="7">
        <f>SUMIF(Executions!B:B,A771,Executions!H:H)</f>
        <v>-4.67999999999995</v>
      </c>
      <c r="O771" s="7">
        <f t="shared" si="284"/>
        <v>-0.51999999999999447</v>
      </c>
      <c r="P771" s="9">
        <f>Tabla1[[#This Row],[Initial Risk $]]/Tabla1[[#This Row],[Position Size (shares)]]+Tabla1[[#This Row],[Entry Price]]</f>
        <v>220.91</v>
      </c>
      <c r="Q771" s="9">
        <f>Tabla1[[#This Row],[Initial Risk $]]/Tabla1[[#This Row],[Position Size (shares)]]*1.5+Tabla1[[#This Row],[Entry Price]]</f>
        <v>222.035</v>
      </c>
      <c r="R771" s="9">
        <f>Tabla1[[#This Row],[Initial Risk $]]/Tabla1[[#This Row],[Position Size (shares)]]*2+Tabla1[[#This Row],[Entry Price]]</f>
        <v>223.16</v>
      </c>
      <c r="S771" s="9">
        <f>Tabla1[[#This Row],[Initial Risk $]]/Tabla1[[#This Row],[Position Size (shares)]]*2.5+Tabla1[[#This Row],[Entry Price]]</f>
        <v>224.285</v>
      </c>
      <c r="T771" s="9">
        <f>Tabla1[[#This Row],[Initial Risk $]]/Tabla1[[#This Row],[Position Size (shares)]]*3+Tabla1[[#This Row],[Entry Price]]</f>
        <v>225.41</v>
      </c>
    </row>
    <row r="772" spans="1:20" hidden="1" x14ac:dyDescent="0.25">
      <c r="A772" s="7" t="str">
        <f t="shared" si="281"/>
        <v>T-771</v>
      </c>
      <c r="B772" s="8">
        <v>46266</v>
      </c>
      <c r="C772" s="7" t="s">
        <v>130</v>
      </c>
      <c r="D772" s="7" t="s">
        <v>28</v>
      </c>
      <c r="E772" s="7" t="s">
        <v>119</v>
      </c>
      <c r="F772" s="7">
        <v>457.54</v>
      </c>
      <c r="G772" s="7">
        <v>452.3</v>
      </c>
      <c r="H772" s="7">
        <f>Tabla1[[#This Row],[Entry Price]]-(Tabla1[[#This Row],[Entry Price]]-Tabla1[[#This Row],[Initial Stop]])/2</f>
        <v>454.92</v>
      </c>
      <c r="I772" s="7">
        <v>2</v>
      </c>
      <c r="J772" s="7">
        <f t="shared" si="282"/>
        <v>10.480000000000018</v>
      </c>
      <c r="K772" s="7">
        <v>1</v>
      </c>
      <c r="L772" s="7">
        <f t="shared" si="283"/>
        <v>10.480000000000018</v>
      </c>
      <c r="M772" s="7" t="s">
        <v>72</v>
      </c>
      <c r="N772" s="7">
        <f>SUMIF(Executions!B:B,A772,Executions!H:H)</f>
        <v>-5.4800000000000182</v>
      </c>
      <c r="O772" s="7">
        <f t="shared" si="284"/>
        <v>-0.52290076335877944</v>
      </c>
      <c r="P772" s="9">
        <f>Tabla1[[#This Row],[Initial Risk $]]/Tabla1[[#This Row],[Position Size (shares)]]+Tabla1[[#This Row],[Entry Price]]</f>
        <v>462.78000000000003</v>
      </c>
      <c r="Q772" s="9">
        <f>Tabla1[[#This Row],[Initial Risk $]]/Tabla1[[#This Row],[Position Size (shares)]]*1.5+Tabla1[[#This Row],[Entry Price]]</f>
        <v>465.40000000000003</v>
      </c>
      <c r="R772" s="9">
        <f>Tabla1[[#This Row],[Initial Risk $]]/Tabla1[[#This Row],[Position Size (shares)]]*2+Tabla1[[#This Row],[Entry Price]]</f>
        <v>468.02000000000004</v>
      </c>
      <c r="S772" s="9">
        <f>Tabla1[[#This Row],[Initial Risk $]]/Tabla1[[#This Row],[Position Size (shares)]]*2.5+Tabla1[[#This Row],[Entry Price]]</f>
        <v>470.64000000000004</v>
      </c>
      <c r="T772" s="9">
        <f>Tabla1[[#This Row],[Initial Risk $]]/Tabla1[[#This Row],[Position Size (shares)]]*3+Tabla1[[#This Row],[Entry Price]]</f>
        <v>473.26000000000005</v>
      </c>
    </row>
    <row r="773" spans="1:20" hidden="1" x14ac:dyDescent="0.25">
      <c r="A773" s="7" t="str">
        <f t="shared" si="281"/>
        <v>T-772</v>
      </c>
      <c r="B773" s="8">
        <v>46266</v>
      </c>
      <c r="C773" s="7" t="s">
        <v>197</v>
      </c>
      <c r="D773" s="7" t="s">
        <v>28</v>
      </c>
      <c r="E773" s="7" t="s">
        <v>27</v>
      </c>
      <c r="F773" s="7">
        <v>92.39</v>
      </c>
      <c r="G773" s="7">
        <v>90.78</v>
      </c>
      <c r="H773" s="7">
        <f>Tabla1[[#This Row],[Entry Price]]-(Tabla1[[#This Row],[Entry Price]]-Tabla1[[#This Row],[Initial Stop]])/2</f>
        <v>91.585000000000008</v>
      </c>
      <c r="I773" s="7">
        <v>5</v>
      </c>
      <c r="J773" s="7">
        <f t="shared" si="282"/>
        <v>8.0499999999999972</v>
      </c>
      <c r="K773" s="7">
        <v>1</v>
      </c>
      <c r="L773" s="7">
        <f t="shared" si="283"/>
        <v>8.0499999999999972</v>
      </c>
      <c r="M773" s="7" t="s">
        <v>72</v>
      </c>
      <c r="N773" s="7">
        <f>SUMIF(Executions!B:B,A773,Executions!H:H)</f>
        <v>-2.6500000000000057</v>
      </c>
      <c r="O773" s="7">
        <f t="shared" si="284"/>
        <v>-0.32919254658385178</v>
      </c>
      <c r="P773" s="9">
        <f>Tabla1[[#This Row],[Initial Risk $]]/Tabla1[[#This Row],[Position Size (shares)]]+Tabla1[[#This Row],[Entry Price]]</f>
        <v>94</v>
      </c>
      <c r="Q773" s="9">
        <f>Tabla1[[#This Row],[Initial Risk $]]/Tabla1[[#This Row],[Position Size (shares)]]*1.5+Tabla1[[#This Row],[Entry Price]]</f>
        <v>94.805000000000007</v>
      </c>
      <c r="R773" s="9">
        <f>Tabla1[[#This Row],[Initial Risk $]]/Tabla1[[#This Row],[Position Size (shares)]]*2+Tabla1[[#This Row],[Entry Price]]</f>
        <v>95.61</v>
      </c>
      <c r="S773" s="9">
        <f>Tabla1[[#This Row],[Initial Risk $]]/Tabla1[[#This Row],[Position Size (shares)]]*2.5+Tabla1[[#This Row],[Entry Price]]</f>
        <v>96.414999999999992</v>
      </c>
      <c r="T773" s="9">
        <f>Tabla1[[#This Row],[Initial Risk $]]/Tabla1[[#This Row],[Position Size (shares)]]*3+Tabla1[[#This Row],[Entry Price]]</f>
        <v>97.22</v>
      </c>
    </row>
    <row r="774" spans="1:20" hidden="1" x14ac:dyDescent="0.25">
      <c r="A774" s="7" t="str">
        <f t="shared" ref="A774:A782" si="285">"T-"&amp; TEXT(ROW()-1,"000")</f>
        <v>T-773</v>
      </c>
      <c r="B774" s="8">
        <v>46267</v>
      </c>
      <c r="C774" s="7" t="s">
        <v>279</v>
      </c>
      <c r="D774" s="7" t="s">
        <v>28</v>
      </c>
      <c r="E774" s="7" t="s">
        <v>54</v>
      </c>
      <c r="F774" s="7">
        <v>934.02</v>
      </c>
      <c r="G774" s="7">
        <v>925.02</v>
      </c>
      <c r="H774" s="7">
        <f>Tabla1[[#This Row],[Entry Price]]-(Tabla1[[#This Row],[Entry Price]]-Tabla1[[#This Row],[Initial Stop]])/2</f>
        <v>929.52</v>
      </c>
      <c r="I774" s="7">
        <v>1</v>
      </c>
      <c r="J774" s="7">
        <f t="shared" ref="J774:J782" si="286">IF(D774="Long",(F774-G774)*I774,(G774-F774)*0)</f>
        <v>9</v>
      </c>
      <c r="K774" s="7">
        <v>1</v>
      </c>
      <c r="L774" s="7">
        <f t="shared" ref="L774:L782" si="287">J774*K774</f>
        <v>9</v>
      </c>
      <c r="M774" s="7" t="s">
        <v>72</v>
      </c>
      <c r="N774" s="7">
        <f>SUMIF(Executions!B:B,A774,Executions!H:H)</f>
        <v>6.7100000000000364</v>
      </c>
      <c r="O774" s="7">
        <f t="shared" ref="O774:O782" si="288">N774/J774</f>
        <v>0.74555555555555963</v>
      </c>
      <c r="P774" s="9">
        <f>Tabla1[[#This Row],[Initial Risk $]]/Tabla1[[#This Row],[Position Size (shares)]]+Tabla1[[#This Row],[Entry Price]]</f>
        <v>943.02</v>
      </c>
      <c r="Q774" s="9">
        <f>Tabla1[[#This Row],[Initial Risk $]]/Tabla1[[#This Row],[Position Size (shares)]]*1.5+Tabla1[[#This Row],[Entry Price]]</f>
        <v>947.52</v>
      </c>
      <c r="R774" s="9">
        <f>Tabla1[[#This Row],[Initial Risk $]]/Tabla1[[#This Row],[Position Size (shares)]]*2+Tabla1[[#This Row],[Entry Price]]</f>
        <v>952.02</v>
      </c>
      <c r="S774" s="9">
        <f>Tabla1[[#This Row],[Initial Risk $]]/Tabla1[[#This Row],[Position Size (shares)]]*2.5+Tabla1[[#This Row],[Entry Price]]</f>
        <v>956.52</v>
      </c>
      <c r="T774" s="9">
        <f>Tabla1[[#This Row],[Initial Risk $]]/Tabla1[[#This Row],[Position Size (shares)]]*3+Tabla1[[#This Row],[Entry Price]]</f>
        <v>961.02</v>
      </c>
    </row>
    <row r="775" spans="1:20" hidden="1" x14ac:dyDescent="0.25">
      <c r="A775" s="7" t="str">
        <f t="shared" si="285"/>
        <v>T-774</v>
      </c>
      <c r="B775" s="8">
        <v>46267</v>
      </c>
      <c r="C775" s="7" t="s">
        <v>359</v>
      </c>
      <c r="D775" s="7" t="s">
        <v>28</v>
      </c>
      <c r="E775" s="7" t="s">
        <v>119</v>
      </c>
      <c r="F775" s="7">
        <v>81.47</v>
      </c>
      <c r="G775" s="7">
        <v>80.34</v>
      </c>
      <c r="H775" s="7">
        <f>Tabla1[[#This Row],[Entry Price]]-(Tabla1[[#This Row],[Entry Price]]-Tabla1[[#This Row],[Initial Stop]])/2</f>
        <v>80.905000000000001</v>
      </c>
      <c r="I775" s="7">
        <v>10</v>
      </c>
      <c r="J775" s="7">
        <f t="shared" si="286"/>
        <v>11.299999999999955</v>
      </c>
      <c r="K775" s="7">
        <v>1</v>
      </c>
      <c r="L775" s="7">
        <f t="shared" si="287"/>
        <v>11.299999999999955</v>
      </c>
      <c r="M775" s="7" t="s">
        <v>72</v>
      </c>
      <c r="N775" s="7">
        <f>SUMIF(Executions!B:B,A775,Executions!H:H)</f>
        <v>10.900000000000034</v>
      </c>
      <c r="O775" s="7">
        <f t="shared" si="288"/>
        <v>0.96460176991151136</v>
      </c>
      <c r="P775" s="9">
        <f>Tabla1[[#This Row],[Initial Risk $]]/Tabla1[[#This Row],[Position Size (shares)]]+Tabla1[[#This Row],[Entry Price]]</f>
        <v>82.6</v>
      </c>
      <c r="Q775" s="9">
        <f>Tabla1[[#This Row],[Initial Risk $]]/Tabla1[[#This Row],[Position Size (shares)]]*1.5+Tabla1[[#This Row],[Entry Price]]</f>
        <v>83.164999999999992</v>
      </c>
      <c r="R775" s="9">
        <f>Tabla1[[#This Row],[Initial Risk $]]/Tabla1[[#This Row],[Position Size (shares)]]*2+Tabla1[[#This Row],[Entry Price]]</f>
        <v>83.72999999999999</v>
      </c>
      <c r="S775" s="9">
        <f>Tabla1[[#This Row],[Initial Risk $]]/Tabla1[[#This Row],[Position Size (shares)]]*2.5+Tabla1[[#This Row],[Entry Price]]</f>
        <v>84.294999999999987</v>
      </c>
      <c r="T775" s="9">
        <f>Tabla1[[#This Row],[Initial Risk $]]/Tabla1[[#This Row],[Position Size (shares)]]*3+Tabla1[[#This Row],[Entry Price]]</f>
        <v>84.859999999999985</v>
      </c>
    </row>
    <row r="776" spans="1:20" hidden="1" x14ac:dyDescent="0.25">
      <c r="A776" s="7" t="str">
        <f t="shared" si="285"/>
        <v>T-775</v>
      </c>
      <c r="B776" s="8">
        <v>46267</v>
      </c>
      <c r="C776" s="7" t="s">
        <v>154</v>
      </c>
      <c r="D776" s="7" t="s">
        <v>28</v>
      </c>
      <c r="E776" s="7" t="s">
        <v>58</v>
      </c>
      <c r="F776" s="7">
        <v>332.15</v>
      </c>
      <c r="G776" s="7">
        <v>329.56</v>
      </c>
      <c r="H776" s="7">
        <f>Tabla1[[#This Row],[Entry Price]]-(Tabla1[[#This Row],[Entry Price]]-Tabla1[[#This Row],[Initial Stop]])/2</f>
        <v>330.85500000000002</v>
      </c>
      <c r="I776" s="7">
        <v>4</v>
      </c>
      <c r="J776" s="7">
        <f t="shared" si="286"/>
        <v>10.3599999999999</v>
      </c>
      <c r="K776" s="7">
        <v>1</v>
      </c>
      <c r="L776" s="7">
        <f t="shared" si="287"/>
        <v>10.3599999999999</v>
      </c>
      <c r="M776" s="7" t="s">
        <v>72</v>
      </c>
      <c r="N776" s="7">
        <f>SUMIF(Executions!B:B,A776,Executions!H:H)</f>
        <v>6.1600000000000819</v>
      </c>
      <c r="O776" s="7">
        <f t="shared" si="288"/>
        <v>0.59459459459460828</v>
      </c>
      <c r="P776" s="9">
        <f>Tabla1[[#This Row],[Initial Risk $]]/Tabla1[[#This Row],[Position Size (shares)]]+Tabla1[[#This Row],[Entry Price]]</f>
        <v>334.73999999999995</v>
      </c>
      <c r="Q776" s="9">
        <f>Tabla1[[#This Row],[Initial Risk $]]/Tabla1[[#This Row],[Position Size (shares)]]*1.5+Tabla1[[#This Row],[Entry Price]]</f>
        <v>336.03499999999997</v>
      </c>
      <c r="R776" s="9">
        <f>Tabla1[[#This Row],[Initial Risk $]]/Tabla1[[#This Row],[Position Size (shares)]]*2+Tabla1[[#This Row],[Entry Price]]</f>
        <v>337.32999999999993</v>
      </c>
      <c r="S776" s="9">
        <f>Tabla1[[#This Row],[Initial Risk $]]/Tabla1[[#This Row],[Position Size (shares)]]*2.5+Tabla1[[#This Row],[Entry Price]]</f>
        <v>338.62499999999989</v>
      </c>
      <c r="T776" s="9">
        <f>Tabla1[[#This Row],[Initial Risk $]]/Tabla1[[#This Row],[Position Size (shares)]]*3+Tabla1[[#This Row],[Entry Price]]</f>
        <v>339.9199999999999</v>
      </c>
    </row>
    <row r="777" spans="1:20" hidden="1" x14ac:dyDescent="0.25">
      <c r="A777" s="7" t="str">
        <f t="shared" si="285"/>
        <v>T-776</v>
      </c>
      <c r="B777" s="8">
        <v>46267</v>
      </c>
      <c r="C777" s="7" t="s">
        <v>130</v>
      </c>
      <c r="D777" s="7" t="s">
        <v>28</v>
      </c>
      <c r="E777" s="7" t="s">
        <v>58</v>
      </c>
      <c r="F777" s="7">
        <v>460.24</v>
      </c>
      <c r="G777" s="7">
        <v>455.85</v>
      </c>
      <c r="H777" s="7">
        <f>Tabla1[[#This Row],[Entry Price]]-(Tabla1[[#This Row],[Entry Price]]-Tabla1[[#This Row],[Initial Stop]])/2</f>
        <v>458.04500000000002</v>
      </c>
      <c r="I777" s="7">
        <v>2</v>
      </c>
      <c r="J777" s="7">
        <f t="shared" si="286"/>
        <v>8.7799999999999727</v>
      </c>
      <c r="K777" s="7">
        <v>1</v>
      </c>
      <c r="L777" s="7">
        <f t="shared" si="287"/>
        <v>8.7799999999999727</v>
      </c>
      <c r="M777" s="7" t="s">
        <v>72</v>
      </c>
      <c r="N777" s="7">
        <f>SUMIF(Executions!B:B,A777,Executions!H:H)</f>
        <v>-8.8999999999999773</v>
      </c>
      <c r="O777" s="7">
        <f t="shared" si="288"/>
        <v>-1.01366742596811</v>
      </c>
      <c r="P777" s="9">
        <f>Tabla1[[#This Row],[Initial Risk $]]/Tabla1[[#This Row],[Position Size (shares)]]+Tabla1[[#This Row],[Entry Price]]</f>
        <v>464.63</v>
      </c>
      <c r="Q777" s="9">
        <f>Tabla1[[#This Row],[Initial Risk $]]/Tabla1[[#This Row],[Position Size (shares)]]*1.5+Tabla1[[#This Row],[Entry Price]]</f>
        <v>466.82499999999999</v>
      </c>
      <c r="R777" s="9">
        <f>Tabla1[[#This Row],[Initial Risk $]]/Tabla1[[#This Row],[Position Size (shares)]]*2+Tabla1[[#This Row],[Entry Price]]</f>
        <v>469.02</v>
      </c>
      <c r="S777" s="9">
        <f>Tabla1[[#This Row],[Initial Risk $]]/Tabla1[[#This Row],[Position Size (shares)]]*2.5+Tabla1[[#This Row],[Entry Price]]</f>
        <v>471.21499999999997</v>
      </c>
      <c r="T777" s="9">
        <f>Tabla1[[#This Row],[Initial Risk $]]/Tabla1[[#This Row],[Position Size (shares)]]*3+Tabla1[[#This Row],[Entry Price]]</f>
        <v>473.40999999999997</v>
      </c>
    </row>
    <row r="778" spans="1:20" hidden="1" x14ac:dyDescent="0.25">
      <c r="A778" s="7" t="str">
        <f t="shared" si="285"/>
        <v>T-777</v>
      </c>
      <c r="B778" s="8">
        <v>46267</v>
      </c>
      <c r="C778" s="7" t="s">
        <v>582</v>
      </c>
      <c r="D778" s="7" t="s">
        <v>28</v>
      </c>
      <c r="E778" s="7" t="s">
        <v>52</v>
      </c>
      <c r="F778" s="7">
        <v>107.87</v>
      </c>
      <c r="G778" s="7">
        <v>106.09</v>
      </c>
      <c r="H778" s="7">
        <f>Tabla1[[#This Row],[Entry Price]]-(Tabla1[[#This Row],[Entry Price]]-Tabla1[[#This Row],[Initial Stop]])/2</f>
        <v>106.98</v>
      </c>
      <c r="I778" s="7">
        <v>6</v>
      </c>
      <c r="J778" s="7">
        <f t="shared" si="286"/>
        <v>10.680000000000007</v>
      </c>
      <c r="K778" s="7">
        <v>1</v>
      </c>
      <c r="L778" s="7">
        <f t="shared" si="287"/>
        <v>10.680000000000007</v>
      </c>
      <c r="M778" s="7" t="s">
        <v>72</v>
      </c>
      <c r="N778" s="7">
        <f>SUMIF(Executions!B:B,A778,Executions!H:H)</f>
        <v>3.4199999999999591</v>
      </c>
      <c r="O778" s="7">
        <f t="shared" si="288"/>
        <v>0.32022471910111955</v>
      </c>
      <c r="P778" s="9">
        <f>Tabla1[[#This Row],[Initial Risk $]]/Tabla1[[#This Row],[Position Size (shares)]]+Tabla1[[#This Row],[Entry Price]]</f>
        <v>109.65</v>
      </c>
      <c r="Q778" s="9">
        <f>Tabla1[[#This Row],[Initial Risk $]]/Tabla1[[#This Row],[Position Size (shares)]]*1.5+Tabla1[[#This Row],[Entry Price]]</f>
        <v>110.54</v>
      </c>
      <c r="R778" s="9">
        <f>Tabla1[[#This Row],[Initial Risk $]]/Tabla1[[#This Row],[Position Size (shares)]]*2+Tabla1[[#This Row],[Entry Price]]</f>
        <v>111.43</v>
      </c>
      <c r="S778" s="9">
        <f>Tabla1[[#This Row],[Initial Risk $]]/Tabla1[[#This Row],[Position Size (shares)]]*2.5+Tabla1[[#This Row],[Entry Price]]</f>
        <v>112.32000000000001</v>
      </c>
      <c r="T778" s="9">
        <f>Tabla1[[#This Row],[Initial Risk $]]/Tabla1[[#This Row],[Position Size (shares)]]*3+Tabla1[[#This Row],[Entry Price]]</f>
        <v>113.21000000000001</v>
      </c>
    </row>
    <row r="779" spans="1:20" hidden="1" x14ac:dyDescent="0.25">
      <c r="A779" s="7" t="str">
        <f t="shared" si="285"/>
        <v>T-778</v>
      </c>
      <c r="B779" s="8">
        <v>46267</v>
      </c>
      <c r="C779" s="7" t="s">
        <v>370</v>
      </c>
      <c r="D779" s="7" t="s">
        <v>28</v>
      </c>
      <c r="E779" s="7" t="s">
        <v>51</v>
      </c>
      <c r="F779" s="7">
        <v>52.62</v>
      </c>
      <c r="G779" s="7">
        <v>50.62</v>
      </c>
      <c r="H779" s="7">
        <f>Tabla1[[#This Row],[Entry Price]]-(Tabla1[[#This Row],[Entry Price]]-Tabla1[[#This Row],[Initial Stop]])/2</f>
        <v>51.62</v>
      </c>
      <c r="I779" s="7">
        <v>10</v>
      </c>
      <c r="J779" s="7">
        <f t="shared" si="286"/>
        <v>20</v>
      </c>
      <c r="K779" s="7">
        <v>1</v>
      </c>
      <c r="L779" s="7">
        <f t="shared" si="287"/>
        <v>20</v>
      </c>
      <c r="M779" s="7" t="s">
        <v>72</v>
      </c>
      <c r="N779" s="7">
        <f>SUMIF(Executions!B:B,A779,Executions!H:H)</f>
        <v>-15.700000000000003</v>
      </c>
      <c r="O779" s="7">
        <f t="shared" si="288"/>
        <v>-0.78500000000000014</v>
      </c>
      <c r="P779" s="9">
        <f>Tabla1[[#This Row],[Initial Risk $]]/Tabla1[[#This Row],[Position Size (shares)]]+Tabla1[[#This Row],[Entry Price]]</f>
        <v>54.62</v>
      </c>
      <c r="Q779" s="9">
        <f>Tabla1[[#This Row],[Initial Risk $]]/Tabla1[[#This Row],[Position Size (shares)]]*1.5+Tabla1[[#This Row],[Entry Price]]</f>
        <v>55.62</v>
      </c>
      <c r="R779" s="9">
        <f>Tabla1[[#This Row],[Initial Risk $]]/Tabla1[[#This Row],[Position Size (shares)]]*2+Tabla1[[#This Row],[Entry Price]]</f>
        <v>56.62</v>
      </c>
      <c r="S779" s="9">
        <f>Tabla1[[#This Row],[Initial Risk $]]/Tabla1[[#This Row],[Position Size (shares)]]*2.5+Tabla1[[#This Row],[Entry Price]]</f>
        <v>57.62</v>
      </c>
      <c r="T779" s="9">
        <f>Tabla1[[#This Row],[Initial Risk $]]/Tabla1[[#This Row],[Position Size (shares)]]*3+Tabla1[[#This Row],[Entry Price]]</f>
        <v>58.62</v>
      </c>
    </row>
    <row r="780" spans="1:20" hidden="1" x14ac:dyDescent="0.25">
      <c r="A780" s="7" t="str">
        <f t="shared" si="285"/>
        <v>T-779</v>
      </c>
      <c r="B780" s="8">
        <v>46267</v>
      </c>
      <c r="C780" s="7" t="s">
        <v>181</v>
      </c>
      <c r="D780" s="7" t="s">
        <v>28</v>
      </c>
      <c r="E780" s="7" t="s">
        <v>119</v>
      </c>
      <c r="F780" s="7">
        <v>18.36</v>
      </c>
      <c r="G780" s="7">
        <v>17.989999999999998</v>
      </c>
      <c r="H780" s="7">
        <f>Tabla1[[#This Row],[Entry Price]]-(Tabla1[[#This Row],[Entry Price]]-Tabla1[[#This Row],[Initial Stop]])/2</f>
        <v>18.174999999999997</v>
      </c>
      <c r="I780" s="7">
        <v>30</v>
      </c>
      <c r="J780" s="7">
        <f t="shared" si="286"/>
        <v>11.10000000000003</v>
      </c>
      <c r="K780" s="7">
        <v>1</v>
      </c>
      <c r="L780" s="7">
        <f t="shared" si="287"/>
        <v>11.10000000000003</v>
      </c>
      <c r="M780" s="7" t="s">
        <v>72</v>
      </c>
      <c r="N780" s="7">
        <f>SUMIF(Executions!B:B,A780,Executions!H:H)</f>
        <v>-11.10000000000003</v>
      </c>
      <c r="O780" s="7">
        <f t="shared" si="288"/>
        <v>-1</v>
      </c>
      <c r="P780" s="9">
        <f>Tabla1[[#This Row],[Initial Risk $]]/Tabla1[[#This Row],[Position Size (shares)]]+Tabla1[[#This Row],[Entry Price]]</f>
        <v>18.73</v>
      </c>
      <c r="Q780" s="9">
        <f>Tabla1[[#This Row],[Initial Risk $]]/Tabla1[[#This Row],[Position Size (shares)]]*1.5+Tabla1[[#This Row],[Entry Price]]</f>
        <v>18.914999999999999</v>
      </c>
      <c r="R780" s="9">
        <f>Tabla1[[#This Row],[Initial Risk $]]/Tabla1[[#This Row],[Position Size (shares)]]*2+Tabla1[[#This Row],[Entry Price]]</f>
        <v>19.100000000000001</v>
      </c>
      <c r="S780" s="9">
        <f>Tabla1[[#This Row],[Initial Risk $]]/Tabla1[[#This Row],[Position Size (shares)]]*2.5+Tabla1[[#This Row],[Entry Price]]</f>
        <v>19.285000000000004</v>
      </c>
      <c r="T780" s="9">
        <f>Tabla1[[#This Row],[Initial Risk $]]/Tabla1[[#This Row],[Position Size (shares)]]*3+Tabla1[[#This Row],[Entry Price]]</f>
        <v>19.470000000000002</v>
      </c>
    </row>
    <row r="781" spans="1:20" hidden="1" x14ac:dyDescent="0.25">
      <c r="A781" s="7" t="str">
        <f t="shared" si="285"/>
        <v>T-780</v>
      </c>
      <c r="B781" s="8">
        <v>46267</v>
      </c>
      <c r="C781" s="7" t="s">
        <v>494</v>
      </c>
      <c r="D781" s="7" t="s">
        <v>28</v>
      </c>
      <c r="E781" s="7" t="s">
        <v>58</v>
      </c>
      <c r="F781" s="7">
        <v>594.13</v>
      </c>
      <c r="G781" s="7">
        <v>585</v>
      </c>
      <c r="H781" s="7">
        <f>Tabla1[[#This Row],[Entry Price]]-(Tabla1[[#This Row],[Entry Price]]-Tabla1[[#This Row],[Initial Stop]])/2</f>
        <v>589.56500000000005</v>
      </c>
      <c r="I781" s="7">
        <v>1</v>
      </c>
      <c r="J781" s="7">
        <f t="shared" si="286"/>
        <v>9.1299999999999955</v>
      </c>
      <c r="K781" s="7">
        <v>1</v>
      </c>
      <c r="L781" s="7">
        <f t="shared" si="287"/>
        <v>9.1299999999999955</v>
      </c>
      <c r="M781" s="7" t="s">
        <v>72</v>
      </c>
      <c r="N781" s="7">
        <f>SUMIF(Executions!B:B,A781,Executions!H:H)</f>
        <v>-2.1299999999999955</v>
      </c>
      <c r="O781" s="7">
        <f t="shared" si="288"/>
        <v>-0.23329682365826906</v>
      </c>
      <c r="P781" s="9">
        <f>Tabla1[[#This Row],[Initial Risk $]]/Tabla1[[#This Row],[Position Size (shares)]]+Tabla1[[#This Row],[Entry Price]]</f>
        <v>603.26</v>
      </c>
      <c r="Q781" s="9">
        <f>Tabla1[[#This Row],[Initial Risk $]]/Tabla1[[#This Row],[Position Size (shares)]]*1.5+Tabla1[[#This Row],[Entry Price]]</f>
        <v>607.82500000000005</v>
      </c>
      <c r="R781" s="9">
        <f>Tabla1[[#This Row],[Initial Risk $]]/Tabla1[[#This Row],[Position Size (shares)]]*2+Tabla1[[#This Row],[Entry Price]]</f>
        <v>612.39</v>
      </c>
      <c r="S781" s="9">
        <f>Tabla1[[#This Row],[Initial Risk $]]/Tabla1[[#This Row],[Position Size (shares)]]*2.5+Tabla1[[#This Row],[Entry Price]]</f>
        <v>616.95499999999993</v>
      </c>
      <c r="T781" s="9">
        <f>Tabla1[[#This Row],[Initial Risk $]]/Tabla1[[#This Row],[Position Size (shares)]]*3+Tabla1[[#This Row],[Entry Price]]</f>
        <v>621.52</v>
      </c>
    </row>
    <row r="782" spans="1:20" hidden="1" x14ac:dyDescent="0.25">
      <c r="A782" s="7" t="str">
        <f t="shared" si="285"/>
        <v>T-781</v>
      </c>
      <c r="B782" s="8">
        <v>46267</v>
      </c>
      <c r="C782" s="7" t="s">
        <v>279</v>
      </c>
      <c r="D782" s="7" t="s">
        <v>28</v>
      </c>
      <c r="E782" s="7" t="s">
        <v>119</v>
      </c>
      <c r="F782" s="7">
        <v>944.81</v>
      </c>
      <c r="G782" s="7">
        <v>934.81</v>
      </c>
      <c r="H782" s="7">
        <f>Tabla1[[#This Row],[Entry Price]]-(Tabla1[[#This Row],[Entry Price]]-Tabla1[[#This Row],[Initial Stop]])/2</f>
        <v>939.81</v>
      </c>
      <c r="I782" s="7">
        <v>1</v>
      </c>
      <c r="J782" s="7">
        <f t="shared" si="286"/>
        <v>10</v>
      </c>
      <c r="K782" s="7">
        <v>1</v>
      </c>
      <c r="L782" s="7">
        <f t="shared" si="287"/>
        <v>10</v>
      </c>
      <c r="M782" s="7" t="s">
        <v>72</v>
      </c>
      <c r="N782" s="7">
        <f>SUMIF(Executions!B:B,A782,Executions!H:H)</f>
        <v>11.25</v>
      </c>
      <c r="O782" s="7">
        <f t="shared" si="288"/>
        <v>1.125</v>
      </c>
      <c r="P782" s="9">
        <f>Tabla1[[#This Row],[Initial Risk $]]/Tabla1[[#This Row],[Position Size (shares)]]+Tabla1[[#This Row],[Entry Price]]</f>
        <v>954.81</v>
      </c>
      <c r="Q782" s="9">
        <f>Tabla1[[#This Row],[Initial Risk $]]/Tabla1[[#This Row],[Position Size (shares)]]*1.5+Tabla1[[#This Row],[Entry Price]]</f>
        <v>959.81</v>
      </c>
      <c r="R782" s="9">
        <f>Tabla1[[#This Row],[Initial Risk $]]/Tabla1[[#This Row],[Position Size (shares)]]*2+Tabla1[[#This Row],[Entry Price]]</f>
        <v>964.81</v>
      </c>
      <c r="S782" s="9">
        <f>Tabla1[[#This Row],[Initial Risk $]]/Tabla1[[#This Row],[Position Size (shares)]]*2.5+Tabla1[[#This Row],[Entry Price]]</f>
        <v>969.81</v>
      </c>
      <c r="T782" s="9">
        <f>Tabla1[[#This Row],[Initial Risk $]]/Tabla1[[#This Row],[Position Size (shares)]]*3+Tabla1[[#This Row],[Entry Price]]</f>
        <v>974.81</v>
      </c>
    </row>
    <row r="783" spans="1:20" hidden="1" x14ac:dyDescent="0.25">
      <c r="A783" s="7" t="str">
        <f t="shared" ref="A783:A791" si="289">"T-"&amp; TEXT(ROW()-1,"000")</f>
        <v>T-782</v>
      </c>
      <c r="B783" s="8">
        <v>46268</v>
      </c>
      <c r="C783" s="7" t="s">
        <v>359</v>
      </c>
      <c r="D783" s="7" t="s">
        <v>28</v>
      </c>
      <c r="E783" s="7" t="s">
        <v>50</v>
      </c>
      <c r="F783" s="7">
        <v>83.04</v>
      </c>
      <c r="G783" s="7">
        <v>81.94</v>
      </c>
      <c r="H783" s="9">
        <f>Tabla1[[#This Row],[Entry Price]]-(Tabla1[[#This Row],[Entry Price]]-Tabla1[[#This Row],[Initial Stop]])/2</f>
        <v>82.490000000000009</v>
      </c>
      <c r="I783" s="7">
        <v>10</v>
      </c>
      <c r="J783" s="7">
        <f t="shared" ref="J783:J791" si="290">IF(D783="Long",(F783-G783)*I783,(G783-F783)*0)</f>
        <v>11.000000000000085</v>
      </c>
      <c r="K783" s="7">
        <v>1</v>
      </c>
      <c r="L783" s="7">
        <f t="shared" ref="L783:L791" si="291">J783*K783</f>
        <v>11.000000000000085</v>
      </c>
      <c r="M783" s="7" t="s">
        <v>72</v>
      </c>
      <c r="N783" s="7">
        <f>SUMIF(Executions!B:B,A783,Executions!H:H)</f>
        <v>-9.3000000000000682</v>
      </c>
      <c r="O783" s="7">
        <f t="shared" ref="O783:O791" si="292">N783/J783</f>
        <v>-0.84545454545454513</v>
      </c>
      <c r="P783" s="9">
        <f>Tabla1[[#This Row],[Initial Risk $]]/Tabla1[[#This Row],[Position Size (shares)]]+Tabla1[[#This Row],[Entry Price]]</f>
        <v>84.140000000000015</v>
      </c>
      <c r="Q783" s="9">
        <f>Tabla1[[#This Row],[Initial Risk $]]/Tabla1[[#This Row],[Position Size (shares)]]*1.5+Tabla1[[#This Row],[Entry Price]]</f>
        <v>84.690000000000026</v>
      </c>
      <c r="R783" s="9">
        <f>Tabla1[[#This Row],[Initial Risk $]]/Tabla1[[#This Row],[Position Size (shares)]]*2+Tabla1[[#This Row],[Entry Price]]</f>
        <v>85.240000000000023</v>
      </c>
      <c r="S783" s="9">
        <f>Tabla1[[#This Row],[Initial Risk $]]/Tabla1[[#This Row],[Position Size (shares)]]*2.5+Tabla1[[#This Row],[Entry Price]]</f>
        <v>85.79000000000002</v>
      </c>
      <c r="T783" s="9">
        <f>Tabla1[[#This Row],[Initial Risk $]]/Tabla1[[#This Row],[Position Size (shares)]]*3+Tabla1[[#This Row],[Entry Price]]</f>
        <v>86.340000000000032</v>
      </c>
    </row>
    <row r="784" spans="1:20" hidden="1" x14ac:dyDescent="0.25">
      <c r="A784" s="7" t="str">
        <f t="shared" si="289"/>
        <v>T-783</v>
      </c>
      <c r="B784" s="8">
        <v>46268</v>
      </c>
      <c r="C784" s="7" t="s">
        <v>164</v>
      </c>
      <c r="D784" s="7" t="s">
        <v>28</v>
      </c>
      <c r="E784" s="7" t="s">
        <v>58</v>
      </c>
      <c r="F784" s="7">
        <v>227.4</v>
      </c>
      <c r="G784" s="7">
        <v>224.4</v>
      </c>
      <c r="H784" s="9">
        <f>Tabla1[[#This Row],[Entry Price]]-(Tabla1[[#This Row],[Entry Price]]-Tabla1[[#This Row],[Initial Stop]])/2</f>
        <v>225.9</v>
      </c>
      <c r="I784" s="7">
        <v>4</v>
      </c>
      <c r="J784" s="7">
        <f t="shared" si="290"/>
        <v>12</v>
      </c>
      <c r="K784" s="7">
        <v>1</v>
      </c>
      <c r="L784" s="7">
        <f t="shared" si="291"/>
        <v>12</v>
      </c>
      <c r="M784" s="7" t="s">
        <v>72</v>
      </c>
      <c r="N784" s="7">
        <f>SUMIF(Executions!B:B,A784,Executions!H:H)</f>
        <v>7.1200000000000045</v>
      </c>
      <c r="O784" s="7">
        <f t="shared" si="292"/>
        <v>0.59333333333333371</v>
      </c>
      <c r="P784" s="9">
        <f>Tabla1[[#This Row],[Initial Risk $]]/Tabla1[[#This Row],[Position Size (shares)]]+Tabla1[[#This Row],[Entry Price]]</f>
        <v>230.4</v>
      </c>
      <c r="Q784" s="9">
        <f>Tabla1[[#This Row],[Initial Risk $]]/Tabla1[[#This Row],[Position Size (shares)]]*1.5+Tabla1[[#This Row],[Entry Price]]</f>
        <v>231.9</v>
      </c>
      <c r="R784" s="9">
        <f>Tabla1[[#This Row],[Initial Risk $]]/Tabla1[[#This Row],[Position Size (shares)]]*2+Tabla1[[#This Row],[Entry Price]]</f>
        <v>233.4</v>
      </c>
      <c r="S784" s="9">
        <f>Tabla1[[#This Row],[Initial Risk $]]/Tabla1[[#This Row],[Position Size (shares)]]*2.5+Tabla1[[#This Row],[Entry Price]]</f>
        <v>234.9</v>
      </c>
      <c r="T784" s="9">
        <f>Tabla1[[#This Row],[Initial Risk $]]/Tabla1[[#This Row],[Position Size (shares)]]*3+Tabla1[[#This Row],[Entry Price]]</f>
        <v>236.4</v>
      </c>
    </row>
    <row r="785" spans="1:20" hidden="1" x14ac:dyDescent="0.25">
      <c r="A785" s="7" t="str">
        <f t="shared" si="289"/>
        <v>T-784</v>
      </c>
      <c r="B785" s="8">
        <v>46268</v>
      </c>
      <c r="C785" s="7" t="s">
        <v>279</v>
      </c>
      <c r="D785" s="7" t="s">
        <v>28</v>
      </c>
      <c r="E785" s="7" t="s">
        <v>27</v>
      </c>
      <c r="F785" s="7">
        <v>940.8</v>
      </c>
      <c r="G785" s="7">
        <v>930.8</v>
      </c>
      <c r="H785" s="9">
        <f>Tabla1[[#This Row],[Entry Price]]-(Tabla1[[#This Row],[Entry Price]]-Tabla1[[#This Row],[Initial Stop]])/2</f>
        <v>935.8</v>
      </c>
      <c r="I785" s="7">
        <v>1</v>
      </c>
      <c r="J785" s="7">
        <f t="shared" si="290"/>
        <v>10</v>
      </c>
      <c r="K785" s="7">
        <v>1</v>
      </c>
      <c r="L785" s="7">
        <f t="shared" si="291"/>
        <v>10</v>
      </c>
      <c r="M785" s="7" t="s">
        <v>72</v>
      </c>
      <c r="N785" s="7">
        <f>SUMIF(Executions!B:B,A785,Executions!H:H)</f>
        <v>9.9700000000000273</v>
      </c>
      <c r="O785" s="7">
        <f t="shared" si="292"/>
        <v>0.99700000000000277</v>
      </c>
      <c r="P785" s="9">
        <f>Tabla1[[#This Row],[Initial Risk $]]/Tabla1[[#This Row],[Position Size (shares)]]+Tabla1[[#This Row],[Entry Price]]</f>
        <v>950.8</v>
      </c>
      <c r="Q785" s="9">
        <f>Tabla1[[#This Row],[Initial Risk $]]/Tabla1[[#This Row],[Position Size (shares)]]*1.5+Tabla1[[#This Row],[Entry Price]]</f>
        <v>955.8</v>
      </c>
      <c r="R785" s="9">
        <f>Tabla1[[#This Row],[Initial Risk $]]/Tabla1[[#This Row],[Position Size (shares)]]*2+Tabla1[[#This Row],[Entry Price]]</f>
        <v>960.8</v>
      </c>
      <c r="S785" s="9">
        <f>Tabla1[[#This Row],[Initial Risk $]]/Tabla1[[#This Row],[Position Size (shares)]]*2.5+Tabla1[[#This Row],[Entry Price]]</f>
        <v>965.8</v>
      </c>
      <c r="T785" s="9">
        <f>Tabla1[[#This Row],[Initial Risk $]]/Tabla1[[#This Row],[Position Size (shares)]]*3+Tabla1[[#This Row],[Entry Price]]</f>
        <v>970.8</v>
      </c>
    </row>
    <row r="786" spans="1:20" hidden="1" x14ac:dyDescent="0.25">
      <c r="A786" s="7" t="str">
        <f t="shared" si="289"/>
        <v>T-785</v>
      </c>
      <c r="B786" s="8">
        <v>46268</v>
      </c>
      <c r="C786" s="7" t="s">
        <v>161</v>
      </c>
      <c r="D786" s="7" t="s">
        <v>28</v>
      </c>
      <c r="E786" s="7" t="s">
        <v>119</v>
      </c>
      <c r="F786" s="7">
        <v>89.58</v>
      </c>
      <c r="G786" s="7">
        <v>88.48</v>
      </c>
      <c r="H786" s="9">
        <f>Tabla1[[#This Row],[Entry Price]]-(Tabla1[[#This Row],[Entry Price]]-Tabla1[[#This Row],[Initial Stop]])/2</f>
        <v>89.03</v>
      </c>
      <c r="I786" s="7">
        <v>10</v>
      </c>
      <c r="J786" s="7">
        <f t="shared" si="290"/>
        <v>10.999999999999943</v>
      </c>
      <c r="K786" s="7">
        <v>1</v>
      </c>
      <c r="L786" s="7">
        <f t="shared" si="291"/>
        <v>10.999999999999943</v>
      </c>
      <c r="M786" s="7" t="s">
        <v>72</v>
      </c>
      <c r="N786" s="7">
        <f>SUMIF(Executions!B:B,A786,Executions!H:H)</f>
        <v>-9.6999999999999886</v>
      </c>
      <c r="O786" s="7">
        <f t="shared" si="292"/>
        <v>-0.88181818181818539</v>
      </c>
      <c r="P786" s="9">
        <f>Tabla1[[#This Row],[Initial Risk $]]/Tabla1[[#This Row],[Position Size (shares)]]+Tabla1[[#This Row],[Entry Price]]</f>
        <v>90.679999999999993</v>
      </c>
      <c r="Q786" s="9">
        <f>Tabla1[[#This Row],[Initial Risk $]]/Tabla1[[#This Row],[Position Size (shares)]]*1.5+Tabla1[[#This Row],[Entry Price]]</f>
        <v>91.22999999999999</v>
      </c>
      <c r="R786" s="9">
        <f>Tabla1[[#This Row],[Initial Risk $]]/Tabla1[[#This Row],[Position Size (shares)]]*2+Tabla1[[#This Row],[Entry Price]]</f>
        <v>91.779999999999987</v>
      </c>
      <c r="S786" s="9">
        <f>Tabla1[[#This Row],[Initial Risk $]]/Tabla1[[#This Row],[Position Size (shares)]]*2.5+Tabla1[[#This Row],[Entry Price]]</f>
        <v>92.329999999999984</v>
      </c>
      <c r="T786" s="9">
        <f>Tabla1[[#This Row],[Initial Risk $]]/Tabla1[[#This Row],[Position Size (shares)]]*3+Tabla1[[#This Row],[Entry Price]]</f>
        <v>92.879999999999981</v>
      </c>
    </row>
    <row r="787" spans="1:20" hidden="1" x14ac:dyDescent="0.25">
      <c r="A787" s="7" t="str">
        <f t="shared" si="289"/>
        <v>T-786</v>
      </c>
      <c r="B787" s="8">
        <v>46268</v>
      </c>
      <c r="C787" s="7" t="s">
        <v>428</v>
      </c>
      <c r="D787" s="7" t="s">
        <v>28</v>
      </c>
      <c r="E787" s="7" t="s">
        <v>52</v>
      </c>
      <c r="F787" s="7">
        <v>504.56</v>
      </c>
      <c r="G787" s="7">
        <v>495</v>
      </c>
      <c r="H787" s="9">
        <f>Tabla1[[#This Row],[Entry Price]]-(Tabla1[[#This Row],[Entry Price]]-Tabla1[[#This Row],[Initial Stop]])/2</f>
        <v>499.78</v>
      </c>
      <c r="I787" s="7">
        <v>1</v>
      </c>
      <c r="J787" s="7">
        <f t="shared" si="290"/>
        <v>9.5600000000000023</v>
      </c>
      <c r="K787" s="7">
        <v>1</v>
      </c>
      <c r="L787" s="7">
        <f t="shared" si="291"/>
        <v>9.5600000000000023</v>
      </c>
      <c r="M787" s="7" t="s">
        <v>72</v>
      </c>
      <c r="N787" s="7">
        <f>SUMIF(Executions!B:B,A787,Executions!H:H)</f>
        <v>17.890000000000043</v>
      </c>
      <c r="O787" s="7">
        <f t="shared" si="292"/>
        <v>1.8713389121338952</v>
      </c>
      <c r="P787" s="9">
        <f>Tabla1[[#This Row],[Initial Risk $]]/Tabla1[[#This Row],[Position Size (shares)]]+Tabla1[[#This Row],[Entry Price]]</f>
        <v>514.12</v>
      </c>
      <c r="Q787" s="9">
        <f>Tabla1[[#This Row],[Initial Risk $]]/Tabla1[[#This Row],[Position Size (shares)]]*1.5+Tabla1[[#This Row],[Entry Price]]</f>
        <v>518.9</v>
      </c>
      <c r="R787" s="9">
        <f>Tabla1[[#This Row],[Initial Risk $]]/Tabla1[[#This Row],[Position Size (shares)]]*2+Tabla1[[#This Row],[Entry Price]]</f>
        <v>523.68000000000006</v>
      </c>
      <c r="S787" s="9">
        <f>Tabla1[[#This Row],[Initial Risk $]]/Tabla1[[#This Row],[Position Size (shares)]]*2.5+Tabla1[[#This Row],[Entry Price]]</f>
        <v>528.46</v>
      </c>
      <c r="T787" s="9">
        <f>Tabla1[[#This Row],[Initial Risk $]]/Tabla1[[#This Row],[Position Size (shares)]]*3+Tabla1[[#This Row],[Entry Price]]</f>
        <v>533.24</v>
      </c>
    </row>
    <row r="788" spans="1:20" hidden="1" x14ac:dyDescent="0.25">
      <c r="A788" s="7" t="str">
        <f t="shared" si="289"/>
        <v>T-787</v>
      </c>
      <c r="B788" s="8">
        <v>46268</v>
      </c>
      <c r="C788" s="7" t="s">
        <v>179</v>
      </c>
      <c r="D788" s="7" t="s">
        <v>28</v>
      </c>
      <c r="E788" s="7" t="s">
        <v>51</v>
      </c>
      <c r="F788" s="7">
        <v>378.02</v>
      </c>
      <c r="G788" s="7">
        <v>363</v>
      </c>
      <c r="H788" s="9">
        <f>Tabla1[[#This Row],[Entry Price]]-(Tabla1[[#This Row],[Entry Price]]-Tabla1[[#This Row],[Initial Stop]])/2</f>
        <v>370.51</v>
      </c>
      <c r="I788" s="7">
        <v>2</v>
      </c>
      <c r="J788" s="7">
        <f t="shared" si="290"/>
        <v>30.039999999999964</v>
      </c>
      <c r="K788" s="7">
        <v>1</v>
      </c>
      <c r="L788" s="7">
        <f t="shared" si="291"/>
        <v>30.039999999999964</v>
      </c>
      <c r="M788" s="7" t="s">
        <v>72</v>
      </c>
      <c r="N788" s="7">
        <f>SUMIF(Executions!B:B,A788,Executions!H:H)</f>
        <v>-22.799999999999955</v>
      </c>
      <c r="O788" s="7">
        <f t="shared" si="292"/>
        <v>-0.75898801597869447</v>
      </c>
      <c r="P788" s="9">
        <f>Tabla1[[#This Row],[Initial Risk $]]/Tabla1[[#This Row],[Position Size (shares)]]+Tabla1[[#This Row],[Entry Price]]</f>
        <v>393.03999999999996</v>
      </c>
      <c r="Q788" s="9">
        <f>Tabla1[[#This Row],[Initial Risk $]]/Tabla1[[#This Row],[Position Size (shares)]]*1.5+Tabla1[[#This Row],[Entry Price]]</f>
        <v>400.54999999999995</v>
      </c>
      <c r="R788" s="9">
        <f>Tabla1[[#This Row],[Initial Risk $]]/Tabla1[[#This Row],[Position Size (shares)]]*2+Tabla1[[#This Row],[Entry Price]]</f>
        <v>408.05999999999995</v>
      </c>
      <c r="S788" s="9">
        <f>Tabla1[[#This Row],[Initial Risk $]]/Tabla1[[#This Row],[Position Size (shares)]]*2.5+Tabla1[[#This Row],[Entry Price]]</f>
        <v>415.56999999999994</v>
      </c>
      <c r="T788" s="9">
        <f>Tabla1[[#This Row],[Initial Risk $]]/Tabla1[[#This Row],[Position Size (shares)]]*3+Tabla1[[#This Row],[Entry Price]]</f>
        <v>423.07999999999993</v>
      </c>
    </row>
    <row r="789" spans="1:20" hidden="1" x14ac:dyDescent="0.25">
      <c r="A789" s="7" t="str">
        <f t="shared" si="289"/>
        <v>T-788</v>
      </c>
      <c r="B789" s="8">
        <v>46268</v>
      </c>
      <c r="C789" s="7" t="s">
        <v>294</v>
      </c>
      <c r="D789" s="7" t="s">
        <v>28</v>
      </c>
      <c r="E789" s="7" t="s">
        <v>52</v>
      </c>
      <c r="F789" s="7">
        <v>150.65</v>
      </c>
      <c r="G789" s="7">
        <v>148.13</v>
      </c>
      <c r="H789" s="9">
        <f>Tabla1[[#This Row],[Entry Price]]-(Tabla1[[#This Row],[Entry Price]]-Tabla1[[#This Row],[Initial Stop]])/2</f>
        <v>149.38999999999999</v>
      </c>
      <c r="I789" s="7">
        <v>5</v>
      </c>
      <c r="J789" s="7">
        <f t="shared" si="290"/>
        <v>12.600000000000051</v>
      </c>
      <c r="K789" s="7">
        <v>1</v>
      </c>
      <c r="L789" s="7">
        <f t="shared" si="291"/>
        <v>12.600000000000051</v>
      </c>
      <c r="M789" s="7" t="s">
        <v>72</v>
      </c>
      <c r="N789" s="7">
        <f>SUMIF(Executions!B:B,A789,Executions!H:H)</f>
        <v>13.55000000000004</v>
      </c>
      <c r="O789" s="7">
        <f t="shared" si="292"/>
        <v>1.0753968253968242</v>
      </c>
      <c r="P789" s="9">
        <f>Tabla1[[#This Row],[Initial Risk $]]/Tabla1[[#This Row],[Position Size (shares)]]+Tabla1[[#This Row],[Entry Price]]</f>
        <v>153.17000000000002</v>
      </c>
      <c r="Q789" s="9">
        <f>Tabla1[[#This Row],[Initial Risk $]]/Tabla1[[#This Row],[Position Size (shares)]]*1.5+Tabla1[[#This Row],[Entry Price]]</f>
        <v>154.43</v>
      </c>
      <c r="R789" s="9">
        <f>Tabla1[[#This Row],[Initial Risk $]]/Tabla1[[#This Row],[Position Size (shares)]]*2+Tabla1[[#This Row],[Entry Price]]</f>
        <v>155.69000000000003</v>
      </c>
      <c r="S789" s="9">
        <f>Tabla1[[#This Row],[Initial Risk $]]/Tabla1[[#This Row],[Position Size (shares)]]*2.5+Tabla1[[#This Row],[Entry Price]]</f>
        <v>156.95000000000005</v>
      </c>
      <c r="T789" s="9">
        <f>Tabla1[[#This Row],[Initial Risk $]]/Tabla1[[#This Row],[Position Size (shares)]]*3+Tabla1[[#This Row],[Entry Price]]</f>
        <v>158.21000000000004</v>
      </c>
    </row>
    <row r="790" spans="1:20" hidden="1" x14ac:dyDescent="0.25">
      <c r="A790" s="7" t="str">
        <f t="shared" si="289"/>
        <v>T-789</v>
      </c>
      <c r="B790" s="8">
        <v>46268</v>
      </c>
      <c r="C790" s="7" t="s">
        <v>161</v>
      </c>
      <c r="D790" s="7" t="s">
        <v>28</v>
      </c>
      <c r="E790" s="7" t="s">
        <v>52</v>
      </c>
      <c r="F790" s="7">
        <v>90.02</v>
      </c>
      <c r="G790" s="7">
        <v>88.85</v>
      </c>
      <c r="H790" s="9">
        <f>Tabla1[[#This Row],[Entry Price]]-(Tabla1[[#This Row],[Entry Price]]-Tabla1[[#This Row],[Initial Stop]])/2</f>
        <v>89.435000000000002</v>
      </c>
      <c r="I790" s="7">
        <v>8</v>
      </c>
      <c r="J790" s="7">
        <f t="shared" si="290"/>
        <v>9.3600000000000136</v>
      </c>
      <c r="K790" s="7">
        <v>1</v>
      </c>
      <c r="L790" s="7">
        <f t="shared" si="291"/>
        <v>9.3600000000000136</v>
      </c>
      <c r="M790" s="7" t="s">
        <v>72</v>
      </c>
      <c r="N790" s="7">
        <f>SUMIF(Executions!B:B,A790,Executions!H:H)</f>
        <v>16.560000000000059</v>
      </c>
      <c r="O790" s="7">
        <f t="shared" si="292"/>
        <v>1.7692307692307729</v>
      </c>
      <c r="P790" s="9">
        <f>Tabla1[[#This Row],[Initial Risk $]]/Tabla1[[#This Row],[Position Size (shares)]]+Tabla1[[#This Row],[Entry Price]]</f>
        <v>91.19</v>
      </c>
      <c r="Q790" s="9">
        <f>Tabla1[[#This Row],[Initial Risk $]]/Tabla1[[#This Row],[Position Size (shares)]]*1.5+Tabla1[[#This Row],[Entry Price]]</f>
        <v>91.775000000000006</v>
      </c>
      <c r="R790" s="9">
        <f>Tabla1[[#This Row],[Initial Risk $]]/Tabla1[[#This Row],[Position Size (shares)]]*2+Tabla1[[#This Row],[Entry Price]]</f>
        <v>92.36</v>
      </c>
      <c r="S790" s="9">
        <f>Tabla1[[#This Row],[Initial Risk $]]/Tabla1[[#This Row],[Position Size (shares)]]*2.5+Tabla1[[#This Row],[Entry Price]]</f>
        <v>92.944999999999993</v>
      </c>
      <c r="T790" s="9">
        <f>Tabla1[[#This Row],[Initial Risk $]]/Tabla1[[#This Row],[Position Size (shares)]]*3+Tabla1[[#This Row],[Entry Price]]</f>
        <v>93.53</v>
      </c>
    </row>
    <row r="791" spans="1:20" hidden="1" x14ac:dyDescent="0.25">
      <c r="A791" s="7" t="str">
        <f t="shared" si="289"/>
        <v>T-790</v>
      </c>
      <c r="B791" s="8">
        <v>46268</v>
      </c>
      <c r="C791" s="7" t="s">
        <v>225</v>
      </c>
      <c r="D791" s="7" t="s">
        <v>28</v>
      </c>
      <c r="E791" s="7" t="s">
        <v>119</v>
      </c>
      <c r="F791" s="7">
        <v>168.61</v>
      </c>
      <c r="G791" s="7">
        <v>165.96</v>
      </c>
      <c r="H791" s="9">
        <f>Tabla1[[#This Row],[Entry Price]]-(Tabla1[[#This Row],[Entry Price]]-Tabla1[[#This Row],[Initial Stop]])/2</f>
        <v>167.28500000000003</v>
      </c>
      <c r="I791" s="7">
        <v>5</v>
      </c>
      <c r="J791" s="7">
        <f t="shared" si="290"/>
        <v>13.250000000000028</v>
      </c>
      <c r="K791" s="7">
        <v>1</v>
      </c>
      <c r="L791" s="7">
        <f t="shared" si="291"/>
        <v>13.250000000000028</v>
      </c>
      <c r="M791" s="7" t="s">
        <v>72</v>
      </c>
      <c r="N791" s="7">
        <f>SUMIF(Executions!B:B,A791,Executions!H:H)</f>
        <v>4.6999999999999886</v>
      </c>
      <c r="O791" s="7">
        <f t="shared" si="292"/>
        <v>0.35471698113207384</v>
      </c>
      <c r="P791" s="9">
        <f>Tabla1[[#This Row],[Initial Risk $]]/Tabla1[[#This Row],[Position Size (shares)]]+Tabla1[[#This Row],[Entry Price]]</f>
        <v>171.26000000000002</v>
      </c>
      <c r="Q791" s="9">
        <f>Tabla1[[#This Row],[Initial Risk $]]/Tabla1[[#This Row],[Position Size (shares)]]*1.5+Tabla1[[#This Row],[Entry Price]]</f>
        <v>172.58500000000004</v>
      </c>
      <c r="R791" s="9">
        <f>Tabla1[[#This Row],[Initial Risk $]]/Tabla1[[#This Row],[Position Size (shares)]]*2+Tabla1[[#This Row],[Entry Price]]</f>
        <v>173.91000000000003</v>
      </c>
      <c r="S791" s="9">
        <f>Tabla1[[#This Row],[Initial Risk $]]/Tabla1[[#This Row],[Position Size (shares)]]*2.5+Tabla1[[#This Row],[Entry Price]]</f>
        <v>175.23500000000001</v>
      </c>
      <c r="T791" s="9">
        <f>Tabla1[[#This Row],[Initial Risk $]]/Tabla1[[#This Row],[Position Size (shares)]]*3+Tabla1[[#This Row],[Entry Price]]</f>
        <v>176.56000000000003</v>
      </c>
    </row>
    <row r="792" spans="1:20" hidden="1" x14ac:dyDescent="0.25">
      <c r="A792" s="7" t="str">
        <f t="shared" ref="A792:A799" si="293">"T-"&amp; TEXT(ROW()-1,"000")</f>
        <v>T-791</v>
      </c>
      <c r="B792" s="8">
        <v>46269</v>
      </c>
      <c r="C792" s="7" t="s">
        <v>1060</v>
      </c>
      <c r="D792" s="7" t="s">
        <v>28</v>
      </c>
      <c r="E792" s="7" t="s">
        <v>58</v>
      </c>
      <c r="F792" s="7">
        <v>310.85000000000002</v>
      </c>
      <c r="G792" s="7">
        <v>301.85000000000002</v>
      </c>
      <c r="H792" s="9">
        <f>Tabla1[[#This Row],[Entry Price]]-(Tabla1[[#This Row],[Entry Price]]-Tabla1[[#This Row],[Initial Stop]])/2</f>
        <v>306.35000000000002</v>
      </c>
      <c r="I792" s="7">
        <v>1</v>
      </c>
      <c r="J792" s="7">
        <f t="shared" ref="J792:J799" si="294">IF(D792="Long",(F792-G792)*I792,(G792-F792)*0)</f>
        <v>9</v>
      </c>
      <c r="K792" s="7">
        <v>1</v>
      </c>
      <c r="L792" s="7">
        <f t="shared" ref="L792:L799" si="295">J792*K792</f>
        <v>9</v>
      </c>
      <c r="M792" s="7" t="s">
        <v>72</v>
      </c>
      <c r="N792" s="7">
        <f>SUMIF(Executions!B:B,A792,Executions!H:H)</f>
        <v>5.5</v>
      </c>
      <c r="O792" s="7">
        <f t="shared" ref="O792:O799" si="296">N792/J792</f>
        <v>0.61111111111111116</v>
      </c>
      <c r="P792" s="9">
        <f>Tabla1[[#This Row],[Initial Risk $]]/Tabla1[[#This Row],[Position Size (shares)]]+Tabla1[[#This Row],[Entry Price]]</f>
        <v>319.85000000000002</v>
      </c>
      <c r="Q792" s="9">
        <f>Tabla1[[#This Row],[Initial Risk $]]/Tabla1[[#This Row],[Position Size (shares)]]*1.5+Tabla1[[#This Row],[Entry Price]]</f>
        <v>324.35000000000002</v>
      </c>
      <c r="R792" s="9">
        <f>Tabla1[[#This Row],[Initial Risk $]]/Tabla1[[#This Row],[Position Size (shares)]]*2+Tabla1[[#This Row],[Entry Price]]</f>
        <v>328.85</v>
      </c>
      <c r="S792" s="9">
        <f>Tabla1[[#This Row],[Initial Risk $]]/Tabla1[[#This Row],[Position Size (shares)]]*2.5+Tabla1[[#This Row],[Entry Price]]</f>
        <v>333.35</v>
      </c>
      <c r="T792" s="9">
        <f>Tabla1[[#This Row],[Initial Risk $]]/Tabla1[[#This Row],[Position Size (shares)]]*3+Tabla1[[#This Row],[Entry Price]]</f>
        <v>337.85</v>
      </c>
    </row>
    <row r="793" spans="1:20" hidden="1" x14ac:dyDescent="0.25">
      <c r="A793" s="7" t="str">
        <f t="shared" si="293"/>
        <v>T-792</v>
      </c>
      <c r="B793" s="8">
        <v>46269</v>
      </c>
      <c r="C793" s="7" t="s">
        <v>164</v>
      </c>
      <c r="D793" s="7" t="s">
        <v>28</v>
      </c>
      <c r="E793" s="7" t="s">
        <v>1068</v>
      </c>
      <c r="F793" s="7">
        <v>233.41</v>
      </c>
      <c r="G793" s="7">
        <v>230.41</v>
      </c>
      <c r="H793" s="9">
        <f>Tabla1[[#This Row],[Entry Price]]-(Tabla1[[#This Row],[Entry Price]]-Tabla1[[#This Row],[Initial Stop]])/2</f>
        <v>231.91</v>
      </c>
      <c r="I793" s="7">
        <v>4</v>
      </c>
      <c r="J793" s="7">
        <f t="shared" si="294"/>
        <v>12</v>
      </c>
      <c r="K793" s="7">
        <v>1</v>
      </c>
      <c r="L793" s="7">
        <f t="shared" si="295"/>
        <v>12</v>
      </c>
      <c r="M793" s="7" t="s">
        <v>72</v>
      </c>
      <c r="N793" s="7">
        <f>SUMIF(Executions!B:B,A793,Executions!H:H)</f>
        <v>-3.9600000000000364</v>
      </c>
      <c r="O793" s="7">
        <f t="shared" si="296"/>
        <v>-0.33000000000000301</v>
      </c>
      <c r="P793" s="9">
        <f>Tabla1[[#This Row],[Initial Risk $]]/Tabla1[[#This Row],[Position Size (shares)]]+Tabla1[[#This Row],[Entry Price]]</f>
        <v>236.41</v>
      </c>
      <c r="Q793" s="9">
        <f>Tabla1[[#This Row],[Initial Risk $]]/Tabla1[[#This Row],[Position Size (shares)]]*1.5+Tabla1[[#This Row],[Entry Price]]</f>
        <v>237.91</v>
      </c>
      <c r="R793" s="9">
        <f>Tabla1[[#This Row],[Initial Risk $]]/Tabla1[[#This Row],[Position Size (shares)]]*2+Tabla1[[#This Row],[Entry Price]]</f>
        <v>239.41</v>
      </c>
      <c r="S793" s="9">
        <f>Tabla1[[#This Row],[Initial Risk $]]/Tabla1[[#This Row],[Position Size (shares)]]*2.5+Tabla1[[#This Row],[Entry Price]]</f>
        <v>240.91</v>
      </c>
      <c r="T793" s="9">
        <f>Tabla1[[#This Row],[Initial Risk $]]/Tabla1[[#This Row],[Position Size (shares)]]*3+Tabla1[[#This Row],[Entry Price]]</f>
        <v>242.41</v>
      </c>
    </row>
    <row r="794" spans="1:20" hidden="1" x14ac:dyDescent="0.25">
      <c r="A794" s="7" t="str">
        <f t="shared" si="293"/>
        <v>T-793</v>
      </c>
      <c r="B794" s="8">
        <v>46269</v>
      </c>
      <c r="C794" s="7" t="s">
        <v>130</v>
      </c>
      <c r="D794" s="7" t="s">
        <v>28</v>
      </c>
      <c r="E794" s="7" t="s">
        <v>119</v>
      </c>
      <c r="F794" s="7">
        <v>469.19</v>
      </c>
      <c r="G794" s="7">
        <v>463.83</v>
      </c>
      <c r="H794" s="9">
        <f>Tabla1[[#This Row],[Entry Price]]-(Tabla1[[#This Row],[Entry Price]]-Tabla1[[#This Row],[Initial Stop]])/2</f>
        <v>466.51</v>
      </c>
      <c r="I794" s="7">
        <v>2</v>
      </c>
      <c r="J794" s="7">
        <f t="shared" si="294"/>
        <v>10.720000000000027</v>
      </c>
      <c r="K794" s="7">
        <v>1</v>
      </c>
      <c r="L794" s="7">
        <f t="shared" si="295"/>
        <v>10.720000000000027</v>
      </c>
      <c r="M794" s="7" t="s">
        <v>72</v>
      </c>
      <c r="N794" s="7">
        <f>SUMIF(Executions!B:B,A794,Executions!H:H)</f>
        <v>13.860000000000014</v>
      </c>
      <c r="O794" s="7">
        <f t="shared" si="296"/>
        <v>1.2929104477611919</v>
      </c>
      <c r="P794" s="9">
        <f>Tabla1[[#This Row],[Initial Risk $]]/Tabla1[[#This Row],[Position Size (shares)]]+Tabla1[[#This Row],[Entry Price]]</f>
        <v>474.55</v>
      </c>
      <c r="Q794" s="9">
        <f>Tabla1[[#This Row],[Initial Risk $]]/Tabla1[[#This Row],[Position Size (shares)]]*1.5+Tabla1[[#This Row],[Entry Price]]</f>
        <v>477.23</v>
      </c>
      <c r="R794" s="9">
        <f>Tabla1[[#This Row],[Initial Risk $]]/Tabla1[[#This Row],[Position Size (shares)]]*2+Tabla1[[#This Row],[Entry Price]]</f>
        <v>479.91</v>
      </c>
      <c r="S794" s="9">
        <f>Tabla1[[#This Row],[Initial Risk $]]/Tabla1[[#This Row],[Position Size (shares)]]*2.5+Tabla1[[#This Row],[Entry Price]]</f>
        <v>482.59000000000003</v>
      </c>
      <c r="T794" s="9">
        <f>Tabla1[[#This Row],[Initial Risk $]]/Tabla1[[#This Row],[Position Size (shares)]]*3+Tabla1[[#This Row],[Entry Price]]</f>
        <v>485.27000000000004</v>
      </c>
    </row>
    <row r="795" spans="1:20" hidden="1" x14ac:dyDescent="0.25">
      <c r="A795" s="7" t="str">
        <f t="shared" si="293"/>
        <v>T-794</v>
      </c>
      <c r="B795" s="8">
        <v>46269</v>
      </c>
      <c r="C795" s="7" t="s">
        <v>417</v>
      </c>
      <c r="D795" s="7" t="s">
        <v>28</v>
      </c>
      <c r="E795" s="7" t="s">
        <v>58</v>
      </c>
      <c r="F795" s="7">
        <v>313.49</v>
      </c>
      <c r="G795" s="7">
        <v>310.56</v>
      </c>
      <c r="H795" s="9">
        <f>Tabla1[[#This Row],[Entry Price]]-(Tabla1[[#This Row],[Entry Price]]-Tabla1[[#This Row],[Initial Stop]])/2</f>
        <v>312.02499999999998</v>
      </c>
      <c r="I795" s="7">
        <v>3</v>
      </c>
      <c r="J795" s="7">
        <f t="shared" si="294"/>
        <v>8.7900000000000205</v>
      </c>
      <c r="K795" s="7">
        <v>1</v>
      </c>
      <c r="L795" s="7">
        <f t="shared" si="295"/>
        <v>8.7900000000000205</v>
      </c>
      <c r="M795" s="7" t="s">
        <v>72</v>
      </c>
      <c r="N795" s="7">
        <f>SUMIF(Executions!B:B,A795,Executions!H:H)</f>
        <v>27.309999999999945</v>
      </c>
      <c r="O795" s="7">
        <f t="shared" si="296"/>
        <v>3.1069397042093154</v>
      </c>
      <c r="P795" s="9">
        <f>Tabla1[[#This Row],[Initial Risk $]]/Tabla1[[#This Row],[Position Size (shares)]]+Tabla1[[#This Row],[Entry Price]]</f>
        <v>316.42</v>
      </c>
      <c r="Q795" s="9">
        <f>Tabla1[[#This Row],[Initial Risk $]]/Tabla1[[#This Row],[Position Size (shares)]]*1.5+Tabla1[[#This Row],[Entry Price]]</f>
        <v>317.88499999999999</v>
      </c>
      <c r="R795" s="9">
        <f>Tabla1[[#This Row],[Initial Risk $]]/Tabla1[[#This Row],[Position Size (shares)]]*2+Tabla1[[#This Row],[Entry Price]]</f>
        <v>319.35000000000002</v>
      </c>
      <c r="S795" s="9">
        <f>Tabla1[[#This Row],[Initial Risk $]]/Tabla1[[#This Row],[Position Size (shares)]]*2.5+Tabla1[[#This Row],[Entry Price]]</f>
        <v>320.81500000000005</v>
      </c>
      <c r="T795" s="9">
        <f>Tabla1[[#This Row],[Initial Risk $]]/Tabla1[[#This Row],[Position Size (shares)]]*3+Tabla1[[#This Row],[Entry Price]]</f>
        <v>322.28000000000003</v>
      </c>
    </row>
    <row r="796" spans="1:20" hidden="1" x14ac:dyDescent="0.25">
      <c r="A796" s="7" t="str">
        <f t="shared" si="293"/>
        <v>T-795</v>
      </c>
      <c r="B796" s="8">
        <v>46269</v>
      </c>
      <c r="C796" s="7" t="s">
        <v>279</v>
      </c>
      <c r="D796" s="7" t="s">
        <v>28</v>
      </c>
      <c r="E796" s="7" t="s">
        <v>58</v>
      </c>
      <c r="F796" s="7">
        <v>1000.17</v>
      </c>
      <c r="G796" s="7">
        <v>986</v>
      </c>
      <c r="H796" s="9">
        <f>Tabla1[[#This Row],[Entry Price]]-(Tabla1[[#This Row],[Entry Price]]-Tabla1[[#This Row],[Initial Stop]])/2</f>
        <v>993.08500000000004</v>
      </c>
      <c r="I796" s="7">
        <v>1</v>
      </c>
      <c r="J796" s="7">
        <f t="shared" si="294"/>
        <v>14.169999999999959</v>
      </c>
      <c r="K796" s="7">
        <v>1</v>
      </c>
      <c r="L796" s="7">
        <f t="shared" si="295"/>
        <v>14.169999999999959</v>
      </c>
      <c r="M796" s="7" t="s">
        <v>72</v>
      </c>
      <c r="N796" s="7">
        <f>SUMIF(Executions!B:B,A796,Executions!H:H)</f>
        <v>3.2700000000000955</v>
      </c>
      <c r="O796" s="7">
        <f t="shared" si="296"/>
        <v>0.23076923076923817</v>
      </c>
      <c r="P796" s="9">
        <f>Tabla1[[#This Row],[Initial Risk $]]/Tabla1[[#This Row],[Position Size (shares)]]+Tabla1[[#This Row],[Entry Price]]</f>
        <v>1014.3399999999999</v>
      </c>
      <c r="Q796" s="9">
        <f>Tabla1[[#This Row],[Initial Risk $]]/Tabla1[[#This Row],[Position Size (shares)]]*1.5+Tabla1[[#This Row],[Entry Price]]</f>
        <v>1021.425</v>
      </c>
      <c r="R796" s="9">
        <f>Tabla1[[#This Row],[Initial Risk $]]/Tabla1[[#This Row],[Position Size (shares)]]*2+Tabla1[[#This Row],[Entry Price]]</f>
        <v>1028.5099999999998</v>
      </c>
      <c r="S796" s="9">
        <f>Tabla1[[#This Row],[Initial Risk $]]/Tabla1[[#This Row],[Position Size (shares)]]*2.5+Tabla1[[#This Row],[Entry Price]]</f>
        <v>1035.5949999999998</v>
      </c>
      <c r="T796" s="9">
        <f>Tabla1[[#This Row],[Initial Risk $]]/Tabla1[[#This Row],[Position Size (shares)]]*3+Tabla1[[#This Row],[Entry Price]]</f>
        <v>1042.6799999999998</v>
      </c>
    </row>
    <row r="797" spans="1:20" hidden="1" x14ac:dyDescent="0.25">
      <c r="A797" s="7" t="str">
        <f t="shared" si="293"/>
        <v>T-796</v>
      </c>
      <c r="B797" s="8">
        <v>46269</v>
      </c>
      <c r="C797" s="7" t="s">
        <v>225</v>
      </c>
      <c r="D797" s="7" t="s">
        <v>28</v>
      </c>
      <c r="E797" s="7" t="s">
        <v>1068</v>
      </c>
      <c r="F797" s="7">
        <v>170.5</v>
      </c>
      <c r="G797" s="7">
        <v>169.15</v>
      </c>
      <c r="H797" s="9">
        <f>Tabla1[[#This Row],[Entry Price]]-(Tabla1[[#This Row],[Entry Price]]-Tabla1[[#This Row],[Initial Stop]])/2</f>
        <v>169.82499999999999</v>
      </c>
      <c r="I797" s="7">
        <v>8</v>
      </c>
      <c r="J797" s="7">
        <f t="shared" si="294"/>
        <v>10.799999999999955</v>
      </c>
      <c r="K797" s="7">
        <v>1</v>
      </c>
      <c r="L797" s="7">
        <f t="shared" si="295"/>
        <v>10.799999999999955</v>
      </c>
      <c r="M797" s="7" t="s">
        <v>72</v>
      </c>
      <c r="N797" s="7">
        <f>SUMIF(Executions!B:B,A797,Executions!H:H)</f>
        <v>-11.599999999999909</v>
      </c>
      <c r="O797" s="7">
        <f t="shared" si="296"/>
        <v>-1.0740740740740702</v>
      </c>
      <c r="P797" s="9">
        <f>Tabla1[[#This Row],[Initial Risk $]]/Tabla1[[#This Row],[Position Size (shares)]]+Tabla1[[#This Row],[Entry Price]]</f>
        <v>171.85</v>
      </c>
      <c r="Q797" s="9">
        <f>Tabla1[[#This Row],[Initial Risk $]]/Tabla1[[#This Row],[Position Size (shares)]]*1.5+Tabla1[[#This Row],[Entry Price]]</f>
        <v>172.52499999999998</v>
      </c>
      <c r="R797" s="9">
        <f>Tabla1[[#This Row],[Initial Risk $]]/Tabla1[[#This Row],[Position Size (shares)]]*2+Tabla1[[#This Row],[Entry Price]]</f>
        <v>173.2</v>
      </c>
      <c r="S797" s="9">
        <f>Tabla1[[#This Row],[Initial Risk $]]/Tabla1[[#This Row],[Position Size (shares)]]*2.5+Tabla1[[#This Row],[Entry Price]]</f>
        <v>173.875</v>
      </c>
      <c r="T797" s="9">
        <f>Tabla1[[#This Row],[Initial Risk $]]/Tabla1[[#This Row],[Position Size (shares)]]*3+Tabla1[[#This Row],[Entry Price]]</f>
        <v>174.54999999999998</v>
      </c>
    </row>
    <row r="798" spans="1:20" hidden="1" x14ac:dyDescent="0.25">
      <c r="A798" s="7" t="str">
        <f t="shared" si="293"/>
        <v>T-797</v>
      </c>
      <c r="B798" s="8">
        <v>46269</v>
      </c>
      <c r="C798" s="7" t="s">
        <v>428</v>
      </c>
      <c r="D798" s="7" t="s">
        <v>28</v>
      </c>
      <c r="E798" s="7" t="s">
        <v>1068</v>
      </c>
      <c r="F798" s="7">
        <v>525.71</v>
      </c>
      <c r="G798" s="7">
        <v>521.49</v>
      </c>
      <c r="H798" s="9">
        <f>Tabla1[[#This Row],[Entry Price]]-(Tabla1[[#This Row],[Entry Price]]-Tabla1[[#This Row],[Initial Stop]])/2</f>
        <v>523.6</v>
      </c>
      <c r="I798" s="7">
        <v>2</v>
      </c>
      <c r="J798" s="7">
        <f t="shared" si="294"/>
        <v>8.4400000000000546</v>
      </c>
      <c r="K798" s="7">
        <v>1</v>
      </c>
      <c r="L798" s="7">
        <f t="shared" si="295"/>
        <v>8.4400000000000546</v>
      </c>
      <c r="M798" s="7" t="s">
        <v>72</v>
      </c>
      <c r="N798" s="7">
        <f>SUMIF(Executions!B:B,A798,Executions!H:H)</f>
        <v>-1.7000000000000455</v>
      </c>
      <c r="O798" s="7">
        <f t="shared" si="296"/>
        <v>-0.20142180094787138</v>
      </c>
      <c r="P798" s="9">
        <f>Tabla1[[#This Row],[Initial Risk $]]/Tabla1[[#This Row],[Position Size (shares)]]+Tabla1[[#This Row],[Entry Price]]</f>
        <v>529.93000000000006</v>
      </c>
      <c r="Q798" s="9">
        <f>Tabla1[[#This Row],[Initial Risk $]]/Tabla1[[#This Row],[Position Size (shares)]]*1.5+Tabla1[[#This Row],[Entry Price]]</f>
        <v>532.04000000000008</v>
      </c>
      <c r="R798" s="9">
        <f>Tabla1[[#This Row],[Initial Risk $]]/Tabla1[[#This Row],[Position Size (shares)]]*2+Tabla1[[#This Row],[Entry Price]]</f>
        <v>534.15000000000009</v>
      </c>
      <c r="S798" s="9">
        <f>Tabla1[[#This Row],[Initial Risk $]]/Tabla1[[#This Row],[Position Size (shares)]]*2.5+Tabla1[[#This Row],[Entry Price]]</f>
        <v>536.2600000000001</v>
      </c>
      <c r="T798" s="9">
        <f>Tabla1[[#This Row],[Initial Risk $]]/Tabla1[[#This Row],[Position Size (shares)]]*3+Tabla1[[#This Row],[Entry Price]]</f>
        <v>538.37000000000012</v>
      </c>
    </row>
    <row r="799" spans="1:20" hidden="1" x14ac:dyDescent="0.25">
      <c r="A799" s="7" t="str">
        <f t="shared" si="293"/>
        <v>T-798</v>
      </c>
      <c r="B799" s="8">
        <v>46269</v>
      </c>
      <c r="C799" s="7" t="s">
        <v>294</v>
      </c>
      <c r="D799" s="7" t="s">
        <v>28</v>
      </c>
      <c r="E799" s="7" t="s">
        <v>1068</v>
      </c>
      <c r="F799" s="7">
        <v>158.74</v>
      </c>
      <c r="G799" s="7">
        <v>157.32</v>
      </c>
      <c r="H799" s="9">
        <f>Tabla1[[#This Row],[Entry Price]]-(Tabla1[[#This Row],[Entry Price]]-Tabla1[[#This Row],[Initial Stop]])/2</f>
        <v>158.03</v>
      </c>
      <c r="I799" s="7">
        <v>5</v>
      </c>
      <c r="J799" s="7">
        <f t="shared" si="294"/>
        <v>7.1000000000000796</v>
      </c>
      <c r="K799" s="7">
        <v>1</v>
      </c>
      <c r="L799" s="7">
        <f t="shared" si="295"/>
        <v>7.1000000000000796</v>
      </c>
      <c r="M799" s="7" t="s">
        <v>72</v>
      </c>
      <c r="N799" s="7">
        <f>SUMIF(Executions!B:B,A799,Executions!H:H)</f>
        <v>-7.0499999999999829</v>
      </c>
      <c r="O799" s="7">
        <f t="shared" si="296"/>
        <v>-0.9929577464788597</v>
      </c>
      <c r="P799" s="9">
        <f>Tabla1[[#This Row],[Initial Risk $]]/Tabla1[[#This Row],[Position Size (shares)]]+Tabla1[[#This Row],[Entry Price]]</f>
        <v>160.16000000000003</v>
      </c>
      <c r="Q799" s="9">
        <f>Tabla1[[#This Row],[Initial Risk $]]/Tabla1[[#This Row],[Position Size (shares)]]*1.5+Tabla1[[#This Row],[Entry Price]]</f>
        <v>160.87000000000003</v>
      </c>
      <c r="R799" s="9">
        <f>Tabla1[[#This Row],[Initial Risk $]]/Tabla1[[#This Row],[Position Size (shares)]]*2+Tabla1[[#This Row],[Entry Price]]</f>
        <v>161.58000000000004</v>
      </c>
      <c r="S799" s="9">
        <f>Tabla1[[#This Row],[Initial Risk $]]/Tabla1[[#This Row],[Position Size (shares)]]*2.5+Tabla1[[#This Row],[Entry Price]]</f>
        <v>162.29000000000005</v>
      </c>
      <c r="T799" s="9">
        <f>Tabla1[[#This Row],[Initial Risk $]]/Tabla1[[#This Row],[Position Size (shares)]]*3+Tabla1[[#This Row],[Entry Price]]</f>
        <v>163.00000000000006</v>
      </c>
    </row>
    <row r="800" spans="1:20" hidden="1" x14ac:dyDescent="0.25">
      <c r="A800" s="7" t="str">
        <f t="shared" ref="A800:A808" si="297">"T-"&amp; TEXT(ROW()-1,"000")</f>
        <v>T-799</v>
      </c>
      <c r="B800" s="8">
        <v>46273</v>
      </c>
      <c r="C800" s="7" t="s">
        <v>294</v>
      </c>
      <c r="D800" s="7" t="s">
        <v>28</v>
      </c>
      <c r="E800" s="7" t="s">
        <v>58</v>
      </c>
      <c r="F800" s="7">
        <v>168.08</v>
      </c>
      <c r="G800" s="7">
        <v>166.29</v>
      </c>
      <c r="H800" s="9">
        <f>Tabla1[[#This Row],[Entry Price]]-(Tabla1[[#This Row],[Entry Price]]-Tabla1[[#This Row],[Initial Stop]])/2</f>
        <v>167.185</v>
      </c>
      <c r="I800" s="7">
        <v>5</v>
      </c>
      <c r="J800" s="7">
        <f t="shared" ref="J800:J808" si="298">IF(D800="Long",(F800-G800)*I800,(G800-F800)*0)</f>
        <v>8.9500000000001023</v>
      </c>
      <c r="K800" s="7">
        <v>1</v>
      </c>
      <c r="L800" s="7">
        <f t="shared" ref="L800:L808" si="299">J800*K800</f>
        <v>8.9500000000001023</v>
      </c>
      <c r="M800" s="7" t="s">
        <v>72</v>
      </c>
      <c r="N800" s="7">
        <f>SUMIF(Executions!B:B,A800,Executions!H:H)</f>
        <v>-9.3000000000000682</v>
      </c>
      <c r="O800" s="7">
        <f t="shared" ref="O800:O808" si="300">N800/J800</f>
        <v>-1.0391061452513923</v>
      </c>
      <c r="P800" s="9">
        <f>Tabla1[[#This Row],[Initial Risk $]]/Tabla1[[#This Row],[Position Size (shares)]]+Tabla1[[#This Row],[Entry Price]]</f>
        <v>169.87000000000003</v>
      </c>
      <c r="Q800" s="9">
        <f>Tabla1[[#This Row],[Initial Risk $]]/Tabla1[[#This Row],[Position Size (shares)]]*1.5+Tabla1[[#This Row],[Entry Price]]</f>
        <v>170.76500000000004</v>
      </c>
      <c r="R800" s="9">
        <f>Tabla1[[#This Row],[Initial Risk $]]/Tabla1[[#This Row],[Position Size (shares)]]*2+Tabla1[[#This Row],[Entry Price]]</f>
        <v>171.66000000000005</v>
      </c>
      <c r="S800" s="9">
        <f>Tabla1[[#This Row],[Initial Risk $]]/Tabla1[[#This Row],[Position Size (shares)]]*2.5+Tabla1[[#This Row],[Entry Price]]</f>
        <v>172.55500000000006</v>
      </c>
      <c r="T800" s="9">
        <f>Tabla1[[#This Row],[Initial Risk $]]/Tabla1[[#This Row],[Position Size (shares)]]*3+Tabla1[[#This Row],[Entry Price]]</f>
        <v>173.45000000000007</v>
      </c>
    </row>
    <row r="801" spans="1:20" hidden="1" x14ac:dyDescent="0.25">
      <c r="A801" s="7" t="str">
        <f t="shared" si="297"/>
        <v>T-800</v>
      </c>
      <c r="B801" s="8">
        <v>46273</v>
      </c>
      <c r="C801" s="7" t="s">
        <v>279</v>
      </c>
      <c r="D801" s="7" t="s">
        <v>28</v>
      </c>
      <c r="E801" s="7" t="s">
        <v>27</v>
      </c>
      <c r="F801" s="7">
        <v>1026.1199999999999</v>
      </c>
      <c r="G801" s="7">
        <v>1006</v>
      </c>
      <c r="H801" s="9">
        <f>Tabla1[[#This Row],[Entry Price]]-(Tabla1[[#This Row],[Entry Price]]-Tabla1[[#This Row],[Initial Stop]])/2</f>
        <v>1016.06</v>
      </c>
      <c r="I801" s="7">
        <v>1</v>
      </c>
      <c r="J801" s="7">
        <f t="shared" si="298"/>
        <v>20.119999999999891</v>
      </c>
      <c r="K801" s="7">
        <v>1</v>
      </c>
      <c r="L801" s="7">
        <f t="shared" si="299"/>
        <v>20.119999999999891</v>
      </c>
      <c r="M801" s="7" t="s">
        <v>72</v>
      </c>
      <c r="N801" s="7">
        <f>SUMIF(Executions!B:B,A801,Executions!H:H)</f>
        <v>-11.819999999999936</v>
      </c>
      <c r="O801" s="7">
        <f t="shared" si="300"/>
        <v>-0.5874751491053678</v>
      </c>
      <c r="P801" s="9">
        <f>Tabla1[[#This Row],[Initial Risk $]]/Tabla1[[#This Row],[Position Size (shares)]]+Tabla1[[#This Row],[Entry Price]]</f>
        <v>1046.2399999999998</v>
      </c>
      <c r="Q801" s="9">
        <f>Tabla1[[#This Row],[Initial Risk $]]/Tabla1[[#This Row],[Position Size (shares)]]*1.5+Tabla1[[#This Row],[Entry Price]]</f>
        <v>1056.2999999999997</v>
      </c>
      <c r="R801" s="9">
        <f>Tabla1[[#This Row],[Initial Risk $]]/Tabla1[[#This Row],[Position Size (shares)]]*2+Tabla1[[#This Row],[Entry Price]]</f>
        <v>1066.3599999999997</v>
      </c>
      <c r="S801" s="9">
        <f>Tabla1[[#This Row],[Initial Risk $]]/Tabla1[[#This Row],[Position Size (shares)]]*2.5+Tabla1[[#This Row],[Entry Price]]</f>
        <v>1076.4199999999996</v>
      </c>
      <c r="T801" s="9">
        <f>Tabla1[[#This Row],[Initial Risk $]]/Tabla1[[#This Row],[Position Size (shares)]]*3+Tabla1[[#This Row],[Entry Price]]</f>
        <v>1086.4799999999996</v>
      </c>
    </row>
    <row r="802" spans="1:20" hidden="1" x14ac:dyDescent="0.25">
      <c r="A802" s="7" t="str">
        <f t="shared" si="297"/>
        <v>T-801</v>
      </c>
      <c r="B802" s="8">
        <v>46273</v>
      </c>
      <c r="C802" s="7" t="s">
        <v>130</v>
      </c>
      <c r="D802" s="7" t="s">
        <v>28</v>
      </c>
      <c r="E802" s="7" t="s">
        <v>58</v>
      </c>
      <c r="F802" s="7">
        <v>493</v>
      </c>
      <c r="G802" s="7">
        <v>487</v>
      </c>
      <c r="H802" s="9">
        <f>Tabla1[[#This Row],[Entry Price]]-(Tabla1[[#This Row],[Entry Price]]-Tabla1[[#This Row],[Initial Stop]])/2</f>
        <v>490</v>
      </c>
      <c r="I802" s="7">
        <v>2</v>
      </c>
      <c r="J802" s="7">
        <f t="shared" si="298"/>
        <v>12</v>
      </c>
      <c r="K802" s="7">
        <v>1</v>
      </c>
      <c r="L802" s="7">
        <f t="shared" si="299"/>
        <v>12</v>
      </c>
      <c r="M802" s="7" t="s">
        <v>72</v>
      </c>
      <c r="N802" s="7">
        <f>SUMIF(Executions!B:B,A802,Executions!H:H)</f>
        <v>-12.600000000000023</v>
      </c>
      <c r="O802" s="7">
        <f t="shared" si="300"/>
        <v>-1.0500000000000018</v>
      </c>
      <c r="P802" s="9">
        <f>Tabla1[[#This Row],[Initial Risk $]]/Tabla1[[#This Row],[Position Size (shares)]]+Tabla1[[#This Row],[Entry Price]]</f>
        <v>499</v>
      </c>
      <c r="Q802" s="9">
        <f>Tabla1[[#This Row],[Initial Risk $]]/Tabla1[[#This Row],[Position Size (shares)]]*1.5+Tabla1[[#This Row],[Entry Price]]</f>
        <v>502</v>
      </c>
      <c r="R802" s="9">
        <f>Tabla1[[#This Row],[Initial Risk $]]/Tabla1[[#This Row],[Position Size (shares)]]*2+Tabla1[[#This Row],[Entry Price]]</f>
        <v>505</v>
      </c>
      <c r="S802" s="9">
        <f>Tabla1[[#This Row],[Initial Risk $]]/Tabla1[[#This Row],[Position Size (shares)]]*2.5+Tabla1[[#This Row],[Entry Price]]</f>
        <v>508</v>
      </c>
      <c r="T802" s="9">
        <f>Tabla1[[#This Row],[Initial Risk $]]/Tabla1[[#This Row],[Position Size (shares)]]*3+Tabla1[[#This Row],[Entry Price]]</f>
        <v>511</v>
      </c>
    </row>
    <row r="803" spans="1:20" hidden="1" x14ac:dyDescent="0.25">
      <c r="A803" s="7" t="str">
        <f t="shared" si="297"/>
        <v>T-802</v>
      </c>
      <c r="B803" s="8">
        <v>46273</v>
      </c>
      <c r="C803" s="7" t="s">
        <v>494</v>
      </c>
      <c r="D803" s="7" t="s">
        <v>28</v>
      </c>
      <c r="E803" s="7" t="s">
        <v>119</v>
      </c>
      <c r="F803" s="7">
        <v>618.98</v>
      </c>
      <c r="G803" s="7">
        <v>613.21</v>
      </c>
      <c r="H803" s="9">
        <f>Tabla1[[#This Row],[Entry Price]]-(Tabla1[[#This Row],[Entry Price]]-Tabla1[[#This Row],[Initial Stop]])/2</f>
        <v>616.09500000000003</v>
      </c>
      <c r="I803" s="7">
        <v>2</v>
      </c>
      <c r="J803" s="7">
        <f t="shared" si="298"/>
        <v>11.539999999999964</v>
      </c>
      <c r="K803" s="7">
        <v>1</v>
      </c>
      <c r="L803" s="7">
        <f t="shared" si="299"/>
        <v>11.539999999999964</v>
      </c>
      <c r="M803" s="7" t="s">
        <v>72</v>
      </c>
      <c r="N803" s="7">
        <f>SUMIF(Executions!B:B,A803,Executions!H:H)</f>
        <v>-6.2000000000000455</v>
      </c>
      <c r="O803" s="7">
        <f t="shared" si="300"/>
        <v>-0.53726169844021365</v>
      </c>
      <c r="P803" s="9">
        <f>Tabla1[[#This Row],[Initial Risk $]]/Tabla1[[#This Row],[Position Size (shares)]]+Tabla1[[#This Row],[Entry Price]]</f>
        <v>624.75</v>
      </c>
      <c r="Q803" s="9">
        <f>Tabla1[[#This Row],[Initial Risk $]]/Tabla1[[#This Row],[Position Size (shares)]]*1.5+Tabla1[[#This Row],[Entry Price]]</f>
        <v>627.63499999999999</v>
      </c>
      <c r="R803" s="9">
        <f>Tabla1[[#This Row],[Initial Risk $]]/Tabla1[[#This Row],[Position Size (shares)]]*2+Tabla1[[#This Row],[Entry Price]]</f>
        <v>630.52</v>
      </c>
      <c r="S803" s="9">
        <f>Tabla1[[#This Row],[Initial Risk $]]/Tabla1[[#This Row],[Position Size (shares)]]*2.5+Tabla1[[#This Row],[Entry Price]]</f>
        <v>633.40499999999997</v>
      </c>
      <c r="T803" s="9">
        <f>Tabla1[[#This Row],[Initial Risk $]]/Tabla1[[#This Row],[Position Size (shares)]]*3+Tabla1[[#This Row],[Entry Price]]</f>
        <v>636.29</v>
      </c>
    </row>
    <row r="804" spans="1:20" hidden="1" x14ac:dyDescent="0.25">
      <c r="A804" s="7" t="str">
        <f t="shared" si="297"/>
        <v>T-803</v>
      </c>
      <c r="B804" s="8">
        <v>46273</v>
      </c>
      <c r="C804" s="7" t="s">
        <v>417</v>
      </c>
      <c r="D804" s="7" t="s">
        <v>28</v>
      </c>
      <c r="E804" s="7" t="s">
        <v>27</v>
      </c>
      <c r="F804" s="7">
        <v>314.25</v>
      </c>
      <c r="G804" s="7">
        <v>311.25</v>
      </c>
      <c r="H804" s="9">
        <f>Tabla1[[#This Row],[Entry Price]]-(Tabla1[[#This Row],[Entry Price]]-Tabla1[[#This Row],[Initial Stop]])/2</f>
        <v>312.75</v>
      </c>
      <c r="I804" s="7">
        <v>2</v>
      </c>
      <c r="J804" s="7">
        <f t="shared" si="298"/>
        <v>6</v>
      </c>
      <c r="K804" s="7">
        <v>1</v>
      </c>
      <c r="L804" s="7">
        <f t="shared" si="299"/>
        <v>6</v>
      </c>
      <c r="M804" s="7" t="s">
        <v>72</v>
      </c>
      <c r="N804" s="7">
        <f>SUMIF(Executions!B:B,A804,Executions!H:H)</f>
        <v>-5.5</v>
      </c>
      <c r="O804" s="7">
        <f t="shared" si="300"/>
        <v>-0.91666666666666663</v>
      </c>
      <c r="P804" s="9">
        <f>Tabla1[[#This Row],[Initial Risk $]]/Tabla1[[#This Row],[Position Size (shares)]]+Tabla1[[#This Row],[Entry Price]]</f>
        <v>317.25</v>
      </c>
      <c r="Q804" s="9">
        <f>Tabla1[[#This Row],[Initial Risk $]]/Tabla1[[#This Row],[Position Size (shares)]]*1.5+Tabla1[[#This Row],[Entry Price]]</f>
        <v>318.75</v>
      </c>
      <c r="R804" s="9">
        <f>Tabla1[[#This Row],[Initial Risk $]]/Tabla1[[#This Row],[Position Size (shares)]]*2+Tabla1[[#This Row],[Entry Price]]</f>
        <v>320.25</v>
      </c>
      <c r="S804" s="9">
        <f>Tabla1[[#This Row],[Initial Risk $]]/Tabla1[[#This Row],[Position Size (shares)]]*2.5+Tabla1[[#This Row],[Entry Price]]</f>
        <v>321.75</v>
      </c>
      <c r="T804" s="9">
        <f>Tabla1[[#This Row],[Initial Risk $]]/Tabla1[[#This Row],[Position Size (shares)]]*3+Tabla1[[#This Row],[Entry Price]]</f>
        <v>323.25</v>
      </c>
    </row>
    <row r="805" spans="1:20" hidden="1" x14ac:dyDescent="0.25">
      <c r="A805" s="7" t="str">
        <f t="shared" si="297"/>
        <v>T-804</v>
      </c>
      <c r="B805" s="8">
        <v>46273</v>
      </c>
      <c r="C805" s="7" t="s">
        <v>428</v>
      </c>
      <c r="D805" s="7" t="s">
        <v>28</v>
      </c>
      <c r="E805" s="7" t="s">
        <v>27</v>
      </c>
      <c r="F805" s="7">
        <v>520.29</v>
      </c>
      <c r="G805" s="7">
        <v>515.79</v>
      </c>
      <c r="H805" s="9">
        <f>Tabla1[[#This Row],[Entry Price]]-(Tabla1[[#This Row],[Entry Price]]-Tabla1[[#This Row],[Initial Stop]])/2</f>
        <v>518.04</v>
      </c>
      <c r="I805" s="7">
        <v>2</v>
      </c>
      <c r="J805" s="7">
        <f t="shared" si="298"/>
        <v>9</v>
      </c>
      <c r="K805" s="7">
        <v>1</v>
      </c>
      <c r="L805" s="7">
        <f t="shared" si="299"/>
        <v>9</v>
      </c>
      <c r="M805" s="7" t="s">
        <v>72</v>
      </c>
      <c r="N805" s="7">
        <f>SUMIF(Executions!B:B,A805,Executions!H:H)</f>
        <v>24.160000000000082</v>
      </c>
      <c r="O805" s="7">
        <f t="shared" si="300"/>
        <v>2.6844444444444537</v>
      </c>
      <c r="P805" s="9">
        <f>Tabla1[[#This Row],[Initial Risk $]]/Tabla1[[#This Row],[Position Size (shares)]]+Tabla1[[#This Row],[Entry Price]]</f>
        <v>524.79</v>
      </c>
      <c r="Q805" s="9">
        <f>Tabla1[[#This Row],[Initial Risk $]]/Tabla1[[#This Row],[Position Size (shares)]]*1.5+Tabla1[[#This Row],[Entry Price]]</f>
        <v>527.04</v>
      </c>
      <c r="R805" s="9">
        <f>Tabla1[[#This Row],[Initial Risk $]]/Tabla1[[#This Row],[Position Size (shares)]]*2+Tabla1[[#This Row],[Entry Price]]</f>
        <v>529.29</v>
      </c>
      <c r="S805" s="9">
        <f>Tabla1[[#This Row],[Initial Risk $]]/Tabla1[[#This Row],[Position Size (shares)]]*2.5+Tabla1[[#This Row],[Entry Price]]</f>
        <v>531.54</v>
      </c>
      <c r="T805" s="9">
        <f>Tabla1[[#This Row],[Initial Risk $]]/Tabla1[[#This Row],[Position Size (shares)]]*3+Tabla1[[#This Row],[Entry Price]]</f>
        <v>533.79</v>
      </c>
    </row>
    <row r="806" spans="1:20" hidden="1" x14ac:dyDescent="0.25">
      <c r="A806" s="7" t="str">
        <f t="shared" si="297"/>
        <v>T-805</v>
      </c>
      <c r="B806" s="8">
        <v>46273</v>
      </c>
      <c r="C806" s="7" t="s">
        <v>161</v>
      </c>
      <c r="D806" s="7" t="s">
        <v>28</v>
      </c>
      <c r="E806" s="7" t="s">
        <v>119</v>
      </c>
      <c r="F806" s="7">
        <v>101.41</v>
      </c>
      <c r="G806" s="7">
        <v>100.32</v>
      </c>
      <c r="H806" s="9">
        <f>Tabla1[[#This Row],[Entry Price]]-(Tabla1[[#This Row],[Entry Price]]-Tabla1[[#This Row],[Initial Stop]])/2</f>
        <v>100.86499999999999</v>
      </c>
      <c r="I806" s="7">
        <v>10</v>
      </c>
      <c r="J806" s="7">
        <f t="shared" si="298"/>
        <v>10.900000000000034</v>
      </c>
      <c r="K806" s="7">
        <v>1</v>
      </c>
      <c r="L806" s="7">
        <f t="shared" si="299"/>
        <v>10.900000000000034</v>
      </c>
      <c r="M806" s="7" t="s">
        <v>72</v>
      </c>
      <c r="N806" s="7">
        <f>SUMIF(Executions!B:B,A806,Executions!H:H)</f>
        <v>32.20000000000006</v>
      </c>
      <c r="O806" s="7">
        <f t="shared" si="300"/>
        <v>2.9541284403669685</v>
      </c>
      <c r="P806" s="9">
        <f>Tabla1[[#This Row],[Initial Risk $]]/Tabla1[[#This Row],[Position Size (shares)]]+Tabla1[[#This Row],[Entry Price]]</f>
        <v>102.5</v>
      </c>
      <c r="Q806" s="9">
        <f>Tabla1[[#This Row],[Initial Risk $]]/Tabla1[[#This Row],[Position Size (shares)]]*1.5+Tabla1[[#This Row],[Entry Price]]</f>
        <v>103.045</v>
      </c>
      <c r="R806" s="9">
        <f>Tabla1[[#This Row],[Initial Risk $]]/Tabla1[[#This Row],[Position Size (shares)]]*2+Tabla1[[#This Row],[Entry Price]]</f>
        <v>103.59</v>
      </c>
      <c r="S806" s="9">
        <f>Tabla1[[#This Row],[Initial Risk $]]/Tabla1[[#This Row],[Position Size (shares)]]*2.5+Tabla1[[#This Row],[Entry Price]]</f>
        <v>104.13500000000001</v>
      </c>
      <c r="T806" s="9">
        <f>Tabla1[[#This Row],[Initial Risk $]]/Tabla1[[#This Row],[Position Size (shares)]]*3+Tabla1[[#This Row],[Entry Price]]</f>
        <v>104.68</v>
      </c>
    </row>
    <row r="807" spans="1:20" hidden="1" x14ac:dyDescent="0.25">
      <c r="A807" s="7" t="str">
        <f t="shared" si="297"/>
        <v>T-806</v>
      </c>
      <c r="B807" s="8">
        <v>46273</v>
      </c>
      <c r="C807" s="7" t="s">
        <v>417</v>
      </c>
      <c r="D807" s="7" t="s">
        <v>28</v>
      </c>
      <c r="E807" s="7" t="s">
        <v>27</v>
      </c>
      <c r="F807" s="7">
        <v>314.11</v>
      </c>
      <c r="G807" s="7">
        <v>311</v>
      </c>
      <c r="H807" s="9">
        <f>Tabla1[[#This Row],[Entry Price]]-(Tabla1[[#This Row],[Entry Price]]-Tabla1[[#This Row],[Initial Stop]])/2</f>
        <v>312.55500000000001</v>
      </c>
      <c r="I807" s="7">
        <v>1</v>
      </c>
      <c r="J807" s="7">
        <f t="shared" si="298"/>
        <v>3.1100000000000136</v>
      </c>
      <c r="K807" s="7">
        <v>1</v>
      </c>
      <c r="L807" s="7">
        <f t="shared" si="299"/>
        <v>3.1100000000000136</v>
      </c>
      <c r="M807" s="7" t="s">
        <v>72</v>
      </c>
      <c r="N807" s="7">
        <f>SUMIF(Executions!B:B,A807,Executions!H:H)</f>
        <v>-3.0600000000000023</v>
      </c>
      <c r="O807" s="7">
        <f t="shared" si="300"/>
        <v>-0.98392282958198996</v>
      </c>
      <c r="P807" s="9">
        <f>Tabla1[[#This Row],[Initial Risk $]]/Tabla1[[#This Row],[Position Size (shares)]]+Tabla1[[#This Row],[Entry Price]]</f>
        <v>317.22000000000003</v>
      </c>
      <c r="Q807" s="9">
        <f>Tabla1[[#This Row],[Initial Risk $]]/Tabla1[[#This Row],[Position Size (shares)]]*1.5+Tabla1[[#This Row],[Entry Price]]</f>
        <v>318.77500000000003</v>
      </c>
      <c r="R807" s="9">
        <f>Tabla1[[#This Row],[Initial Risk $]]/Tabla1[[#This Row],[Position Size (shares)]]*2+Tabla1[[#This Row],[Entry Price]]</f>
        <v>320.33000000000004</v>
      </c>
      <c r="S807" s="9">
        <f>Tabla1[[#This Row],[Initial Risk $]]/Tabla1[[#This Row],[Position Size (shares)]]*2.5+Tabla1[[#This Row],[Entry Price]]</f>
        <v>321.88500000000005</v>
      </c>
      <c r="T807" s="9">
        <f>Tabla1[[#This Row],[Initial Risk $]]/Tabla1[[#This Row],[Position Size (shares)]]*3+Tabla1[[#This Row],[Entry Price]]</f>
        <v>323.44000000000005</v>
      </c>
    </row>
    <row r="808" spans="1:20" hidden="1" x14ac:dyDescent="0.25">
      <c r="A808" s="7" t="str">
        <f t="shared" si="297"/>
        <v>T-807</v>
      </c>
      <c r="B808" s="8">
        <v>46273</v>
      </c>
      <c r="C808" s="7" t="s">
        <v>1078</v>
      </c>
      <c r="D808" s="7" t="s">
        <v>28</v>
      </c>
      <c r="E808" s="7" t="s">
        <v>60</v>
      </c>
      <c r="F808" s="7">
        <v>10.51</v>
      </c>
      <c r="G808" s="7">
        <v>9.2799999999999994</v>
      </c>
      <c r="H808" s="9">
        <f>Tabla1[[#This Row],[Entry Price]]-(Tabla1[[#This Row],[Entry Price]]-Tabla1[[#This Row],[Initial Stop]])/2</f>
        <v>9.8949999999999996</v>
      </c>
      <c r="I808" s="7">
        <v>10</v>
      </c>
      <c r="J808" s="7">
        <f t="shared" si="298"/>
        <v>12.300000000000004</v>
      </c>
      <c r="K808" s="7">
        <v>1</v>
      </c>
      <c r="L808" s="7">
        <f t="shared" si="299"/>
        <v>12.300000000000004</v>
      </c>
      <c r="M808" s="7" t="s">
        <v>72</v>
      </c>
      <c r="N808" s="7">
        <f>SUMIF(Executions!B:B,A808,Executions!H:H)</f>
        <v>-16.199999999999992</v>
      </c>
      <c r="O808" s="7">
        <f t="shared" si="300"/>
        <v>-1.3170731707317063</v>
      </c>
      <c r="P808" s="9">
        <f>Tabla1[[#This Row],[Initial Risk $]]/Tabla1[[#This Row],[Position Size (shares)]]+Tabla1[[#This Row],[Entry Price]]</f>
        <v>11.74</v>
      </c>
      <c r="Q808" s="9">
        <f>Tabla1[[#This Row],[Initial Risk $]]/Tabla1[[#This Row],[Position Size (shares)]]*1.5+Tabla1[[#This Row],[Entry Price]]</f>
        <v>12.355</v>
      </c>
      <c r="R808" s="9">
        <f>Tabla1[[#This Row],[Initial Risk $]]/Tabla1[[#This Row],[Position Size (shares)]]*2+Tabla1[[#This Row],[Entry Price]]</f>
        <v>12.97</v>
      </c>
      <c r="S808" s="9">
        <f>Tabla1[[#This Row],[Initial Risk $]]/Tabla1[[#This Row],[Position Size (shares)]]*2.5+Tabla1[[#This Row],[Entry Price]]</f>
        <v>13.585000000000001</v>
      </c>
      <c r="T808" s="9">
        <f>Tabla1[[#This Row],[Initial Risk $]]/Tabla1[[#This Row],[Position Size (shares)]]*3+Tabla1[[#This Row],[Entry Price]]</f>
        <v>14.200000000000001</v>
      </c>
    </row>
    <row r="809" spans="1:20" hidden="1" x14ac:dyDescent="0.25">
      <c r="A809" s="7" t="str">
        <f t="shared" ref="A809:A816" si="301">"T-"&amp; TEXT(ROW()-1,"000")</f>
        <v>T-808</v>
      </c>
      <c r="B809" s="8">
        <v>46274</v>
      </c>
      <c r="C809" s="7" t="s">
        <v>279</v>
      </c>
      <c r="D809" s="7" t="s">
        <v>28</v>
      </c>
      <c r="E809" s="7" t="s">
        <v>58</v>
      </c>
      <c r="F809" s="7">
        <v>1002.91</v>
      </c>
      <c r="G809" s="7">
        <v>989.91</v>
      </c>
      <c r="H809" s="9">
        <f>Tabla1[[#This Row],[Entry Price]]-(Tabla1[[#This Row],[Entry Price]]-Tabla1[[#This Row],[Initial Stop]])/2</f>
        <v>996.41</v>
      </c>
      <c r="I809" s="7">
        <v>1</v>
      </c>
      <c r="J809" s="7">
        <f t="shared" ref="J809:J816" si="302">IF(D809="Long",(F809-G809)*I809,(G809-F809)*0)</f>
        <v>13</v>
      </c>
      <c r="K809" s="7">
        <v>1</v>
      </c>
      <c r="L809" s="7">
        <f t="shared" ref="L809:L816" si="303">J809*K809</f>
        <v>13</v>
      </c>
      <c r="M809" s="7" t="s">
        <v>72</v>
      </c>
      <c r="N809" s="7">
        <f>SUMIF(Executions!B:B,A809,Executions!H:H)</f>
        <v>35.540000000000077</v>
      </c>
      <c r="O809" s="7">
        <f t="shared" ref="O809:O816" si="304">N809/J809</f>
        <v>2.7338461538461596</v>
      </c>
      <c r="P809" s="9">
        <f>Tabla1[[#This Row],[Initial Risk $]]/Tabla1[[#This Row],[Position Size (shares)]]+Tabla1[[#This Row],[Entry Price]]</f>
        <v>1015.91</v>
      </c>
      <c r="Q809" s="9">
        <f>Tabla1[[#This Row],[Initial Risk $]]/Tabla1[[#This Row],[Position Size (shares)]]*1.5+Tabla1[[#This Row],[Entry Price]]</f>
        <v>1022.41</v>
      </c>
      <c r="R809" s="9">
        <f>Tabla1[[#This Row],[Initial Risk $]]/Tabla1[[#This Row],[Position Size (shares)]]*2+Tabla1[[#This Row],[Entry Price]]</f>
        <v>1028.9099999999999</v>
      </c>
      <c r="S809" s="9">
        <f>Tabla1[[#This Row],[Initial Risk $]]/Tabla1[[#This Row],[Position Size (shares)]]*2.5+Tabla1[[#This Row],[Entry Price]]</f>
        <v>1035.4099999999999</v>
      </c>
      <c r="T809" s="9">
        <f>Tabla1[[#This Row],[Initial Risk $]]/Tabla1[[#This Row],[Position Size (shares)]]*3+Tabla1[[#This Row],[Entry Price]]</f>
        <v>1041.9099999999999</v>
      </c>
    </row>
    <row r="810" spans="1:20" hidden="1" x14ac:dyDescent="0.25">
      <c r="A810" s="7" t="str">
        <f t="shared" si="301"/>
        <v>T-809</v>
      </c>
      <c r="B810" s="8">
        <v>46274</v>
      </c>
      <c r="C810" s="7" t="s">
        <v>130</v>
      </c>
      <c r="D810" s="7" t="s">
        <v>28</v>
      </c>
      <c r="E810" s="7" t="s">
        <v>58</v>
      </c>
      <c r="F810" s="7">
        <v>514.87</v>
      </c>
      <c r="G810" s="7">
        <v>510.34</v>
      </c>
      <c r="H810" s="9">
        <f>Tabla1[[#This Row],[Entry Price]]-(Tabla1[[#This Row],[Entry Price]]-Tabla1[[#This Row],[Initial Stop]])/2</f>
        <v>512.60500000000002</v>
      </c>
      <c r="I810" s="7">
        <v>2</v>
      </c>
      <c r="J810" s="7">
        <f t="shared" si="302"/>
        <v>9.0600000000000591</v>
      </c>
      <c r="K810" s="7">
        <v>1</v>
      </c>
      <c r="L810" s="7">
        <f t="shared" si="303"/>
        <v>9.0600000000000591</v>
      </c>
      <c r="M810" s="7" t="s">
        <v>72</v>
      </c>
      <c r="N810" s="7">
        <f>SUMIF(Executions!B:B,A810,Executions!H:H)</f>
        <v>18.279999999999973</v>
      </c>
      <c r="O810" s="7">
        <f t="shared" si="304"/>
        <v>2.017660044150094</v>
      </c>
      <c r="P810" s="9">
        <f>Tabla1[[#This Row],[Initial Risk $]]/Tabla1[[#This Row],[Position Size (shares)]]+Tabla1[[#This Row],[Entry Price]]</f>
        <v>519.40000000000009</v>
      </c>
      <c r="Q810" s="9">
        <f>Tabla1[[#This Row],[Initial Risk $]]/Tabla1[[#This Row],[Position Size (shares)]]*1.5+Tabla1[[#This Row],[Entry Price]]</f>
        <v>521.66500000000008</v>
      </c>
      <c r="R810" s="9">
        <f>Tabla1[[#This Row],[Initial Risk $]]/Tabla1[[#This Row],[Position Size (shares)]]*2+Tabla1[[#This Row],[Entry Price]]</f>
        <v>523.93000000000006</v>
      </c>
      <c r="S810" s="9">
        <f>Tabla1[[#This Row],[Initial Risk $]]/Tabla1[[#This Row],[Position Size (shares)]]*2.5+Tabla1[[#This Row],[Entry Price]]</f>
        <v>526.19500000000005</v>
      </c>
      <c r="T810" s="9">
        <f>Tabla1[[#This Row],[Initial Risk $]]/Tabla1[[#This Row],[Position Size (shares)]]*3+Tabla1[[#This Row],[Entry Price]]</f>
        <v>528.46</v>
      </c>
    </row>
    <row r="811" spans="1:20" hidden="1" x14ac:dyDescent="0.25">
      <c r="A811" s="7" t="str">
        <f t="shared" si="301"/>
        <v>T-810</v>
      </c>
      <c r="B811" s="8">
        <v>46274</v>
      </c>
      <c r="C811" s="7" t="s">
        <v>294</v>
      </c>
      <c r="D811" s="7" t="s">
        <v>28</v>
      </c>
      <c r="E811" s="7" t="s">
        <v>119</v>
      </c>
      <c r="F811" s="7">
        <v>163.51</v>
      </c>
      <c r="G811" s="7">
        <v>161.9</v>
      </c>
      <c r="H811" s="9">
        <f>Tabla1[[#This Row],[Entry Price]]-(Tabla1[[#This Row],[Entry Price]]-Tabla1[[#This Row],[Initial Stop]])/2</f>
        <v>162.70499999999998</v>
      </c>
      <c r="I811" s="7">
        <v>8</v>
      </c>
      <c r="J811" s="7">
        <f t="shared" si="302"/>
        <v>12.879999999999882</v>
      </c>
      <c r="K811" s="7">
        <v>1</v>
      </c>
      <c r="L811" s="7">
        <f t="shared" si="303"/>
        <v>12.879999999999882</v>
      </c>
      <c r="M811" s="7" t="s">
        <v>72</v>
      </c>
      <c r="N811" s="7">
        <f>SUMIF(Executions!B:B,A811,Executions!H:H)</f>
        <v>-12.960000000000036</v>
      </c>
      <c r="O811" s="7">
        <f t="shared" si="304"/>
        <v>-1.0062111801242357</v>
      </c>
      <c r="P811" s="9">
        <f>Tabla1[[#This Row],[Initial Risk $]]/Tabla1[[#This Row],[Position Size (shares)]]+Tabla1[[#This Row],[Entry Price]]</f>
        <v>165.11999999999998</v>
      </c>
      <c r="Q811" s="9">
        <f>Tabla1[[#This Row],[Initial Risk $]]/Tabla1[[#This Row],[Position Size (shares)]]*1.5+Tabla1[[#This Row],[Entry Price]]</f>
        <v>165.92499999999995</v>
      </c>
      <c r="R811" s="9">
        <f>Tabla1[[#This Row],[Initial Risk $]]/Tabla1[[#This Row],[Position Size (shares)]]*2+Tabla1[[#This Row],[Entry Price]]</f>
        <v>166.72999999999996</v>
      </c>
      <c r="S811" s="9">
        <f>Tabla1[[#This Row],[Initial Risk $]]/Tabla1[[#This Row],[Position Size (shares)]]*2.5+Tabla1[[#This Row],[Entry Price]]</f>
        <v>167.53499999999997</v>
      </c>
      <c r="T811" s="9">
        <f>Tabla1[[#This Row],[Initial Risk $]]/Tabla1[[#This Row],[Position Size (shares)]]*3+Tabla1[[#This Row],[Entry Price]]</f>
        <v>168.33999999999995</v>
      </c>
    </row>
    <row r="812" spans="1:20" hidden="1" x14ac:dyDescent="0.25">
      <c r="A812" s="7" t="str">
        <f t="shared" si="301"/>
        <v>T-811</v>
      </c>
      <c r="B812" s="8">
        <v>46274</v>
      </c>
      <c r="C812" s="7" t="s">
        <v>370</v>
      </c>
      <c r="D812" s="7" t="s">
        <v>28</v>
      </c>
      <c r="E812" s="7" t="s">
        <v>119</v>
      </c>
      <c r="F812" s="7">
        <v>47.52</v>
      </c>
      <c r="G812" s="7">
        <v>46.62</v>
      </c>
      <c r="H812" s="9">
        <f>Tabla1[[#This Row],[Entry Price]]-(Tabla1[[#This Row],[Entry Price]]-Tabla1[[#This Row],[Initial Stop]])/2</f>
        <v>47.07</v>
      </c>
      <c r="I812" s="7">
        <v>10</v>
      </c>
      <c r="J812" s="7">
        <f t="shared" si="302"/>
        <v>9.0000000000000568</v>
      </c>
      <c r="K812" s="7">
        <v>1</v>
      </c>
      <c r="L812" s="7">
        <f t="shared" si="303"/>
        <v>9.0000000000000568</v>
      </c>
      <c r="M812" s="7" t="s">
        <v>72</v>
      </c>
      <c r="N812" s="7">
        <f>SUMIF(Executions!B:B,A812,Executions!H:H)</f>
        <v>-10.600000000000023</v>
      </c>
      <c r="O812" s="7">
        <f t="shared" si="304"/>
        <v>-1.1777777777777729</v>
      </c>
      <c r="P812" s="9">
        <f>Tabla1[[#This Row],[Initial Risk $]]/Tabla1[[#This Row],[Position Size (shares)]]+Tabla1[[#This Row],[Entry Price]]</f>
        <v>48.420000000000009</v>
      </c>
      <c r="Q812" s="9">
        <f>Tabla1[[#This Row],[Initial Risk $]]/Tabla1[[#This Row],[Position Size (shares)]]*1.5+Tabla1[[#This Row],[Entry Price]]</f>
        <v>48.870000000000012</v>
      </c>
      <c r="R812" s="9">
        <f>Tabla1[[#This Row],[Initial Risk $]]/Tabla1[[#This Row],[Position Size (shares)]]*2+Tabla1[[#This Row],[Entry Price]]</f>
        <v>49.320000000000014</v>
      </c>
      <c r="S812" s="9">
        <f>Tabla1[[#This Row],[Initial Risk $]]/Tabla1[[#This Row],[Position Size (shares)]]*2.5+Tabla1[[#This Row],[Entry Price]]</f>
        <v>49.770000000000017</v>
      </c>
      <c r="T812" s="9">
        <f>Tabla1[[#This Row],[Initial Risk $]]/Tabla1[[#This Row],[Position Size (shares)]]*3+Tabla1[[#This Row],[Entry Price]]</f>
        <v>50.22000000000002</v>
      </c>
    </row>
    <row r="813" spans="1:20" hidden="1" x14ac:dyDescent="0.25">
      <c r="A813" s="7" t="str">
        <f t="shared" si="301"/>
        <v>T-812</v>
      </c>
      <c r="B813" s="8">
        <v>46274</v>
      </c>
      <c r="C813" s="7" t="s">
        <v>417</v>
      </c>
      <c r="D813" s="7" t="s">
        <v>28</v>
      </c>
      <c r="E813" s="7" t="s">
        <v>119</v>
      </c>
      <c r="F813" s="7">
        <v>312.61</v>
      </c>
      <c r="G813" s="7">
        <v>307.61</v>
      </c>
      <c r="H813" s="9">
        <f>Tabla1[[#This Row],[Entry Price]]-(Tabla1[[#This Row],[Entry Price]]-Tabla1[[#This Row],[Initial Stop]])/2</f>
        <v>310.11</v>
      </c>
      <c r="I813" s="7">
        <v>2</v>
      </c>
      <c r="J813" s="7">
        <f t="shared" si="302"/>
        <v>10</v>
      </c>
      <c r="K813" s="7">
        <v>1</v>
      </c>
      <c r="L813" s="7">
        <f t="shared" si="303"/>
        <v>10</v>
      </c>
      <c r="M813" s="7" t="s">
        <v>72</v>
      </c>
      <c r="N813" s="7">
        <f>SUMIF(Executions!B:B,A813,Executions!H:H)</f>
        <v>-10.680000000000064</v>
      </c>
      <c r="O813" s="7">
        <f t="shared" si="304"/>
        <v>-1.0680000000000063</v>
      </c>
      <c r="P813" s="9">
        <f>Tabla1[[#This Row],[Initial Risk $]]/Tabla1[[#This Row],[Position Size (shares)]]+Tabla1[[#This Row],[Entry Price]]</f>
        <v>317.61</v>
      </c>
      <c r="Q813" s="9">
        <f>Tabla1[[#This Row],[Initial Risk $]]/Tabla1[[#This Row],[Position Size (shares)]]*1.5+Tabla1[[#This Row],[Entry Price]]</f>
        <v>320.11</v>
      </c>
      <c r="R813" s="9">
        <f>Tabla1[[#This Row],[Initial Risk $]]/Tabla1[[#This Row],[Position Size (shares)]]*2+Tabla1[[#This Row],[Entry Price]]</f>
        <v>322.61</v>
      </c>
      <c r="S813" s="9">
        <f>Tabla1[[#This Row],[Initial Risk $]]/Tabla1[[#This Row],[Position Size (shares)]]*2.5+Tabla1[[#This Row],[Entry Price]]</f>
        <v>325.11</v>
      </c>
      <c r="T813" s="9">
        <f>Tabla1[[#This Row],[Initial Risk $]]/Tabla1[[#This Row],[Position Size (shares)]]*3+Tabla1[[#This Row],[Entry Price]]</f>
        <v>327.61</v>
      </c>
    </row>
    <row r="814" spans="1:20" hidden="1" x14ac:dyDescent="0.25">
      <c r="A814" s="7" t="str">
        <f t="shared" si="301"/>
        <v>T-813</v>
      </c>
      <c r="B814" s="8">
        <v>46274</v>
      </c>
      <c r="C814" s="7" t="s">
        <v>1085</v>
      </c>
      <c r="D814" s="7" t="s">
        <v>28</v>
      </c>
      <c r="E814" s="7" t="s">
        <v>119</v>
      </c>
      <c r="F814" s="7">
        <v>15.01</v>
      </c>
      <c r="G814" s="7">
        <v>14.3</v>
      </c>
      <c r="H814" s="9">
        <f>Tabla1[[#This Row],[Entry Price]]-(Tabla1[[#This Row],[Entry Price]]-Tabla1[[#This Row],[Initial Stop]])/2</f>
        <v>14.655000000000001</v>
      </c>
      <c r="I814" s="7">
        <v>14</v>
      </c>
      <c r="J814" s="7">
        <f t="shared" si="302"/>
        <v>9.9399999999999871</v>
      </c>
      <c r="K814" s="7">
        <v>1</v>
      </c>
      <c r="L814" s="7">
        <f t="shared" si="303"/>
        <v>9.9399999999999871</v>
      </c>
      <c r="M814" s="7" t="s">
        <v>72</v>
      </c>
      <c r="N814" s="7">
        <f>SUMIF(Executions!B:B,A814,Executions!H:H)</f>
        <v>10.220000000000006</v>
      </c>
      <c r="O814" s="7">
        <f t="shared" si="304"/>
        <v>1.028169014084509</v>
      </c>
      <c r="P814" s="9">
        <f>Tabla1[[#This Row],[Initial Risk $]]/Tabla1[[#This Row],[Position Size (shares)]]+Tabla1[[#This Row],[Entry Price]]</f>
        <v>15.719999999999999</v>
      </c>
      <c r="Q814" s="9">
        <f>Tabla1[[#This Row],[Initial Risk $]]/Tabla1[[#This Row],[Position Size (shares)]]*1.5+Tabla1[[#This Row],[Entry Price]]</f>
        <v>16.074999999999999</v>
      </c>
      <c r="R814" s="9">
        <f>Tabla1[[#This Row],[Initial Risk $]]/Tabla1[[#This Row],[Position Size (shares)]]*2+Tabla1[[#This Row],[Entry Price]]</f>
        <v>16.43</v>
      </c>
      <c r="S814" s="9">
        <f>Tabla1[[#This Row],[Initial Risk $]]/Tabla1[[#This Row],[Position Size (shares)]]*2.5+Tabla1[[#This Row],[Entry Price]]</f>
        <v>16.784999999999997</v>
      </c>
      <c r="T814" s="9">
        <f>Tabla1[[#This Row],[Initial Risk $]]/Tabla1[[#This Row],[Position Size (shares)]]*3+Tabla1[[#This Row],[Entry Price]]</f>
        <v>17.139999999999997</v>
      </c>
    </row>
    <row r="815" spans="1:20" hidden="1" x14ac:dyDescent="0.25">
      <c r="A815" s="7" t="str">
        <f t="shared" si="301"/>
        <v>T-814</v>
      </c>
      <c r="B815" s="8">
        <v>46274</v>
      </c>
      <c r="C815" s="7" t="s">
        <v>359</v>
      </c>
      <c r="D815" s="7" t="s">
        <v>28</v>
      </c>
      <c r="E815" s="7" t="s">
        <v>119</v>
      </c>
      <c r="F815" s="7">
        <v>76.569999999999993</v>
      </c>
      <c r="G815" s="7">
        <v>76.19</v>
      </c>
      <c r="H815" s="9">
        <f>Tabla1[[#This Row],[Entry Price]]-(Tabla1[[#This Row],[Entry Price]]-Tabla1[[#This Row],[Initial Stop]])/2</f>
        <v>76.38</v>
      </c>
      <c r="I815" s="7">
        <v>14</v>
      </c>
      <c r="J815" s="7">
        <f t="shared" si="302"/>
        <v>5.3199999999999363</v>
      </c>
      <c r="K815" s="7">
        <v>1</v>
      </c>
      <c r="L815" s="7">
        <f t="shared" si="303"/>
        <v>5.3199999999999363</v>
      </c>
      <c r="M815" s="7" t="s">
        <v>72</v>
      </c>
      <c r="N815" s="7">
        <f>SUMIF(Executions!B:B,A815,Executions!H:H)</f>
        <v>-5.3199999999999363</v>
      </c>
      <c r="O815" s="7">
        <f t="shared" si="304"/>
        <v>-1</v>
      </c>
      <c r="P815" s="9">
        <f>Tabla1[[#This Row],[Initial Risk $]]/Tabla1[[#This Row],[Position Size (shares)]]+Tabla1[[#This Row],[Entry Price]]</f>
        <v>76.949999999999989</v>
      </c>
      <c r="Q815" s="9">
        <f>Tabla1[[#This Row],[Initial Risk $]]/Tabla1[[#This Row],[Position Size (shares)]]*1.5+Tabla1[[#This Row],[Entry Price]]</f>
        <v>77.139999999999986</v>
      </c>
      <c r="R815" s="9">
        <f>Tabla1[[#This Row],[Initial Risk $]]/Tabla1[[#This Row],[Position Size (shares)]]*2+Tabla1[[#This Row],[Entry Price]]</f>
        <v>77.329999999999984</v>
      </c>
      <c r="S815" s="9">
        <f>Tabla1[[#This Row],[Initial Risk $]]/Tabla1[[#This Row],[Position Size (shares)]]*2.5+Tabla1[[#This Row],[Entry Price]]</f>
        <v>77.519999999999982</v>
      </c>
      <c r="T815" s="9">
        <f>Tabla1[[#This Row],[Initial Risk $]]/Tabla1[[#This Row],[Position Size (shares)]]*3+Tabla1[[#This Row],[Entry Price]]</f>
        <v>77.70999999999998</v>
      </c>
    </row>
    <row r="816" spans="1:20" hidden="1" x14ac:dyDescent="0.25">
      <c r="A816" s="7" t="str">
        <f t="shared" si="301"/>
        <v>T-815</v>
      </c>
      <c r="B816" s="8">
        <v>46274</v>
      </c>
      <c r="C816" s="7" t="s">
        <v>130</v>
      </c>
      <c r="D816" s="7" t="s">
        <v>28</v>
      </c>
      <c r="E816" s="7" t="s">
        <v>119</v>
      </c>
      <c r="F816" s="7">
        <v>522.05999999999995</v>
      </c>
      <c r="G816" s="7">
        <v>518.65</v>
      </c>
      <c r="H816" s="9">
        <f>Tabla1[[#This Row],[Entry Price]]-(Tabla1[[#This Row],[Entry Price]]-Tabla1[[#This Row],[Initial Stop]])/2</f>
        <v>520.35500000000002</v>
      </c>
      <c r="I816" s="7">
        <v>2</v>
      </c>
      <c r="J816" s="7">
        <f t="shared" si="302"/>
        <v>6.8199999999999363</v>
      </c>
      <c r="K816" s="7">
        <v>1</v>
      </c>
      <c r="L816" s="7">
        <f t="shared" si="303"/>
        <v>6.8199999999999363</v>
      </c>
      <c r="M816" s="7" t="s">
        <v>72</v>
      </c>
      <c r="N816" s="7">
        <f>SUMIF(Executions!B:B,A816,Executions!H:H)</f>
        <v>-6.7999999999999545</v>
      </c>
      <c r="O816" s="7">
        <f t="shared" si="304"/>
        <v>-0.99706744868035457</v>
      </c>
      <c r="P816" s="9">
        <f>Tabla1[[#This Row],[Initial Risk $]]/Tabla1[[#This Row],[Position Size (shares)]]+Tabla1[[#This Row],[Entry Price]]</f>
        <v>525.46999999999991</v>
      </c>
      <c r="Q816" s="9">
        <f>Tabla1[[#This Row],[Initial Risk $]]/Tabla1[[#This Row],[Position Size (shares)]]*1.5+Tabla1[[#This Row],[Entry Price]]</f>
        <v>527.17499999999995</v>
      </c>
      <c r="R816" s="9">
        <f>Tabla1[[#This Row],[Initial Risk $]]/Tabla1[[#This Row],[Position Size (shares)]]*2+Tabla1[[#This Row],[Entry Price]]</f>
        <v>528.87999999999988</v>
      </c>
      <c r="S816" s="9">
        <f>Tabla1[[#This Row],[Initial Risk $]]/Tabla1[[#This Row],[Position Size (shares)]]*2.5+Tabla1[[#This Row],[Entry Price]]</f>
        <v>530.58499999999981</v>
      </c>
      <c r="T816" s="9">
        <f>Tabla1[[#This Row],[Initial Risk $]]/Tabla1[[#This Row],[Position Size (shares)]]*3+Tabla1[[#This Row],[Entry Price]]</f>
        <v>532.28999999999985</v>
      </c>
    </row>
    <row r="817" spans="1:20" hidden="1" x14ac:dyDescent="0.25">
      <c r="A817" s="7" t="str">
        <f t="shared" ref="A817:A831" si="305">"T-"&amp; TEXT(ROW()-1,"000")</f>
        <v>T-816</v>
      </c>
      <c r="B817" s="8">
        <v>46275</v>
      </c>
      <c r="C817" s="7" t="s">
        <v>279</v>
      </c>
      <c r="D817" s="7" t="s">
        <v>28</v>
      </c>
      <c r="E817" s="7" t="s">
        <v>27</v>
      </c>
      <c r="F817" s="7">
        <v>991.64</v>
      </c>
      <c r="G817" s="7">
        <v>980</v>
      </c>
      <c r="H817" s="9">
        <f>Tabla1[[#This Row],[Entry Price]]-(Tabla1[[#This Row],[Entry Price]]-Tabla1[[#This Row],[Initial Stop]])/2</f>
        <v>985.81999999999994</v>
      </c>
      <c r="I817" s="7">
        <v>1</v>
      </c>
      <c r="J817" s="7">
        <f t="shared" ref="J817:J831" si="306">IF(D817="Long",(F817-G817)*I817,(G817-F817)*0)</f>
        <v>11.639999999999986</v>
      </c>
      <c r="K817" s="7">
        <v>1</v>
      </c>
      <c r="L817" s="7">
        <f t="shared" ref="L817:L831" si="307">J817*K817</f>
        <v>11.639999999999986</v>
      </c>
      <c r="M817" s="7" t="s">
        <v>72</v>
      </c>
      <c r="N817" s="7">
        <f>SUMIF(Executions!B:B,A817,Executions!H:H)</f>
        <v>-12.039999999999964</v>
      </c>
      <c r="O817" s="7">
        <f t="shared" ref="O817:O831" si="308">N817/J817</f>
        <v>-1.034364261168383</v>
      </c>
      <c r="P817" s="9">
        <f>Tabla1[[#This Row],[Initial Risk $]]/Tabla1[[#This Row],[Position Size (shares)]]+Tabla1[[#This Row],[Entry Price]]</f>
        <v>1003.28</v>
      </c>
      <c r="Q817" s="9">
        <f>Tabla1[[#This Row],[Initial Risk $]]/Tabla1[[#This Row],[Position Size (shares)]]*1.5+Tabla1[[#This Row],[Entry Price]]</f>
        <v>1009.0999999999999</v>
      </c>
      <c r="R817" s="9">
        <f>Tabla1[[#This Row],[Initial Risk $]]/Tabla1[[#This Row],[Position Size (shares)]]*2+Tabla1[[#This Row],[Entry Price]]</f>
        <v>1014.92</v>
      </c>
      <c r="S817" s="9">
        <f>Tabla1[[#This Row],[Initial Risk $]]/Tabla1[[#This Row],[Position Size (shares)]]*2.5+Tabla1[[#This Row],[Entry Price]]</f>
        <v>1020.74</v>
      </c>
      <c r="T817" s="9">
        <f>Tabla1[[#This Row],[Initial Risk $]]/Tabla1[[#This Row],[Position Size (shares)]]*3+Tabla1[[#This Row],[Entry Price]]</f>
        <v>1026.56</v>
      </c>
    </row>
    <row r="818" spans="1:20" hidden="1" x14ac:dyDescent="0.25">
      <c r="A818" s="7" t="str">
        <f t="shared" si="305"/>
        <v>T-817</v>
      </c>
      <c r="B818" s="8">
        <v>46275</v>
      </c>
      <c r="C818" s="7" t="s">
        <v>161</v>
      </c>
      <c r="D818" s="7" t="s">
        <v>28</v>
      </c>
      <c r="E818" s="7" t="s">
        <v>27</v>
      </c>
      <c r="F818" s="7">
        <v>101.78</v>
      </c>
      <c r="G818" s="7">
        <v>100.78</v>
      </c>
      <c r="H818" s="9">
        <f>Tabla1[[#This Row],[Entry Price]]-(Tabla1[[#This Row],[Entry Price]]-Tabla1[[#This Row],[Initial Stop]])/2</f>
        <v>101.28</v>
      </c>
      <c r="I818" s="7">
        <v>10</v>
      </c>
      <c r="J818" s="7">
        <f t="shared" si="306"/>
        <v>10</v>
      </c>
      <c r="K818" s="7">
        <v>1</v>
      </c>
      <c r="L818" s="7">
        <f t="shared" si="307"/>
        <v>10</v>
      </c>
      <c r="M818" s="7" t="s">
        <v>72</v>
      </c>
      <c r="N818" s="7">
        <f>SUMIF(Executions!B:B,A818,Executions!H:H)</f>
        <v>-10.400000000000063</v>
      </c>
      <c r="O818" s="7">
        <f t="shared" si="308"/>
        <v>-1.0400000000000063</v>
      </c>
      <c r="P818" s="9">
        <f>Tabla1[[#This Row],[Initial Risk $]]/Tabla1[[#This Row],[Position Size (shares)]]+Tabla1[[#This Row],[Entry Price]]</f>
        <v>102.78</v>
      </c>
      <c r="Q818" s="9">
        <f>Tabla1[[#This Row],[Initial Risk $]]/Tabla1[[#This Row],[Position Size (shares)]]*1.5+Tabla1[[#This Row],[Entry Price]]</f>
        <v>103.28</v>
      </c>
      <c r="R818" s="9">
        <f>Tabla1[[#This Row],[Initial Risk $]]/Tabla1[[#This Row],[Position Size (shares)]]*2+Tabla1[[#This Row],[Entry Price]]</f>
        <v>103.78</v>
      </c>
      <c r="S818" s="9">
        <f>Tabla1[[#This Row],[Initial Risk $]]/Tabla1[[#This Row],[Position Size (shares)]]*2.5+Tabla1[[#This Row],[Entry Price]]</f>
        <v>104.28</v>
      </c>
      <c r="T818" s="9">
        <f>Tabla1[[#This Row],[Initial Risk $]]/Tabla1[[#This Row],[Position Size (shares)]]*3+Tabla1[[#This Row],[Entry Price]]</f>
        <v>104.78</v>
      </c>
    </row>
    <row r="819" spans="1:20" hidden="1" x14ac:dyDescent="0.25">
      <c r="A819" s="7" t="str">
        <f t="shared" si="305"/>
        <v>T-818</v>
      </c>
      <c r="B819" s="8">
        <v>46275</v>
      </c>
      <c r="C819" s="7" t="s">
        <v>161</v>
      </c>
      <c r="D819" s="7" t="s">
        <v>28</v>
      </c>
      <c r="E819" s="7" t="s">
        <v>27</v>
      </c>
      <c r="F819" s="7">
        <v>100.34</v>
      </c>
      <c r="G819" s="7">
        <v>98.83</v>
      </c>
      <c r="H819" s="9">
        <f>Tabla1[[#This Row],[Entry Price]]-(Tabla1[[#This Row],[Entry Price]]-Tabla1[[#This Row],[Initial Stop]])/2</f>
        <v>99.585000000000008</v>
      </c>
      <c r="I819" s="7">
        <v>10</v>
      </c>
      <c r="J819" s="7">
        <f t="shared" si="306"/>
        <v>15.100000000000051</v>
      </c>
      <c r="K819" s="7">
        <v>1</v>
      </c>
      <c r="L819" s="7">
        <f t="shared" si="307"/>
        <v>15.100000000000051</v>
      </c>
      <c r="M819" s="7" t="s">
        <v>72</v>
      </c>
      <c r="N819" s="7">
        <f>SUMIF(Executions!B:B,A819,Executions!H:H)</f>
        <v>8.5999999999999943</v>
      </c>
      <c r="O819" s="7">
        <f t="shared" si="308"/>
        <v>0.56953642384105729</v>
      </c>
      <c r="P819" s="9">
        <f>Tabla1[[#This Row],[Initial Risk $]]/Tabla1[[#This Row],[Position Size (shares)]]+Tabla1[[#This Row],[Entry Price]]</f>
        <v>101.85000000000001</v>
      </c>
      <c r="Q819" s="9">
        <f>Tabla1[[#This Row],[Initial Risk $]]/Tabla1[[#This Row],[Position Size (shares)]]*1.5+Tabla1[[#This Row],[Entry Price]]</f>
        <v>102.60500000000002</v>
      </c>
      <c r="R819" s="9">
        <f>Tabla1[[#This Row],[Initial Risk $]]/Tabla1[[#This Row],[Position Size (shares)]]*2+Tabla1[[#This Row],[Entry Price]]</f>
        <v>103.36000000000001</v>
      </c>
      <c r="S819" s="9">
        <f>Tabla1[[#This Row],[Initial Risk $]]/Tabla1[[#This Row],[Position Size (shares)]]*2.5+Tabla1[[#This Row],[Entry Price]]</f>
        <v>104.11500000000001</v>
      </c>
      <c r="T819" s="9">
        <f>Tabla1[[#This Row],[Initial Risk $]]/Tabla1[[#This Row],[Position Size (shares)]]*3+Tabla1[[#This Row],[Entry Price]]</f>
        <v>104.87000000000002</v>
      </c>
    </row>
    <row r="820" spans="1:20" hidden="1" x14ac:dyDescent="0.25">
      <c r="A820" s="7" t="str">
        <f t="shared" si="305"/>
        <v>T-819</v>
      </c>
      <c r="B820" s="8">
        <v>46275</v>
      </c>
      <c r="C820" s="7" t="s">
        <v>399</v>
      </c>
      <c r="D820" s="7" t="s">
        <v>28</v>
      </c>
      <c r="E820" s="7" t="s">
        <v>58</v>
      </c>
      <c r="F820" s="7">
        <v>32.33</v>
      </c>
      <c r="G820" s="7">
        <v>31.74</v>
      </c>
      <c r="H820" s="9">
        <f>Tabla1[[#This Row],[Entry Price]]-(Tabla1[[#This Row],[Entry Price]]-Tabla1[[#This Row],[Initial Stop]])/2</f>
        <v>32.034999999999997</v>
      </c>
      <c r="I820" s="7">
        <v>20</v>
      </c>
      <c r="J820" s="7">
        <f t="shared" si="306"/>
        <v>11.799999999999997</v>
      </c>
      <c r="K820" s="7">
        <v>1</v>
      </c>
      <c r="L820" s="7">
        <f t="shared" si="307"/>
        <v>11.799999999999997</v>
      </c>
      <c r="M820" s="7" t="s">
        <v>72</v>
      </c>
      <c r="N820" s="7">
        <f>SUMIF(Executions!B:B,A820,Executions!H:H)</f>
        <v>9.3000000000000682</v>
      </c>
      <c r="O820" s="7">
        <f t="shared" si="308"/>
        <v>0.78813559322034499</v>
      </c>
      <c r="P820" s="9">
        <f>Tabla1[[#This Row],[Initial Risk $]]/Tabla1[[#This Row],[Position Size (shares)]]+Tabla1[[#This Row],[Entry Price]]</f>
        <v>32.92</v>
      </c>
      <c r="Q820" s="9">
        <f>Tabla1[[#This Row],[Initial Risk $]]/Tabla1[[#This Row],[Position Size (shares)]]*1.5+Tabla1[[#This Row],[Entry Price]]</f>
        <v>33.214999999999996</v>
      </c>
      <c r="R820" s="9">
        <f>Tabla1[[#This Row],[Initial Risk $]]/Tabla1[[#This Row],[Position Size (shares)]]*2+Tabla1[[#This Row],[Entry Price]]</f>
        <v>33.51</v>
      </c>
      <c r="S820" s="9">
        <f>Tabla1[[#This Row],[Initial Risk $]]/Tabla1[[#This Row],[Position Size (shares)]]*2.5+Tabla1[[#This Row],[Entry Price]]</f>
        <v>33.805</v>
      </c>
      <c r="T820" s="9">
        <f>Tabla1[[#This Row],[Initial Risk $]]/Tabla1[[#This Row],[Position Size (shares)]]*3+Tabla1[[#This Row],[Entry Price]]</f>
        <v>34.099999999999994</v>
      </c>
    </row>
    <row r="821" spans="1:20" hidden="1" x14ac:dyDescent="0.25">
      <c r="A821" s="7" t="str">
        <f t="shared" si="305"/>
        <v>T-820</v>
      </c>
      <c r="B821" s="8">
        <v>46275</v>
      </c>
      <c r="C821" s="7" t="s">
        <v>494</v>
      </c>
      <c r="D821" s="7" t="s">
        <v>28</v>
      </c>
      <c r="E821" s="7" t="s">
        <v>27</v>
      </c>
      <c r="F821" s="7">
        <v>646.09</v>
      </c>
      <c r="G821" s="7">
        <v>642</v>
      </c>
      <c r="H821" s="9">
        <f>Tabla1[[#This Row],[Entry Price]]-(Tabla1[[#This Row],[Entry Price]]-Tabla1[[#This Row],[Initial Stop]])/2</f>
        <v>644.04500000000007</v>
      </c>
      <c r="I821" s="7">
        <v>2</v>
      </c>
      <c r="J821" s="7">
        <f t="shared" si="306"/>
        <v>8.1800000000000637</v>
      </c>
      <c r="K821" s="7">
        <v>1</v>
      </c>
      <c r="L821" s="7">
        <f t="shared" si="307"/>
        <v>8.1800000000000637</v>
      </c>
      <c r="M821" s="7" t="s">
        <v>72</v>
      </c>
      <c r="N821" s="7">
        <f>SUMIF(Executions!B:B,A821,Executions!H:H)</f>
        <v>11.099999999999909</v>
      </c>
      <c r="O821" s="7">
        <f t="shared" si="308"/>
        <v>1.3569682151589024</v>
      </c>
      <c r="P821" s="9">
        <f>Tabla1[[#This Row],[Initial Risk $]]/Tabla1[[#This Row],[Position Size (shares)]]+Tabla1[[#This Row],[Entry Price]]</f>
        <v>650.18000000000006</v>
      </c>
      <c r="Q821" s="9">
        <f>Tabla1[[#This Row],[Initial Risk $]]/Tabla1[[#This Row],[Position Size (shares)]]*1.5+Tabla1[[#This Row],[Entry Price]]</f>
        <v>652.22500000000014</v>
      </c>
      <c r="R821" s="9">
        <f>Tabla1[[#This Row],[Initial Risk $]]/Tabla1[[#This Row],[Position Size (shares)]]*2+Tabla1[[#This Row],[Entry Price]]</f>
        <v>654.2700000000001</v>
      </c>
      <c r="S821" s="9">
        <f>Tabla1[[#This Row],[Initial Risk $]]/Tabla1[[#This Row],[Position Size (shares)]]*2.5+Tabla1[[#This Row],[Entry Price]]</f>
        <v>656.31500000000005</v>
      </c>
      <c r="T821" s="9">
        <f>Tabla1[[#This Row],[Initial Risk $]]/Tabla1[[#This Row],[Position Size (shares)]]*3+Tabla1[[#This Row],[Entry Price]]</f>
        <v>658.36000000000013</v>
      </c>
    </row>
    <row r="822" spans="1:20" hidden="1" x14ac:dyDescent="0.25">
      <c r="A822" s="7" t="str">
        <f t="shared" si="305"/>
        <v>T-821</v>
      </c>
      <c r="B822" s="8">
        <v>46276</v>
      </c>
      <c r="C822" s="7" t="s">
        <v>161</v>
      </c>
      <c r="D822" s="7" t="s">
        <v>28</v>
      </c>
      <c r="E822" s="7" t="s">
        <v>58</v>
      </c>
      <c r="F822" s="7">
        <v>101.99</v>
      </c>
      <c r="G822" s="7">
        <v>100.99</v>
      </c>
      <c r="H822" s="9">
        <f>Tabla1[[#This Row],[Entry Price]]-(Tabla1[[#This Row],[Entry Price]]-Tabla1[[#This Row],[Initial Stop]])/2</f>
        <v>101.49</v>
      </c>
      <c r="I822" s="7">
        <v>10</v>
      </c>
      <c r="J822" s="7">
        <f t="shared" si="306"/>
        <v>10</v>
      </c>
      <c r="K822" s="7">
        <v>1</v>
      </c>
      <c r="L822" s="7">
        <f t="shared" si="307"/>
        <v>10</v>
      </c>
      <c r="M822" s="7" t="s">
        <v>72</v>
      </c>
      <c r="N822" s="7">
        <f>SUMIF(Executions!B:B,A822,Executions!H:H)</f>
        <v>-4.0999999999999659</v>
      </c>
      <c r="O822" s="7">
        <f t="shared" si="308"/>
        <v>-0.40999999999999659</v>
      </c>
      <c r="P822" s="9">
        <f>Tabla1[[#This Row],[Initial Risk $]]/Tabla1[[#This Row],[Position Size (shares)]]+Tabla1[[#This Row],[Entry Price]]</f>
        <v>102.99</v>
      </c>
      <c r="Q822" s="9">
        <f>Tabla1[[#This Row],[Initial Risk $]]/Tabla1[[#This Row],[Position Size (shares)]]*1.5+Tabla1[[#This Row],[Entry Price]]</f>
        <v>103.49</v>
      </c>
      <c r="R822" s="9">
        <f>Tabla1[[#This Row],[Initial Risk $]]/Tabla1[[#This Row],[Position Size (shares)]]*2+Tabla1[[#This Row],[Entry Price]]</f>
        <v>103.99</v>
      </c>
      <c r="S822" s="9">
        <f>Tabla1[[#This Row],[Initial Risk $]]/Tabla1[[#This Row],[Position Size (shares)]]*2.5+Tabla1[[#This Row],[Entry Price]]</f>
        <v>104.49</v>
      </c>
      <c r="T822" s="9">
        <f>Tabla1[[#This Row],[Initial Risk $]]/Tabla1[[#This Row],[Position Size (shares)]]*3+Tabla1[[#This Row],[Entry Price]]</f>
        <v>104.99</v>
      </c>
    </row>
    <row r="823" spans="1:20" hidden="1" x14ac:dyDescent="0.25">
      <c r="A823" s="7" t="str">
        <f t="shared" si="305"/>
        <v>T-822</v>
      </c>
      <c r="B823" s="8">
        <v>46276</v>
      </c>
      <c r="C823" s="7" t="s">
        <v>161</v>
      </c>
      <c r="D823" s="7" t="s">
        <v>28</v>
      </c>
      <c r="E823" s="7" t="s">
        <v>58</v>
      </c>
      <c r="F823" s="7">
        <v>102.25</v>
      </c>
      <c r="G823" s="7">
        <v>101.25</v>
      </c>
      <c r="H823" s="9">
        <f>Tabla1[[#This Row],[Entry Price]]-(Tabla1[[#This Row],[Entry Price]]-Tabla1[[#This Row],[Initial Stop]])/2</f>
        <v>101.75</v>
      </c>
      <c r="I823" s="7">
        <v>10</v>
      </c>
      <c r="J823" s="7">
        <f t="shared" si="306"/>
        <v>10</v>
      </c>
      <c r="K823" s="7">
        <v>1</v>
      </c>
      <c r="L823" s="7">
        <f t="shared" si="307"/>
        <v>10</v>
      </c>
      <c r="M823" s="7" t="s">
        <v>72</v>
      </c>
      <c r="N823" s="7">
        <f>SUMIF(Executions!B:B,A823,Executions!H:H)</f>
        <v>-10.100000000000051</v>
      </c>
      <c r="O823" s="7">
        <f t="shared" si="308"/>
        <v>-1.0100000000000051</v>
      </c>
      <c r="P823" s="9">
        <f>Tabla1[[#This Row],[Initial Risk $]]/Tabla1[[#This Row],[Position Size (shares)]]+Tabla1[[#This Row],[Entry Price]]</f>
        <v>103.25</v>
      </c>
      <c r="Q823" s="9">
        <f>Tabla1[[#This Row],[Initial Risk $]]/Tabla1[[#This Row],[Position Size (shares)]]*1.5+Tabla1[[#This Row],[Entry Price]]</f>
        <v>103.75</v>
      </c>
      <c r="R823" s="9">
        <f>Tabla1[[#This Row],[Initial Risk $]]/Tabla1[[#This Row],[Position Size (shares)]]*2+Tabla1[[#This Row],[Entry Price]]</f>
        <v>104.25</v>
      </c>
      <c r="S823" s="9">
        <f>Tabla1[[#This Row],[Initial Risk $]]/Tabla1[[#This Row],[Position Size (shares)]]*2.5+Tabla1[[#This Row],[Entry Price]]</f>
        <v>104.75</v>
      </c>
      <c r="T823" s="9">
        <f>Tabla1[[#This Row],[Initial Risk $]]/Tabla1[[#This Row],[Position Size (shares)]]*3+Tabla1[[#This Row],[Entry Price]]</f>
        <v>105.25</v>
      </c>
    </row>
    <row r="824" spans="1:20" x14ac:dyDescent="0.25">
      <c r="A824" s="7" t="str">
        <f t="shared" si="305"/>
        <v>T-823</v>
      </c>
      <c r="B824" s="8">
        <v>46276</v>
      </c>
      <c r="C824" s="7" t="s">
        <v>1097</v>
      </c>
      <c r="D824" s="7" t="s">
        <v>28</v>
      </c>
      <c r="E824" s="7" t="s">
        <v>27</v>
      </c>
      <c r="F824" s="7">
        <v>2.0699999999999998</v>
      </c>
      <c r="G824" s="7">
        <v>1.85</v>
      </c>
      <c r="H824" s="9">
        <f>Tabla1[[#This Row],[Entry Price]]-(Tabla1[[#This Row],[Entry Price]]-Tabla1[[#This Row],[Initial Stop]])/2</f>
        <v>1.96</v>
      </c>
      <c r="I824" s="7">
        <v>40</v>
      </c>
      <c r="J824" s="7">
        <f t="shared" si="306"/>
        <v>8.7999999999999901</v>
      </c>
      <c r="K824" s="7">
        <v>1</v>
      </c>
      <c r="L824" s="7">
        <f t="shared" si="307"/>
        <v>8.7999999999999901</v>
      </c>
      <c r="M824" s="7" t="s">
        <v>1072</v>
      </c>
      <c r="N824" s="7">
        <f>SUMIF(Executions!B:B,A824,Executions!H:H)</f>
        <v>0</v>
      </c>
      <c r="O824" s="7">
        <f t="shared" si="308"/>
        <v>0</v>
      </c>
      <c r="P824" s="9">
        <f>Tabla1[[#This Row],[Initial Risk $]]/Tabla1[[#This Row],[Position Size (shares)]]+Tabla1[[#This Row],[Entry Price]]</f>
        <v>2.2899999999999996</v>
      </c>
      <c r="Q824" s="9">
        <f>Tabla1[[#This Row],[Initial Risk $]]/Tabla1[[#This Row],[Position Size (shares)]]*1.5+Tabla1[[#This Row],[Entry Price]]</f>
        <v>2.3999999999999995</v>
      </c>
      <c r="R824" s="9">
        <f>Tabla1[[#This Row],[Initial Risk $]]/Tabla1[[#This Row],[Position Size (shares)]]*2+Tabla1[[#This Row],[Entry Price]]</f>
        <v>2.5099999999999993</v>
      </c>
      <c r="S824" s="9">
        <f>Tabla1[[#This Row],[Initial Risk $]]/Tabla1[[#This Row],[Position Size (shares)]]*2.5+Tabla1[[#This Row],[Entry Price]]</f>
        <v>2.6199999999999992</v>
      </c>
      <c r="T824" s="9">
        <f>Tabla1[[#This Row],[Initial Risk $]]/Tabla1[[#This Row],[Position Size (shares)]]*3+Tabla1[[#This Row],[Entry Price]]</f>
        <v>2.7299999999999991</v>
      </c>
    </row>
    <row r="825" spans="1:20" hidden="1" x14ac:dyDescent="0.25">
      <c r="A825" s="7" t="str">
        <f t="shared" si="305"/>
        <v>T-824</v>
      </c>
      <c r="B825" s="8">
        <v>46276</v>
      </c>
      <c r="C825" s="7" t="s">
        <v>164</v>
      </c>
      <c r="D825" s="7" t="s">
        <v>28</v>
      </c>
      <c r="E825" s="7" t="s">
        <v>58</v>
      </c>
      <c r="F825" s="7">
        <v>220.24</v>
      </c>
      <c r="G825" s="7">
        <v>218.24</v>
      </c>
      <c r="H825" s="9">
        <f>Tabla1[[#This Row],[Entry Price]]-(Tabla1[[#This Row],[Entry Price]]-Tabla1[[#This Row],[Initial Stop]])/2</f>
        <v>219.24</v>
      </c>
      <c r="I825" s="7">
        <v>5</v>
      </c>
      <c r="J825" s="7">
        <f t="shared" si="306"/>
        <v>10</v>
      </c>
      <c r="K825" s="7">
        <v>1</v>
      </c>
      <c r="L825" s="7">
        <f t="shared" si="307"/>
        <v>10</v>
      </c>
      <c r="M825" s="7" t="s">
        <v>72</v>
      </c>
      <c r="N825" s="7">
        <f>SUMIF(Executions!B:B,A825,Executions!H:H)</f>
        <v>-6.8000000000000682</v>
      </c>
      <c r="O825" s="7">
        <f t="shared" si="308"/>
        <v>-0.68000000000000682</v>
      </c>
      <c r="P825" s="9">
        <f>Tabla1[[#This Row],[Initial Risk $]]/Tabla1[[#This Row],[Position Size (shares)]]+Tabla1[[#This Row],[Entry Price]]</f>
        <v>222.24</v>
      </c>
      <c r="Q825" s="9">
        <f>Tabla1[[#This Row],[Initial Risk $]]/Tabla1[[#This Row],[Position Size (shares)]]*1.5+Tabla1[[#This Row],[Entry Price]]</f>
        <v>223.24</v>
      </c>
      <c r="R825" s="9">
        <f>Tabla1[[#This Row],[Initial Risk $]]/Tabla1[[#This Row],[Position Size (shares)]]*2+Tabla1[[#This Row],[Entry Price]]</f>
        <v>224.24</v>
      </c>
      <c r="S825" s="9">
        <f>Tabla1[[#This Row],[Initial Risk $]]/Tabla1[[#This Row],[Position Size (shares)]]*2.5+Tabla1[[#This Row],[Entry Price]]</f>
        <v>225.24</v>
      </c>
      <c r="T825" s="9">
        <f>Tabla1[[#This Row],[Initial Risk $]]/Tabla1[[#This Row],[Position Size (shares)]]*3+Tabla1[[#This Row],[Entry Price]]</f>
        <v>226.24</v>
      </c>
    </row>
    <row r="826" spans="1:20" hidden="1" x14ac:dyDescent="0.25">
      <c r="A826" s="7" t="str">
        <f t="shared" si="305"/>
        <v>T-825</v>
      </c>
      <c r="B826" s="8">
        <v>46276</v>
      </c>
      <c r="C826" s="7" t="s">
        <v>279</v>
      </c>
      <c r="D826" s="7" t="s">
        <v>28</v>
      </c>
      <c r="E826" s="7" t="s">
        <v>53</v>
      </c>
      <c r="F826" s="7">
        <v>975.47</v>
      </c>
      <c r="G826" s="7">
        <v>965.47</v>
      </c>
      <c r="H826" s="9">
        <f>Tabla1[[#This Row],[Entry Price]]-(Tabla1[[#This Row],[Entry Price]]-Tabla1[[#This Row],[Initial Stop]])/2</f>
        <v>970.47</v>
      </c>
      <c r="I826" s="7">
        <v>1</v>
      </c>
      <c r="J826" s="7">
        <f t="shared" si="306"/>
        <v>10</v>
      </c>
      <c r="K826" s="7">
        <v>1</v>
      </c>
      <c r="L826" s="7">
        <f t="shared" si="307"/>
        <v>10</v>
      </c>
      <c r="M826" s="7" t="s">
        <v>72</v>
      </c>
      <c r="N826" s="7">
        <f>SUMIF(Executions!B:B,A826,Executions!H:H)</f>
        <v>-0.21000000000003638</v>
      </c>
      <c r="O826" s="7">
        <f t="shared" si="308"/>
        <v>-2.1000000000003637E-2</v>
      </c>
      <c r="P826" s="9">
        <f>Tabla1[[#This Row],[Initial Risk $]]/Tabla1[[#This Row],[Position Size (shares)]]+Tabla1[[#This Row],[Entry Price]]</f>
        <v>985.47</v>
      </c>
      <c r="Q826" s="9">
        <f>Tabla1[[#This Row],[Initial Risk $]]/Tabla1[[#This Row],[Position Size (shares)]]*1.5+Tabla1[[#This Row],[Entry Price]]</f>
        <v>990.47</v>
      </c>
      <c r="R826" s="9">
        <f>Tabla1[[#This Row],[Initial Risk $]]/Tabla1[[#This Row],[Position Size (shares)]]*2+Tabla1[[#This Row],[Entry Price]]</f>
        <v>995.47</v>
      </c>
      <c r="S826" s="9">
        <f>Tabla1[[#This Row],[Initial Risk $]]/Tabla1[[#This Row],[Position Size (shares)]]*2.5+Tabla1[[#This Row],[Entry Price]]</f>
        <v>1000.47</v>
      </c>
      <c r="T826" s="9">
        <f>Tabla1[[#This Row],[Initial Risk $]]/Tabla1[[#This Row],[Position Size (shares)]]*3+Tabla1[[#This Row],[Entry Price]]</f>
        <v>1005.47</v>
      </c>
    </row>
    <row r="827" spans="1:20" hidden="1" x14ac:dyDescent="0.25">
      <c r="A827" s="7" t="str">
        <f t="shared" si="305"/>
        <v>T-826</v>
      </c>
      <c r="B827" s="8">
        <v>46276</v>
      </c>
      <c r="C827" s="7" t="s">
        <v>294</v>
      </c>
      <c r="D827" s="7" t="s">
        <v>28</v>
      </c>
      <c r="E827" s="7" t="s">
        <v>51</v>
      </c>
      <c r="F827" s="7">
        <v>157.19</v>
      </c>
      <c r="G827" s="7">
        <v>154.38</v>
      </c>
      <c r="H827" s="9">
        <f>Tabla1[[#This Row],[Entry Price]]-(Tabla1[[#This Row],[Entry Price]]-Tabla1[[#This Row],[Initial Stop]])/2</f>
        <v>155.785</v>
      </c>
      <c r="I827" s="7">
        <v>4</v>
      </c>
      <c r="J827" s="7">
        <f t="shared" si="306"/>
        <v>11.240000000000009</v>
      </c>
      <c r="K827" s="7">
        <v>1</v>
      </c>
      <c r="L827" s="7">
        <f t="shared" si="307"/>
        <v>11.240000000000009</v>
      </c>
      <c r="M827" s="7" t="s">
        <v>72</v>
      </c>
      <c r="N827" s="7">
        <f>SUMIF(Executions!B:B,A827,Executions!H:H)</f>
        <v>-11.919999999999959</v>
      </c>
      <c r="O827" s="7">
        <f t="shared" si="308"/>
        <v>-1.0604982206405649</v>
      </c>
      <c r="P827" s="9">
        <f>Tabla1[[#This Row],[Initial Risk $]]/Tabla1[[#This Row],[Position Size (shares)]]+Tabla1[[#This Row],[Entry Price]]</f>
        <v>160</v>
      </c>
      <c r="Q827" s="9">
        <f>Tabla1[[#This Row],[Initial Risk $]]/Tabla1[[#This Row],[Position Size (shares)]]*1.5+Tabla1[[#This Row],[Entry Price]]</f>
        <v>161.405</v>
      </c>
      <c r="R827" s="9">
        <f>Tabla1[[#This Row],[Initial Risk $]]/Tabla1[[#This Row],[Position Size (shares)]]*2+Tabla1[[#This Row],[Entry Price]]</f>
        <v>162.81</v>
      </c>
      <c r="S827" s="9">
        <f>Tabla1[[#This Row],[Initial Risk $]]/Tabla1[[#This Row],[Position Size (shares)]]*2.5+Tabla1[[#This Row],[Entry Price]]</f>
        <v>164.215</v>
      </c>
      <c r="T827" s="9">
        <f>Tabla1[[#This Row],[Initial Risk $]]/Tabla1[[#This Row],[Position Size (shares)]]*3+Tabla1[[#This Row],[Entry Price]]</f>
        <v>165.62</v>
      </c>
    </row>
    <row r="828" spans="1:20" hidden="1" x14ac:dyDescent="0.25">
      <c r="A828" s="7" t="str">
        <f t="shared" si="305"/>
        <v>T-827</v>
      </c>
      <c r="B828" s="8">
        <v>46276</v>
      </c>
      <c r="C828" s="7" t="s">
        <v>130</v>
      </c>
      <c r="D828" s="7" t="s">
        <v>28</v>
      </c>
      <c r="E828" s="7" t="s">
        <v>119</v>
      </c>
      <c r="F828" s="7">
        <v>506.85</v>
      </c>
      <c r="G828" s="7">
        <v>501.35</v>
      </c>
      <c r="H828" s="9">
        <f>Tabla1[[#This Row],[Entry Price]]-(Tabla1[[#This Row],[Entry Price]]-Tabla1[[#This Row],[Initial Stop]])/2</f>
        <v>504.1</v>
      </c>
      <c r="I828" s="7">
        <v>2</v>
      </c>
      <c r="J828" s="7">
        <f t="shared" si="306"/>
        <v>11</v>
      </c>
      <c r="K828" s="7">
        <v>1</v>
      </c>
      <c r="L828" s="7">
        <f t="shared" si="307"/>
        <v>11</v>
      </c>
      <c r="M828" s="7" t="s">
        <v>72</v>
      </c>
      <c r="N828" s="7">
        <f>SUMIF(Executions!B:B,A828,Executions!H:H)</f>
        <v>20.3599999999999</v>
      </c>
      <c r="O828" s="7">
        <f t="shared" si="308"/>
        <v>1.8509090909090817</v>
      </c>
      <c r="P828" s="9">
        <f>Tabla1[[#This Row],[Initial Risk $]]/Tabla1[[#This Row],[Position Size (shares)]]+Tabla1[[#This Row],[Entry Price]]</f>
        <v>512.35</v>
      </c>
      <c r="Q828" s="9">
        <f>Tabla1[[#This Row],[Initial Risk $]]/Tabla1[[#This Row],[Position Size (shares)]]*1.5+Tabla1[[#This Row],[Entry Price]]</f>
        <v>515.1</v>
      </c>
      <c r="R828" s="9">
        <f>Tabla1[[#This Row],[Initial Risk $]]/Tabla1[[#This Row],[Position Size (shares)]]*2+Tabla1[[#This Row],[Entry Price]]</f>
        <v>517.85</v>
      </c>
      <c r="S828" s="9">
        <f>Tabla1[[#This Row],[Initial Risk $]]/Tabla1[[#This Row],[Position Size (shares)]]*2.5+Tabla1[[#This Row],[Entry Price]]</f>
        <v>520.6</v>
      </c>
      <c r="T828" s="9">
        <f>Tabla1[[#This Row],[Initial Risk $]]/Tabla1[[#This Row],[Position Size (shares)]]*3+Tabla1[[#This Row],[Entry Price]]</f>
        <v>523.35</v>
      </c>
    </row>
    <row r="829" spans="1:20" hidden="1" x14ac:dyDescent="0.25">
      <c r="A829" s="7" t="str">
        <f t="shared" si="305"/>
        <v>T-828</v>
      </c>
      <c r="B829" s="8">
        <v>46276</v>
      </c>
      <c r="C829" s="7" t="s">
        <v>417</v>
      </c>
      <c r="D829" s="7" t="s">
        <v>28</v>
      </c>
      <c r="E829" s="7" t="s">
        <v>58</v>
      </c>
      <c r="F829" s="7">
        <v>315.64999999999998</v>
      </c>
      <c r="G829" s="7">
        <v>311.60000000000002</v>
      </c>
      <c r="H829" s="9">
        <f>Tabla1[[#This Row],[Entry Price]]-(Tabla1[[#This Row],[Entry Price]]-Tabla1[[#This Row],[Initial Stop]])/2</f>
        <v>313.625</v>
      </c>
      <c r="I829" s="7">
        <v>2</v>
      </c>
      <c r="J829" s="7">
        <f t="shared" si="306"/>
        <v>8.0999999999999091</v>
      </c>
      <c r="K829" s="7">
        <v>1</v>
      </c>
      <c r="L829" s="7">
        <f t="shared" si="307"/>
        <v>8.0999999999999091</v>
      </c>
      <c r="M829" s="7" t="s">
        <v>72</v>
      </c>
      <c r="N829" s="7">
        <f>SUMIF(Executions!B:B,A829,Executions!H:H)</f>
        <v>17.32000000000005</v>
      </c>
      <c r="O829" s="7">
        <f t="shared" si="308"/>
        <v>2.1382716049383017</v>
      </c>
      <c r="P829" s="9">
        <f>Tabla1[[#This Row],[Initial Risk $]]/Tabla1[[#This Row],[Position Size (shares)]]+Tabla1[[#This Row],[Entry Price]]</f>
        <v>319.69999999999993</v>
      </c>
      <c r="Q829" s="9">
        <f>Tabla1[[#This Row],[Initial Risk $]]/Tabla1[[#This Row],[Position Size (shares)]]*1.5+Tabla1[[#This Row],[Entry Price]]</f>
        <v>321.72499999999991</v>
      </c>
      <c r="R829" s="9">
        <f>Tabla1[[#This Row],[Initial Risk $]]/Tabla1[[#This Row],[Position Size (shares)]]*2+Tabla1[[#This Row],[Entry Price]]</f>
        <v>323.74999999999989</v>
      </c>
      <c r="S829" s="9">
        <f>Tabla1[[#This Row],[Initial Risk $]]/Tabla1[[#This Row],[Position Size (shares)]]*2.5+Tabla1[[#This Row],[Entry Price]]</f>
        <v>325.77499999999986</v>
      </c>
      <c r="T829" s="9">
        <f>Tabla1[[#This Row],[Initial Risk $]]/Tabla1[[#This Row],[Position Size (shares)]]*3+Tabla1[[#This Row],[Entry Price]]</f>
        <v>327.79999999999984</v>
      </c>
    </row>
    <row r="830" spans="1:20" hidden="1" x14ac:dyDescent="0.25">
      <c r="A830" s="7" t="str">
        <f t="shared" si="305"/>
        <v>T-829</v>
      </c>
      <c r="B830" s="8">
        <v>46276</v>
      </c>
      <c r="C830" s="7" t="s">
        <v>1099</v>
      </c>
      <c r="D830" s="7" t="s">
        <v>28</v>
      </c>
      <c r="E830" s="7" t="s">
        <v>58</v>
      </c>
      <c r="F830" s="7">
        <v>93.06</v>
      </c>
      <c r="G830" s="7">
        <v>91.9</v>
      </c>
      <c r="H830" s="9">
        <f>Tabla1[[#This Row],[Entry Price]]-(Tabla1[[#This Row],[Entry Price]]-Tabla1[[#This Row],[Initial Stop]])/2</f>
        <v>92.48</v>
      </c>
      <c r="I830" s="7">
        <v>5</v>
      </c>
      <c r="J830" s="7">
        <f t="shared" si="306"/>
        <v>5.7999999999999829</v>
      </c>
      <c r="K830" s="7">
        <v>1</v>
      </c>
      <c r="L830" s="7">
        <f t="shared" si="307"/>
        <v>5.7999999999999829</v>
      </c>
      <c r="M830" s="7" t="s">
        <v>72</v>
      </c>
      <c r="N830" s="7">
        <f>SUMIF(Executions!B:B,A830,Executions!H:H)</f>
        <v>-4.2500000000000426</v>
      </c>
      <c r="O830" s="7">
        <f t="shared" si="308"/>
        <v>-0.73275862068966469</v>
      </c>
      <c r="P830" s="9">
        <f>Tabla1[[#This Row],[Initial Risk $]]/Tabla1[[#This Row],[Position Size (shares)]]+Tabla1[[#This Row],[Entry Price]]</f>
        <v>94.22</v>
      </c>
      <c r="Q830" s="9">
        <f>Tabla1[[#This Row],[Initial Risk $]]/Tabla1[[#This Row],[Position Size (shares)]]*1.5+Tabla1[[#This Row],[Entry Price]]</f>
        <v>94.8</v>
      </c>
      <c r="R830" s="9">
        <f>Tabla1[[#This Row],[Initial Risk $]]/Tabla1[[#This Row],[Position Size (shares)]]*2+Tabla1[[#This Row],[Entry Price]]</f>
        <v>95.38</v>
      </c>
      <c r="S830" s="9">
        <f>Tabla1[[#This Row],[Initial Risk $]]/Tabla1[[#This Row],[Position Size (shares)]]*2.5+Tabla1[[#This Row],[Entry Price]]</f>
        <v>95.96</v>
      </c>
      <c r="T830" s="9">
        <f>Tabla1[[#This Row],[Initial Risk $]]/Tabla1[[#This Row],[Position Size (shares)]]*3+Tabla1[[#This Row],[Entry Price]]</f>
        <v>96.539999999999992</v>
      </c>
    </row>
    <row r="831" spans="1:20" hidden="1" x14ac:dyDescent="0.25">
      <c r="A831" s="7" t="str">
        <f t="shared" si="305"/>
        <v>T-830</v>
      </c>
      <c r="B831" s="8">
        <v>46276</v>
      </c>
      <c r="C831" s="7" t="s">
        <v>359</v>
      </c>
      <c r="D831" s="7" t="s">
        <v>28</v>
      </c>
      <c r="E831" s="7" t="s">
        <v>1068</v>
      </c>
      <c r="F831" s="7">
        <v>76.930000000000007</v>
      </c>
      <c r="G831" s="7">
        <v>75.03</v>
      </c>
      <c r="H831" s="9">
        <f>Tabla1[[#This Row],[Entry Price]]-(Tabla1[[#This Row],[Entry Price]]-Tabla1[[#This Row],[Initial Stop]])/2</f>
        <v>75.98</v>
      </c>
      <c r="I831" s="7">
        <v>4</v>
      </c>
      <c r="J831" s="7">
        <f t="shared" si="306"/>
        <v>7.6000000000000227</v>
      </c>
      <c r="K831" s="7">
        <v>1</v>
      </c>
      <c r="L831" s="7">
        <f t="shared" si="307"/>
        <v>7.6000000000000227</v>
      </c>
      <c r="M831" s="7" t="s">
        <v>72</v>
      </c>
      <c r="N831" s="7">
        <f>SUMIF(Executions!B:B,A831,Executions!H:H)</f>
        <v>-22.720000000000027</v>
      </c>
      <c r="O831" s="7">
        <f t="shared" si="308"/>
        <v>-2.989473684210521</v>
      </c>
      <c r="P831" s="9">
        <f>Tabla1[[#This Row],[Initial Risk $]]/Tabla1[[#This Row],[Position Size (shares)]]+Tabla1[[#This Row],[Entry Price]]</f>
        <v>78.830000000000013</v>
      </c>
      <c r="Q831" s="9">
        <f>Tabla1[[#This Row],[Initial Risk $]]/Tabla1[[#This Row],[Position Size (shares)]]*1.5+Tabla1[[#This Row],[Entry Price]]</f>
        <v>79.780000000000015</v>
      </c>
      <c r="R831" s="9">
        <f>Tabla1[[#This Row],[Initial Risk $]]/Tabla1[[#This Row],[Position Size (shares)]]*2+Tabla1[[#This Row],[Entry Price]]</f>
        <v>80.730000000000018</v>
      </c>
      <c r="S831" s="9">
        <f>Tabla1[[#This Row],[Initial Risk $]]/Tabla1[[#This Row],[Position Size (shares)]]*2.5+Tabla1[[#This Row],[Entry Price]]</f>
        <v>81.680000000000021</v>
      </c>
      <c r="T831" s="9">
        <f>Tabla1[[#This Row],[Initial Risk $]]/Tabla1[[#This Row],[Position Size (shares)]]*3+Tabla1[[#This Row],[Entry Price]]</f>
        <v>82.630000000000024</v>
      </c>
    </row>
    <row r="832" spans="1:20" hidden="1" x14ac:dyDescent="0.25">
      <c r="A832" s="7" t="str">
        <f t="shared" ref="A832:A838" si="309">"T-"&amp; TEXT(ROW()-1,"000")</f>
        <v>T-831</v>
      </c>
      <c r="B832" s="8">
        <v>46279</v>
      </c>
      <c r="C832" s="7" t="s">
        <v>417</v>
      </c>
      <c r="D832" s="7" t="s">
        <v>28</v>
      </c>
      <c r="E832" s="7" t="s">
        <v>27</v>
      </c>
      <c r="F832" s="7">
        <v>325.29000000000002</v>
      </c>
      <c r="G832" s="7">
        <v>320.58999999999997</v>
      </c>
      <c r="H832" s="9">
        <f>Tabla1[[#This Row],[Entry Price]]-(Tabla1[[#This Row],[Entry Price]]-Tabla1[[#This Row],[Initial Stop]])/2</f>
        <v>322.94</v>
      </c>
      <c r="I832" s="7">
        <v>3</v>
      </c>
      <c r="J832" s="7">
        <f t="shared" ref="J832:J838" si="310">IF(D832="Long",(F832-G832)*I832,(G832-F832)*0)</f>
        <v>14.100000000000136</v>
      </c>
      <c r="K832" s="7">
        <v>1</v>
      </c>
      <c r="L832" s="7">
        <f t="shared" ref="L832:L838" si="311">J832*K832</f>
        <v>14.100000000000136</v>
      </c>
      <c r="M832" s="7" t="s">
        <v>72</v>
      </c>
      <c r="N832" s="7">
        <f>SUMIF(Executions!B:B,A832,Executions!H:H)</f>
        <v>-14.370000000000061</v>
      </c>
      <c r="O832" s="7">
        <f t="shared" ref="O832:O838" si="312">N832/J832</f>
        <v>-1.0191489361702073</v>
      </c>
      <c r="P832" s="9">
        <f>Tabla1[[#This Row],[Initial Risk $]]/Tabla1[[#This Row],[Position Size (shares)]]+Tabla1[[#This Row],[Entry Price]]</f>
        <v>329.99000000000007</v>
      </c>
      <c r="Q832" s="9">
        <f>Tabla1[[#This Row],[Initial Risk $]]/Tabla1[[#This Row],[Position Size (shares)]]*1.5+Tabla1[[#This Row],[Entry Price]]</f>
        <v>332.34000000000009</v>
      </c>
      <c r="R832" s="9">
        <f>Tabla1[[#This Row],[Initial Risk $]]/Tabla1[[#This Row],[Position Size (shares)]]*2+Tabla1[[#This Row],[Entry Price]]</f>
        <v>334.69000000000011</v>
      </c>
      <c r="S832" s="9">
        <f>Tabla1[[#This Row],[Initial Risk $]]/Tabla1[[#This Row],[Position Size (shares)]]*2.5+Tabla1[[#This Row],[Entry Price]]</f>
        <v>337.04000000000013</v>
      </c>
      <c r="T832" s="9">
        <f>Tabla1[[#This Row],[Initial Risk $]]/Tabla1[[#This Row],[Position Size (shares)]]*3+Tabla1[[#This Row],[Entry Price]]</f>
        <v>339.39000000000016</v>
      </c>
    </row>
    <row r="833" spans="1:20" hidden="1" x14ac:dyDescent="0.25">
      <c r="A833" s="7" t="str">
        <f t="shared" si="309"/>
        <v>T-832</v>
      </c>
      <c r="B833" s="8">
        <v>46279</v>
      </c>
      <c r="C833" s="7" t="s">
        <v>428</v>
      </c>
      <c r="D833" s="7" t="s">
        <v>28</v>
      </c>
      <c r="E833" s="7" t="s">
        <v>27</v>
      </c>
      <c r="F833" s="7">
        <v>532.05999999999995</v>
      </c>
      <c r="G833" s="7">
        <v>527.05999999999995</v>
      </c>
      <c r="H833" s="9">
        <f>Tabla1[[#This Row],[Entry Price]]-(Tabla1[[#This Row],[Entry Price]]-Tabla1[[#This Row],[Initial Stop]])/2</f>
        <v>529.55999999999995</v>
      </c>
      <c r="I833" s="7">
        <v>2</v>
      </c>
      <c r="J833" s="7">
        <f t="shared" si="310"/>
        <v>10</v>
      </c>
      <c r="K833" s="7">
        <v>1</v>
      </c>
      <c r="L833" s="7">
        <f t="shared" si="311"/>
        <v>10</v>
      </c>
      <c r="M833" s="7" t="s">
        <v>72</v>
      </c>
      <c r="N833" s="7">
        <f>SUMIF(Executions!B:B,A833,Executions!H:H)</f>
        <v>-9.9799999999997908</v>
      </c>
      <c r="O833" s="7">
        <f t="shared" si="312"/>
        <v>-0.99799999999997913</v>
      </c>
      <c r="P833" s="9">
        <f>Tabla1[[#This Row],[Initial Risk $]]/Tabla1[[#This Row],[Position Size (shares)]]+Tabla1[[#This Row],[Entry Price]]</f>
        <v>537.05999999999995</v>
      </c>
      <c r="Q833" s="9">
        <f>Tabla1[[#This Row],[Initial Risk $]]/Tabla1[[#This Row],[Position Size (shares)]]*1.5+Tabla1[[#This Row],[Entry Price]]</f>
        <v>539.55999999999995</v>
      </c>
      <c r="R833" s="9">
        <f>Tabla1[[#This Row],[Initial Risk $]]/Tabla1[[#This Row],[Position Size (shares)]]*2+Tabla1[[#This Row],[Entry Price]]</f>
        <v>542.05999999999995</v>
      </c>
      <c r="S833" s="9">
        <f>Tabla1[[#This Row],[Initial Risk $]]/Tabla1[[#This Row],[Position Size (shares)]]*2.5+Tabla1[[#This Row],[Entry Price]]</f>
        <v>544.55999999999995</v>
      </c>
      <c r="T833" s="9">
        <f>Tabla1[[#This Row],[Initial Risk $]]/Tabla1[[#This Row],[Position Size (shares)]]*3+Tabla1[[#This Row],[Entry Price]]</f>
        <v>547.05999999999995</v>
      </c>
    </row>
    <row r="834" spans="1:20" hidden="1" x14ac:dyDescent="0.25">
      <c r="A834" s="7" t="str">
        <f t="shared" si="309"/>
        <v>T-833</v>
      </c>
      <c r="B834" s="8">
        <v>46279</v>
      </c>
      <c r="C834" s="7" t="s">
        <v>279</v>
      </c>
      <c r="D834" s="7" t="s">
        <v>28</v>
      </c>
      <c r="E834" s="7" t="s">
        <v>58</v>
      </c>
      <c r="F834" s="7">
        <v>916.09</v>
      </c>
      <c r="G834" s="7">
        <v>901.09</v>
      </c>
      <c r="H834" s="9">
        <f>Tabla1[[#This Row],[Entry Price]]-(Tabla1[[#This Row],[Entry Price]]-Tabla1[[#This Row],[Initial Stop]])/2</f>
        <v>908.59</v>
      </c>
      <c r="I834" s="7">
        <v>1</v>
      </c>
      <c r="J834" s="7">
        <f t="shared" si="310"/>
        <v>15</v>
      </c>
      <c r="K834" s="7">
        <v>1</v>
      </c>
      <c r="L834" s="7">
        <f t="shared" si="311"/>
        <v>15</v>
      </c>
      <c r="M834" s="7" t="s">
        <v>72</v>
      </c>
      <c r="N834" s="7">
        <f>SUMIF(Executions!B:B,A834,Executions!H:H)</f>
        <v>11.860000000000014</v>
      </c>
      <c r="O834" s="7">
        <f t="shared" si="312"/>
        <v>0.79066666666666763</v>
      </c>
      <c r="P834" s="9">
        <f>Tabla1[[#This Row],[Initial Risk $]]/Tabla1[[#This Row],[Position Size (shares)]]+Tabla1[[#This Row],[Entry Price]]</f>
        <v>931.09</v>
      </c>
      <c r="Q834" s="9">
        <f>Tabla1[[#This Row],[Initial Risk $]]/Tabla1[[#This Row],[Position Size (shares)]]*1.5+Tabla1[[#This Row],[Entry Price]]</f>
        <v>938.59</v>
      </c>
      <c r="R834" s="9">
        <f>Tabla1[[#This Row],[Initial Risk $]]/Tabla1[[#This Row],[Position Size (shares)]]*2+Tabla1[[#This Row],[Entry Price]]</f>
        <v>946.09</v>
      </c>
      <c r="S834" s="9">
        <f>Tabla1[[#This Row],[Initial Risk $]]/Tabla1[[#This Row],[Position Size (shares)]]*2.5+Tabla1[[#This Row],[Entry Price]]</f>
        <v>953.59</v>
      </c>
      <c r="T834" s="9">
        <f>Tabla1[[#This Row],[Initial Risk $]]/Tabla1[[#This Row],[Position Size (shares)]]*3+Tabla1[[#This Row],[Entry Price]]</f>
        <v>961.09</v>
      </c>
    </row>
    <row r="835" spans="1:20" hidden="1" x14ac:dyDescent="0.25">
      <c r="A835" s="7" t="str">
        <f t="shared" si="309"/>
        <v>T-834</v>
      </c>
      <c r="B835" s="8">
        <v>46279</v>
      </c>
      <c r="C835" s="7" t="s">
        <v>417</v>
      </c>
      <c r="D835" s="7" t="s">
        <v>28</v>
      </c>
      <c r="E835" s="7" t="s">
        <v>27</v>
      </c>
      <c r="F835" s="7">
        <v>325.92</v>
      </c>
      <c r="G835" s="7">
        <v>320.45999999999998</v>
      </c>
      <c r="H835" s="9">
        <f>Tabla1[[#This Row],[Entry Price]]-(Tabla1[[#This Row],[Entry Price]]-Tabla1[[#This Row],[Initial Stop]])/2</f>
        <v>323.19</v>
      </c>
      <c r="I835" s="7">
        <v>3</v>
      </c>
      <c r="J835" s="7">
        <f t="shared" si="310"/>
        <v>16.380000000000109</v>
      </c>
      <c r="K835" s="7">
        <v>1</v>
      </c>
      <c r="L835" s="7">
        <f t="shared" si="311"/>
        <v>16.380000000000109</v>
      </c>
      <c r="M835" s="7" t="s">
        <v>72</v>
      </c>
      <c r="N835" s="7">
        <f>SUMIF(Executions!B:B,A835,Executions!H:H)</f>
        <v>16.860000000000014</v>
      </c>
      <c r="O835" s="7">
        <f t="shared" si="312"/>
        <v>1.0293040293040232</v>
      </c>
      <c r="P835" s="9">
        <f>Tabla1[[#This Row],[Initial Risk $]]/Tabla1[[#This Row],[Position Size (shares)]]+Tabla1[[#This Row],[Entry Price]]</f>
        <v>331.38000000000005</v>
      </c>
      <c r="Q835" s="9">
        <f>Tabla1[[#This Row],[Initial Risk $]]/Tabla1[[#This Row],[Position Size (shares)]]*1.5+Tabla1[[#This Row],[Entry Price]]</f>
        <v>334.11000000000007</v>
      </c>
      <c r="R835" s="9">
        <f>Tabla1[[#This Row],[Initial Risk $]]/Tabla1[[#This Row],[Position Size (shares)]]*2+Tabla1[[#This Row],[Entry Price]]</f>
        <v>336.84000000000009</v>
      </c>
      <c r="S835" s="9">
        <f>Tabla1[[#This Row],[Initial Risk $]]/Tabla1[[#This Row],[Position Size (shares)]]*2.5+Tabla1[[#This Row],[Entry Price]]</f>
        <v>339.57000000000011</v>
      </c>
      <c r="T835" s="9">
        <f>Tabla1[[#This Row],[Initial Risk $]]/Tabla1[[#This Row],[Position Size (shares)]]*3+Tabla1[[#This Row],[Entry Price]]</f>
        <v>342.30000000000013</v>
      </c>
    </row>
    <row r="836" spans="1:20" hidden="1" x14ac:dyDescent="0.25">
      <c r="A836" s="7" t="str">
        <f t="shared" si="309"/>
        <v>T-835</v>
      </c>
      <c r="B836" s="8">
        <v>46279</v>
      </c>
      <c r="C836" s="7" t="s">
        <v>428</v>
      </c>
      <c r="D836" s="7" t="s">
        <v>28</v>
      </c>
      <c r="E836" s="7" t="s">
        <v>27</v>
      </c>
      <c r="F836" s="7">
        <v>533.53</v>
      </c>
      <c r="G836" s="7">
        <v>526</v>
      </c>
      <c r="H836" s="9">
        <f>Tabla1[[#This Row],[Entry Price]]-(Tabla1[[#This Row],[Entry Price]]-Tabla1[[#This Row],[Initial Stop]])/2</f>
        <v>529.76499999999999</v>
      </c>
      <c r="I836" s="7">
        <v>2</v>
      </c>
      <c r="J836" s="7">
        <f t="shared" si="310"/>
        <v>15.059999999999945</v>
      </c>
      <c r="K836" s="7">
        <v>1</v>
      </c>
      <c r="L836" s="7">
        <f t="shared" si="311"/>
        <v>15.059999999999945</v>
      </c>
      <c r="M836" s="7" t="s">
        <v>72</v>
      </c>
      <c r="N836" s="7">
        <f>SUMIF(Executions!B:B,A836,Executions!H:H)</f>
        <v>17.380000000000109</v>
      </c>
      <c r="O836" s="7">
        <f t="shared" si="312"/>
        <v>1.1540504648074483</v>
      </c>
      <c r="P836" s="9">
        <f>Tabla1[[#This Row],[Initial Risk $]]/Tabla1[[#This Row],[Position Size (shares)]]+Tabla1[[#This Row],[Entry Price]]</f>
        <v>541.05999999999995</v>
      </c>
      <c r="Q836" s="9">
        <f>Tabla1[[#This Row],[Initial Risk $]]/Tabla1[[#This Row],[Position Size (shares)]]*1.5+Tabla1[[#This Row],[Entry Price]]</f>
        <v>544.82499999999993</v>
      </c>
      <c r="R836" s="9">
        <f>Tabla1[[#This Row],[Initial Risk $]]/Tabla1[[#This Row],[Position Size (shares)]]*2+Tabla1[[#This Row],[Entry Price]]</f>
        <v>548.58999999999992</v>
      </c>
      <c r="S836" s="9">
        <f>Tabla1[[#This Row],[Initial Risk $]]/Tabla1[[#This Row],[Position Size (shares)]]*2.5+Tabla1[[#This Row],[Entry Price]]</f>
        <v>552.3549999999999</v>
      </c>
      <c r="T836" s="9">
        <f>Tabla1[[#This Row],[Initial Risk $]]/Tabla1[[#This Row],[Position Size (shares)]]*3+Tabla1[[#This Row],[Entry Price]]</f>
        <v>556.11999999999989</v>
      </c>
    </row>
    <row r="837" spans="1:20" hidden="1" x14ac:dyDescent="0.25">
      <c r="A837" s="7" t="str">
        <f t="shared" si="309"/>
        <v>T-836</v>
      </c>
      <c r="B837" s="8">
        <v>46279</v>
      </c>
      <c r="C837" s="7" t="s">
        <v>550</v>
      </c>
      <c r="D837" s="7" t="s">
        <v>28</v>
      </c>
      <c r="E837" s="7" t="s">
        <v>27</v>
      </c>
      <c r="F837" s="7">
        <v>72.489999999999995</v>
      </c>
      <c r="G837" s="7">
        <v>71.650000000000006</v>
      </c>
      <c r="H837" s="9">
        <f>Tabla1[[#This Row],[Entry Price]]-(Tabla1[[#This Row],[Entry Price]]-Tabla1[[#This Row],[Initial Stop]])/2</f>
        <v>72.069999999999993</v>
      </c>
      <c r="I837" s="7">
        <v>10</v>
      </c>
      <c r="J837" s="7">
        <f t="shared" si="310"/>
        <v>8.399999999999892</v>
      </c>
      <c r="K837" s="7">
        <v>1</v>
      </c>
      <c r="L837" s="7">
        <f t="shared" si="311"/>
        <v>8.399999999999892</v>
      </c>
      <c r="M837" s="7" t="s">
        <v>72</v>
      </c>
      <c r="N837" s="7">
        <f>SUMIF(Executions!B:B,A837,Executions!H:H)</f>
        <v>2.0000000000000284</v>
      </c>
      <c r="O837" s="7">
        <f t="shared" si="312"/>
        <v>0.23809523809524455</v>
      </c>
      <c r="P837" s="9">
        <f>Tabla1[[#This Row],[Initial Risk $]]/Tabla1[[#This Row],[Position Size (shares)]]+Tabla1[[#This Row],[Entry Price]]</f>
        <v>73.329999999999984</v>
      </c>
      <c r="Q837" s="9">
        <f>Tabla1[[#This Row],[Initial Risk $]]/Tabla1[[#This Row],[Position Size (shares)]]*1.5+Tabla1[[#This Row],[Entry Price]]</f>
        <v>73.749999999999972</v>
      </c>
      <c r="R837" s="9">
        <f>Tabla1[[#This Row],[Initial Risk $]]/Tabla1[[#This Row],[Position Size (shares)]]*2+Tabla1[[#This Row],[Entry Price]]</f>
        <v>74.169999999999973</v>
      </c>
      <c r="S837" s="9">
        <f>Tabla1[[#This Row],[Initial Risk $]]/Tabla1[[#This Row],[Position Size (shares)]]*2.5+Tabla1[[#This Row],[Entry Price]]</f>
        <v>74.589999999999975</v>
      </c>
      <c r="T837" s="9">
        <f>Tabla1[[#This Row],[Initial Risk $]]/Tabla1[[#This Row],[Position Size (shares)]]*3+Tabla1[[#This Row],[Entry Price]]</f>
        <v>75.009999999999962</v>
      </c>
    </row>
    <row r="838" spans="1:20" hidden="1" x14ac:dyDescent="0.25">
      <c r="A838" s="7" t="str">
        <f t="shared" si="309"/>
        <v>T-837</v>
      </c>
      <c r="B838" s="8">
        <v>46279</v>
      </c>
      <c r="C838" s="7" t="s">
        <v>399</v>
      </c>
      <c r="D838" s="7" t="s">
        <v>28</v>
      </c>
      <c r="E838" s="7" t="s">
        <v>27</v>
      </c>
      <c r="F838" s="7">
        <v>34.04</v>
      </c>
      <c r="G838" s="7">
        <v>33.56</v>
      </c>
      <c r="H838" s="9">
        <f>Tabla1[[#This Row],[Entry Price]]-(Tabla1[[#This Row],[Entry Price]]-Tabla1[[#This Row],[Initial Stop]])/2</f>
        <v>33.799999999999997</v>
      </c>
      <c r="I838" s="7">
        <v>20</v>
      </c>
      <c r="J838" s="7">
        <f t="shared" si="310"/>
        <v>9.5999999999999375</v>
      </c>
      <c r="K838" s="7">
        <v>1</v>
      </c>
      <c r="L838" s="7">
        <f t="shared" si="311"/>
        <v>9.5999999999999375</v>
      </c>
      <c r="M838" s="7" t="s">
        <v>72</v>
      </c>
      <c r="N838" s="7">
        <f>SUMIF(Executions!B:B,A838,Executions!H:H)</f>
        <v>4.8999999999999488</v>
      </c>
      <c r="O838" s="7">
        <f t="shared" si="312"/>
        <v>0.51041666666666463</v>
      </c>
      <c r="P838" s="9">
        <f>Tabla1[[#This Row],[Initial Risk $]]/Tabla1[[#This Row],[Position Size (shares)]]+Tabla1[[#This Row],[Entry Price]]</f>
        <v>34.519999999999996</v>
      </c>
      <c r="Q838" s="9">
        <f>Tabla1[[#This Row],[Initial Risk $]]/Tabla1[[#This Row],[Position Size (shares)]]*1.5+Tabla1[[#This Row],[Entry Price]]</f>
        <v>34.759999999999991</v>
      </c>
      <c r="R838" s="9">
        <f>Tabla1[[#This Row],[Initial Risk $]]/Tabla1[[#This Row],[Position Size (shares)]]*2+Tabla1[[#This Row],[Entry Price]]</f>
        <v>34.999999999999993</v>
      </c>
      <c r="S838" s="9">
        <f>Tabla1[[#This Row],[Initial Risk $]]/Tabla1[[#This Row],[Position Size (shares)]]*2.5+Tabla1[[#This Row],[Entry Price]]</f>
        <v>35.239999999999995</v>
      </c>
      <c r="T838" s="9">
        <f>Tabla1[[#This Row],[Initial Risk $]]/Tabla1[[#This Row],[Position Size (shares)]]*3+Tabla1[[#This Row],[Entry Price]]</f>
        <v>35.47999999999999</v>
      </c>
    </row>
    <row r="839" spans="1:20" hidden="1" x14ac:dyDescent="0.25">
      <c r="A839" s="7" t="str">
        <f t="shared" ref="A839:A845" si="313">"T-"&amp; TEXT(ROW()-1,"000")</f>
        <v>T-838</v>
      </c>
      <c r="B839" s="8">
        <v>46280</v>
      </c>
      <c r="C839" s="7" t="s">
        <v>130</v>
      </c>
      <c r="D839" s="7" t="s">
        <v>28</v>
      </c>
      <c r="E839" s="7" t="s">
        <v>50</v>
      </c>
      <c r="F839" s="7">
        <v>501.7</v>
      </c>
      <c r="G839" s="7">
        <v>496.7</v>
      </c>
      <c r="H839" s="9">
        <f>Tabla1[[#This Row],[Entry Price]]-(Tabla1[[#This Row],[Entry Price]]-Tabla1[[#This Row],[Initial Stop]])/2</f>
        <v>499.2</v>
      </c>
      <c r="I839" s="7">
        <v>2</v>
      </c>
      <c r="J839" s="7">
        <f t="shared" ref="J839:J845" si="314">IF(D839="Long",(F839-G839)*I839,(G839-F839)*0)</f>
        <v>10</v>
      </c>
      <c r="K839" s="7">
        <v>1</v>
      </c>
      <c r="L839" s="7">
        <f t="shared" ref="L839:L845" si="315">J839*K839</f>
        <v>10</v>
      </c>
      <c r="M839" s="7" t="s">
        <v>72</v>
      </c>
      <c r="N839" s="7">
        <f>SUMIF(Executions!B:B,A839,Executions!H:H)</f>
        <v>4.6800000000000637</v>
      </c>
      <c r="O839" s="7">
        <f t="shared" ref="O839:O845" si="316">N839/J839</f>
        <v>0.46800000000000636</v>
      </c>
      <c r="P839" s="9">
        <f>Tabla1[[#This Row],[Initial Risk $]]/Tabla1[[#This Row],[Position Size (shares)]]+Tabla1[[#This Row],[Entry Price]]</f>
        <v>506.7</v>
      </c>
      <c r="Q839" s="9">
        <f>Tabla1[[#This Row],[Initial Risk $]]/Tabla1[[#This Row],[Position Size (shares)]]*1.5+Tabla1[[#This Row],[Entry Price]]</f>
        <v>509.2</v>
      </c>
      <c r="R839" s="9">
        <f>Tabla1[[#This Row],[Initial Risk $]]/Tabla1[[#This Row],[Position Size (shares)]]*2+Tabla1[[#This Row],[Entry Price]]</f>
        <v>511.7</v>
      </c>
      <c r="S839" s="9">
        <f>Tabla1[[#This Row],[Initial Risk $]]/Tabla1[[#This Row],[Position Size (shares)]]*2.5+Tabla1[[#This Row],[Entry Price]]</f>
        <v>514.20000000000005</v>
      </c>
      <c r="T839" s="9">
        <f>Tabla1[[#This Row],[Initial Risk $]]/Tabla1[[#This Row],[Position Size (shares)]]*3+Tabla1[[#This Row],[Entry Price]]</f>
        <v>516.70000000000005</v>
      </c>
    </row>
    <row r="840" spans="1:20" hidden="1" x14ac:dyDescent="0.25">
      <c r="A840" s="7" t="str">
        <f t="shared" si="313"/>
        <v>T-839</v>
      </c>
      <c r="B840" s="8">
        <v>46280</v>
      </c>
      <c r="C840" s="7" t="s">
        <v>279</v>
      </c>
      <c r="D840" s="7" t="s">
        <v>28</v>
      </c>
      <c r="E840" s="7" t="s">
        <v>58</v>
      </c>
      <c r="F840" s="7">
        <v>932.52</v>
      </c>
      <c r="G840" s="7">
        <v>920</v>
      </c>
      <c r="H840" s="9">
        <f>Tabla1[[#This Row],[Entry Price]]-(Tabla1[[#This Row],[Entry Price]]-Tabla1[[#This Row],[Initial Stop]])/2</f>
        <v>926.26</v>
      </c>
      <c r="I840" s="7">
        <v>2</v>
      </c>
      <c r="J840" s="7">
        <f t="shared" si="314"/>
        <v>25.039999999999964</v>
      </c>
      <c r="K840" s="7">
        <v>1</v>
      </c>
      <c r="L840" s="7">
        <f t="shared" si="315"/>
        <v>25.039999999999964</v>
      </c>
      <c r="M840" s="7" t="s">
        <v>72</v>
      </c>
      <c r="N840" s="7">
        <f>SUMIF(Executions!B:B,A840,Executions!H:H)</f>
        <v>-10.220000000000027</v>
      </c>
      <c r="O840" s="7">
        <f t="shared" si="316"/>
        <v>-0.4081469648562317</v>
      </c>
      <c r="P840" s="9">
        <f>Tabla1[[#This Row],[Initial Risk $]]/Tabla1[[#This Row],[Position Size (shares)]]+Tabla1[[#This Row],[Entry Price]]</f>
        <v>945.04</v>
      </c>
      <c r="Q840" s="9">
        <f>Tabla1[[#This Row],[Initial Risk $]]/Tabla1[[#This Row],[Position Size (shares)]]*1.5+Tabla1[[#This Row],[Entry Price]]</f>
        <v>951.3</v>
      </c>
      <c r="R840" s="9">
        <f>Tabla1[[#This Row],[Initial Risk $]]/Tabla1[[#This Row],[Position Size (shares)]]*2+Tabla1[[#This Row],[Entry Price]]</f>
        <v>957.56</v>
      </c>
      <c r="S840" s="9">
        <f>Tabla1[[#This Row],[Initial Risk $]]/Tabla1[[#This Row],[Position Size (shares)]]*2.5+Tabla1[[#This Row],[Entry Price]]</f>
        <v>963.81999999999994</v>
      </c>
      <c r="T840" s="9">
        <f>Tabla1[[#This Row],[Initial Risk $]]/Tabla1[[#This Row],[Position Size (shares)]]*3+Tabla1[[#This Row],[Entry Price]]</f>
        <v>970.07999999999993</v>
      </c>
    </row>
    <row r="841" spans="1:20" hidden="1" x14ac:dyDescent="0.25">
      <c r="A841" s="7" t="str">
        <f t="shared" si="313"/>
        <v>T-840</v>
      </c>
      <c r="B841" s="8">
        <v>46280</v>
      </c>
      <c r="C841" s="7" t="s">
        <v>417</v>
      </c>
      <c r="D841" s="7" t="s">
        <v>28</v>
      </c>
      <c r="E841" s="7" t="s">
        <v>119</v>
      </c>
      <c r="F841" s="7">
        <v>332.04</v>
      </c>
      <c r="G841" s="7">
        <v>324.04000000000002</v>
      </c>
      <c r="H841" s="9">
        <f>Tabla1[[#This Row],[Entry Price]]-(Tabla1[[#This Row],[Entry Price]]-Tabla1[[#This Row],[Initial Stop]])/2</f>
        <v>328.04</v>
      </c>
      <c r="I841" s="7">
        <v>2</v>
      </c>
      <c r="J841" s="7">
        <f t="shared" si="314"/>
        <v>16</v>
      </c>
      <c r="K841" s="7">
        <v>1</v>
      </c>
      <c r="L841" s="7">
        <f t="shared" si="315"/>
        <v>16</v>
      </c>
      <c r="M841" s="7" t="s">
        <v>72</v>
      </c>
      <c r="N841" s="7">
        <f>SUMIF(Executions!B:B,A841,Executions!H:H)</f>
        <v>-15.800000000000068</v>
      </c>
      <c r="O841" s="7">
        <f t="shared" si="316"/>
        <v>-0.98750000000000426</v>
      </c>
      <c r="P841" s="9">
        <f>Tabla1[[#This Row],[Initial Risk $]]/Tabla1[[#This Row],[Position Size (shares)]]+Tabla1[[#This Row],[Entry Price]]</f>
        <v>340.04</v>
      </c>
      <c r="Q841" s="9">
        <f>Tabla1[[#This Row],[Initial Risk $]]/Tabla1[[#This Row],[Position Size (shares)]]*1.5+Tabla1[[#This Row],[Entry Price]]</f>
        <v>344.04</v>
      </c>
      <c r="R841" s="9">
        <f>Tabla1[[#This Row],[Initial Risk $]]/Tabla1[[#This Row],[Position Size (shares)]]*2+Tabla1[[#This Row],[Entry Price]]</f>
        <v>348.04</v>
      </c>
      <c r="S841" s="9">
        <f>Tabla1[[#This Row],[Initial Risk $]]/Tabla1[[#This Row],[Position Size (shares)]]*2.5+Tabla1[[#This Row],[Entry Price]]</f>
        <v>352.04</v>
      </c>
      <c r="T841" s="9">
        <f>Tabla1[[#This Row],[Initial Risk $]]/Tabla1[[#This Row],[Position Size (shares)]]*3+Tabla1[[#This Row],[Entry Price]]</f>
        <v>356.04</v>
      </c>
    </row>
    <row r="842" spans="1:20" hidden="1" x14ac:dyDescent="0.25">
      <c r="A842" s="7" t="str">
        <f t="shared" si="313"/>
        <v>T-841</v>
      </c>
      <c r="B842" s="8">
        <v>46280</v>
      </c>
      <c r="C842" s="7" t="s">
        <v>164</v>
      </c>
      <c r="D842" s="7" t="s">
        <v>28</v>
      </c>
      <c r="E842" s="7" t="s">
        <v>119</v>
      </c>
      <c r="F842" s="7">
        <v>213.96</v>
      </c>
      <c r="G842" s="7">
        <v>211.96</v>
      </c>
      <c r="H842" s="9">
        <f>Tabla1[[#This Row],[Entry Price]]-(Tabla1[[#This Row],[Entry Price]]-Tabla1[[#This Row],[Initial Stop]])/2</f>
        <v>212.96</v>
      </c>
      <c r="I842" s="7">
        <v>4</v>
      </c>
      <c r="J842" s="7">
        <f t="shared" si="314"/>
        <v>8</v>
      </c>
      <c r="K842" s="7">
        <v>1</v>
      </c>
      <c r="L842" s="7">
        <f t="shared" si="315"/>
        <v>8</v>
      </c>
      <c r="M842" s="7" t="s">
        <v>72</v>
      </c>
      <c r="N842" s="7">
        <f>SUMIF(Executions!B:B,A842,Executions!H:H)</f>
        <v>-7.9200000000000728</v>
      </c>
      <c r="O842" s="7">
        <f t="shared" si="316"/>
        <v>-0.99000000000000909</v>
      </c>
      <c r="P842" s="9">
        <f>Tabla1[[#This Row],[Initial Risk $]]/Tabla1[[#This Row],[Position Size (shares)]]+Tabla1[[#This Row],[Entry Price]]</f>
        <v>215.96</v>
      </c>
      <c r="Q842" s="9">
        <f>Tabla1[[#This Row],[Initial Risk $]]/Tabla1[[#This Row],[Position Size (shares)]]*1.5+Tabla1[[#This Row],[Entry Price]]</f>
        <v>216.96</v>
      </c>
      <c r="R842" s="9">
        <f>Tabla1[[#This Row],[Initial Risk $]]/Tabla1[[#This Row],[Position Size (shares)]]*2+Tabla1[[#This Row],[Entry Price]]</f>
        <v>217.96</v>
      </c>
      <c r="S842" s="9">
        <f>Tabla1[[#This Row],[Initial Risk $]]/Tabla1[[#This Row],[Position Size (shares)]]*2.5+Tabla1[[#This Row],[Entry Price]]</f>
        <v>218.96</v>
      </c>
      <c r="T842" s="9">
        <f>Tabla1[[#This Row],[Initial Risk $]]/Tabla1[[#This Row],[Position Size (shares)]]*3+Tabla1[[#This Row],[Entry Price]]</f>
        <v>219.96</v>
      </c>
    </row>
    <row r="843" spans="1:20" hidden="1" x14ac:dyDescent="0.25">
      <c r="A843" s="7" t="str">
        <f t="shared" si="313"/>
        <v>T-842</v>
      </c>
      <c r="B843" s="8">
        <v>46280</v>
      </c>
      <c r="C843" s="7" t="s">
        <v>399</v>
      </c>
      <c r="D843" s="7" t="s">
        <v>28</v>
      </c>
      <c r="E843" s="7" t="s">
        <v>58</v>
      </c>
      <c r="F843" s="7">
        <v>34.51</v>
      </c>
      <c r="G843" s="7">
        <v>33.83</v>
      </c>
      <c r="H843" s="9">
        <f>Tabla1[[#This Row],[Entry Price]]-(Tabla1[[#This Row],[Entry Price]]-Tabla1[[#This Row],[Initial Stop]])/2</f>
        <v>34.17</v>
      </c>
      <c r="I843" s="7">
        <v>10</v>
      </c>
      <c r="J843" s="7">
        <f t="shared" si="314"/>
        <v>6.7999999999999972</v>
      </c>
      <c r="K843" s="7">
        <v>1</v>
      </c>
      <c r="L843" s="7">
        <f t="shared" si="315"/>
        <v>6.7999999999999972</v>
      </c>
      <c r="M843" s="7" t="s">
        <v>72</v>
      </c>
      <c r="N843" s="7">
        <f>SUMIF(Executions!B:B,A843,Executions!H:H)</f>
        <v>-6.4999999999999858</v>
      </c>
      <c r="O843" s="7">
        <f t="shared" si="316"/>
        <v>-0.95588235294117474</v>
      </c>
      <c r="P843" s="9">
        <f>Tabla1[[#This Row],[Initial Risk $]]/Tabla1[[#This Row],[Position Size (shares)]]+Tabla1[[#This Row],[Entry Price]]</f>
        <v>35.19</v>
      </c>
      <c r="Q843" s="9">
        <f>Tabla1[[#This Row],[Initial Risk $]]/Tabla1[[#This Row],[Position Size (shares)]]*1.5+Tabla1[[#This Row],[Entry Price]]</f>
        <v>35.53</v>
      </c>
      <c r="R843" s="9">
        <f>Tabla1[[#This Row],[Initial Risk $]]/Tabla1[[#This Row],[Position Size (shares)]]*2+Tabla1[[#This Row],[Entry Price]]</f>
        <v>35.869999999999997</v>
      </c>
      <c r="S843" s="9">
        <f>Tabla1[[#This Row],[Initial Risk $]]/Tabla1[[#This Row],[Position Size (shares)]]*2.5+Tabla1[[#This Row],[Entry Price]]</f>
        <v>36.209999999999994</v>
      </c>
      <c r="T843" s="9">
        <f>Tabla1[[#This Row],[Initial Risk $]]/Tabla1[[#This Row],[Position Size (shares)]]*3+Tabla1[[#This Row],[Entry Price]]</f>
        <v>36.549999999999997</v>
      </c>
    </row>
    <row r="844" spans="1:20" hidden="1" x14ac:dyDescent="0.25">
      <c r="A844" s="7" t="str">
        <f t="shared" si="313"/>
        <v>T-843</v>
      </c>
      <c r="B844" s="8">
        <v>46280</v>
      </c>
      <c r="C844" s="7" t="s">
        <v>1113</v>
      </c>
      <c r="D844" s="7" t="s">
        <v>28</v>
      </c>
      <c r="E844" s="7" t="s">
        <v>58</v>
      </c>
      <c r="F844" s="7">
        <v>6.11</v>
      </c>
      <c r="G844" s="7">
        <v>5.24</v>
      </c>
      <c r="H844" s="9">
        <f>Tabla1[[#This Row],[Entry Price]]-(Tabla1[[#This Row],[Entry Price]]-Tabla1[[#This Row],[Initial Stop]])/2</f>
        <v>5.6750000000000007</v>
      </c>
      <c r="I844" s="7">
        <v>12</v>
      </c>
      <c r="J844" s="7">
        <f t="shared" si="314"/>
        <v>10.440000000000001</v>
      </c>
      <c r="K844" s="7">
        <v>1</v>
      </c>
      <c r="L844" s="7">
        <f t="shared" si="315"/>
        <v>10.440000000000001</v>
      </c>
      <c r="M844" s="7" t="s">
        <v>72</v>
      </c>
      <c r="N844" s="7">
        <f>SUMIF(Executions!B:B,A844,Executions!H:H)</f>
        <v>-10.680000000000007</v>
      </c>
      <c r="O844" s="7">
        <f t="shared" si="316"/>
        <v>-1.0229885057471271</v>
      </c>
      <c r="P844" s="9">
        <f>Tabla1[[#This Row],[Initial Risk $]]/Tabla1[[#This Row],[Position Size (shares)]]+Tabla1[[#This Row],[Entry Price]]</f>
        <v>6.98</v>
      </c>
      <c r="Q844" s="9">
        <f>Tabla1[[#This Row],[Initial Risk $]]/Tabla1[[#This Row],[Position Size (shares)]]*1.5+Tabla1[[#This Row],[Entry Price]]</f>
        <v>7.4150000000000009</v>
      </c>
      <c r="R844" s="9">
        <f>Tabla1[[#This Row],[Initial Risk $]]/Tabla1[[#This Row],[Position Size (shares)]]*2+Tabla1[[#This Row],[Entry Price]]</f>
        <v>7.8500000000000005</v>
      </c>
      <c r="S844" s="9">
        <f>Tabla1[[#This Row],[Initial Risk $]]/Tabla1[[#This Row],[Position Size (shares)]]*2.5+Tabla1[[#This Row],[Entry Price]]</f>
        <v>8.2850000000000001</v>
      </c>
      <c r="T844" s="9">
        <f>Tabla1[[#This Row],[Initial Risk $]]/Tabla1[[#This Row],[Position Size (shares)]]*3+Tabla1[[#This Row],[Entry Price]]</f>
        <v>8.7200000000000006</v>
      </c>
    </row>
    <row r="845" spans="1:20" hidden="1" x14ac:dyDescent="0.25">
      <c r="A845" s="7" t="str">
        <f t="shared" si="313"/>
        <v>T-844</v>
      </c>
      <c r="B845" s="8">
        <v>46280</v>
      </c>
      <c r="C845" s="7" t="s">
        <v>294</v>
      </c>
      <c r="D845" s="7" t="s">
        <v>28</v>
      </c>
      <c r="E845" s="7" t="s">
        <v>58</v>
      </c>
      <c r="F845" s="7">
        <v>142.74</v>
      </c>
      <c r="G845" s="7">
        <v>140.47999999999999</v>
      </c>
      <c r="H845" s="9">
        <f>Tabla1[[#This Row],[Entry Price]]-(Tabla1[[#This Row],[Entry Price]]-Tabla1[[#This Row],[Initial Stop]])/2</f>
        <v>141.61000000000001</v>
      </c>
      <c r="I845" s="7">
        <v>4</v>
      </c>
      <c r="J845" s="7">
        <f t="shared" si="314"/>
        <v>9.0400000000000773</v>
      </c>
      <c r="K845" s="7">
        <v>1</v>
      </c>
      <c r="L845" s="7">
        <f t="shared" si="315"/>
        <v>9.0400000000000773</v>
      </c>
      <c r="M845" s="7" t="s">
        <v>72</v>
      </c>
      <c r="N845" s="7">
        <f>SUMIF(Executions!B:B,A845,Executions!H:H)</f>
        <v>-1.4000000000000909</v>
      </c>
      <c r="O845" s="7">
        <f t="shared" si="316"/>
        <v>-0.15486725663717688</v>
      </c>
      <c r="P845" s="9">
        <f>Tabla1[[#This Row],[Initial Risk $]]/Tabla1[[#This Row],[Position Size (shares)]]+Tabla1[[#This Row],[Entry Price]]</f>
        <v>145.00000000000003</v>
      </c>
      <c r="Q845" s="9">
        <f>Tabla1[[#This Row],[Initial Risk $]]/Tabla1[[#This Row],[Position Size (shares)]]*1.5+Tabla1[[#This Row],[Entry Price]]</f>
        <v>146.13000000000005</v>
      </c>
      <c r="R845" s="9">
        <f>Tabla1[[#This Row],[Initial Risk $]]/Tabla1[[#This Row],[Position Size (shares)]]*2+Tabla1[[#This Row],[Entry Price]]</f>
        <v>147.26000000000005</v>
      </c>
      <c r="S845" s="9">
        <f>Tabla1[[#This Row],[Initial Risk $]]/Tabla1[[#This Row],[Position Size (shares)]]*2.5+Tabla1[[#This Row],[Entry Price]]</f>
        <v>148.39000000000004</v>
      </c>
      <c r="T845" s="9">
        <f>Tabla1[[#This Row],[Initial Risk $]]/Tabla1[[#This Row],[Position Size (shares)]]*3+Tabla1[[#This Row],[Entry Price]]</f>
        <v>149.52000000000007</v>
      </c>
    </row>
    <row r="846" spans="1:20" hidden="1" x14ac:dyDescent="0.25">
      <c r="A846" s="7" t="str">
        <f t="shared" ref="A846:A854" si="317">"T-"&amp; TEXT(ROW()-1,"000")</f>
        <v>T-845</v>
      </c>
      <c r="B846" s="8">
        <v>46280</v>
      </c>
      <c r="C846" s="7" t="s">
        <v>130</v>
      </c>
      <c r="D846" s="7" t="s">
        <v>28</v>
      </c>
      <c r="E846" s="7" t="s">
        <v>60</v>
      </c>
      <c r="F846" s="7">
        <v>502.06</v>
      </c>
      <c r="G846" s="7">
        <v>496.98</v>
      </c>
      <c r="H846" s="9">
        <f>Tabla1[[#This Row],[Entry Price]]-(Tabla1[[#This Row],[Entry Price]]-Tabla1[[#This Row],[Initial Stop]])/2</f>
        <v>499.52</v>
      </c>
      <c r="I846" s="7">
        <v>2</v>
      </c>
      <c r="J846" s="7">
        <f t="shared" ref="J846:J854" si="318">IF(D846="Long",(F846-G846)*I846,(G846-F846)*0)</f>
        <v>10.159999999999968</v>
      </c>
      <c r="K846" s="7">
        <v>1</v>
      </c>
      <c r="L846" s="7">
        <f t="shared" ref="L846:L854" si="319">J846*K846</f>
        <v>10.159999999999968</v>
      </c>
      <c r="M846" s="7" t="s">
        <v>72</v>
      </c>
      <c r="N846" s="7">
        <f>SUMIF(Executions!B:B,A846,Executions!H:H)</f>
        <v>3.3700000000000045</v>
      </c>
      <c r="O846" s="7">
        <f t="shared" ref="O846:O854" si="320">N846/J846</f>
        <v>0.33169291338582824</v>
      </c>
      <c r="P846" s="9">
        <f>Tabla1[[#This Row],[Initial Risk $]]/Tabla1[[#This Row],[Position Size (shares)]]+Tabla1[[#This Row],[Entry Price]]</f>
        <v>507.14</v>
      </c>
      <c r="Q846" s="9">
        <f>Tabla1[[#This Row],[Initial Risk $]]/Tabla1[[#This Row],[Position Size (shares)]]*1.5+Tabla1[[#This Row],[Entry Price]]</f>
        <v>509.67999999999995</v>
      </c>
      <c r="R846" s="9">
        <f>Tabla1[[#This Row],[Initial Risk $]]/Tabla1[[#This Row],[Position Size (shares)]]*2+Tabla1[[#This Row],[Entry Price]]</f>
        <v>512.22</v>
      </c>
      <c r="S846" s="9">
        <f>Tabla1[[#This Row],[Initial Risk $]]/Tabla1[[#This Row],[Position Size (shares)]]*2.5+Tabla1[[#This Row],[Entry Price]]</f>
        <v>514.76</v>
      </c>
      <c r="T846" s="9">
        <f>Tabla1[[#This Row],[Initial Risk $]]/Tabla1[[#This Row],[Position Size (shares)]]*3+Tabla1[[#This Row],[Entry Price]]</f>
        <v>517.29999999999995</v>
      </c>
    </row>
    <row r="847" spans="1:20" hidden="1" x14ac:dyDescent="0.25">
      <c r="A847" s="7" t="str">
        <f t="shared" si="317"/>
        <v>T-846</v>
      </c>
      <c r="B847" s="1">
        <v>46265</v>
      </c>
      <c r="C847" t="s">
        <v>279</v>
      </c>
      <c r="D847" t="s">
        <v>28</v>
      </c>
      <c r="E847" t="s">
        <v>58</v>
      </c>
      <c r="F847">
        <v>944.28</v>
      </c>
      <c r="G847">
        <v>929.4</v>
      </c>
      <c r="H847" s="9">
        <f>Tabla1[[#This Row],[Entry Price]]-(Tabla1[[#This Row],[Entry Price]]-Tabla1[[#This Row],[Initial Stop]])/2</f>
        <v>936.83999999999992</v>
      </c>
      <c r="I847">
        <v>1</v>
      </c>
      <c r="J847" s="7">
        <f t="shared" si="318"/>
        <v>14.879999999999995</v>
      </c>
      <c r="K847" s="7">
        <v>1</v>
      </c>
      <c r="L847" s="7">
        <f t="shared" si="319"/>
        <v>14.879999999999995</v>
      </c>
      <c r="M847" s="7" t="s">
        <v>72</v>
      </c>
      <c r="N847" s="7">
        <f>SUMIF(Executions!B:B,A847,Executions!H:H)</f>
        <v>-2.4099999999999682</v>
      </c>
      <c r="O847" s="7">
        <f t="shared" si="320"/>
        <v>-0.16196236559139576</v>
      </c>
      <c r="P847" s="9">
        <f>Tabla1[[#This Row],[Initial Risk $]]/Tabla1[[#This Row],[Position Size (shares)]]+Tabla1[[#This Row],[Entry Price]]</f>
        <v>959.16</v>
      </c>
      <c r="Q847" s="9">
        <f>Tabla1[[#This Row],[Initial Risk $]]/Tabla1[[#This Row],[Position Size (shares)]]*1.5+Tabla1[[#This Row],[Entry Price]]</f>
        <v>966.59999999999991</v>
      </c>
      <c r="R847" s="9">
        <f>Tabla1[[#This Row],[Initial Risk $]]/Tabla1[[#This Row],[Position Size (shares)]]*2+Tabla1[[#This Row],[Entry Price]]</f>
        <v>974.04</v>
      </c>
      <c r="S847" s="9">
        <f>Tabla1[[#This Row],[Initial Risk $]]/Tabla1[[#This Row],[Position Size (shares)]]*2.5+Tabla1[[#This Row],[Entry Price]]</f>
        <v>981.48</v>
      </c>
      <c r="T847" s="9">
        <f>Tabla1[[#This Row],[Initial Risk $]]/Tabla1[[#This Row],[Position Size (shares)]]*3+Tabla1[[#This Row],[Entry Price]]</f>
        <v>988.92</v>
      </c>
    </row>
    <row r="848" spans="1:20" hidden="1" x14ac:dyDescent="0.25">
      <c r="A848" s="7" t="str">
        <f t="shared" si="317"/>
        <v>T-847</v>
      </c>
      <c r="B848" s="1">
        <v>46265</v>
      </c>
      <c r="C848" t="s">
        <v>135</v>
      </c>
      <c r="D848" t="s">
        <v>28</v>
      </c>
      <c r="E848" t="s">
        <v>58</v>
      </c>
      <c r="F848">
        <v>241.85</v>
      </c>
      <c r="G848">
        <v>238.26</v>
      </c>
      <c r="H848" s="9">
        <f>Tabla1[[#This Row],[Entry Price]]-(Tabla1[[#This Row],[Entry Price]]-Tabla1[[#This Row],[Initial Stop]])/2</f>
        <v>240.05500000000001</v>
      </c>
      <c r="I848">
        <v>4</v>
      </c>
      <c r="J848" s="7">
        <f t="shared" si="318"/>
        <v>14.360000000000014</v>
      </c>
      <c r="K848" s="7">
        <v>1</v>
      </c>
      <c r="L848" s="7">
        <f t="shared" si="319"/>
        <v>14.360000000000014</v>
      </c>
      <c r="M848" s="7" t="s">
        <v>72</v>
      </c>
      <c r="N848" s="7">
        <f>SUMIF(Executions!B:B,A848,Executions!H:H)</f>
        <v>-14.439999999999941</v>
      </c>
      <c r="O848" s="7">
        <f t="shared" si="320"/>
        <v>-1.0055710306406636</v>
      </c>
      <c r="P848" s="9">
        <f>Tabla1[[#This Row],[Initial Risk $]]/Tabla1[[#This Row],[Position Size (shares)]]+Tabla1[[#This Row],[Entry Price]]</f>
        <v>245.44</v>
      </c>
      <c r="Q848" s="9">
        <f>Tabla1[[#This Row],[Initial Risk $]]/Tabla1[[#This Row],[Position Size (shares)]]*1.5+Tabla1[[#This Row],[Entry Price]]</f>
        <v>247.23500000000001</v>
      </c>
      <c r="R848" s="9">
        <f>Tabla1[[#This Row],[Initial Risk $]]/Tabla1[[#This Row],[Position Size (shares)]]*2+Tabla1[[#This Row],[Entry Price]]</f>
        <v>249.03</v>
      </c>
      <c r="S848" s="9">
        <f>Tabla1[[#This Row],[Initial Risk $]]/Tabla1[[#This Row],[Position Size (shares)]]*2.5+Tabla1[[#This Row],[Entry Price]]</f>
        <v>250.82499999999999</v>
      </c>
      <c r="T848" s="9">
        <f>Tabla1[[#This Row],[Initial Risk $]]/Tabla1[[#This Row],[Position Size (shares)]]*3+Tabla1[[#This Row],[Entry Price]]</f>
        <v>252.62</v>
      </c>
    </row>
    <row r="849" spans="1:20" hidden="1" x14ac:dyDescent="0.25">
      <c r="A849" s="7" t="str">
        <f t="shared" si="317"/>
        <v>T-848</v>
      </c>
      <c r="B849" s="1">
        <v>46265</v>
      </c>
      <c r="C849" t="s">
        <v>150</v>
      </c>
      <c r="D849" t="s">
        <v>28</v>
      </c>
      <c r="E849" t="s">
        <v>58</v>
      </c>
      <c r="F849">
        <v>12.29</v>
      </c>
      <c r="G849">
        <v>12.07</v>
      </c>
      <c r="H849" s="9">
        <f>Tabla1[[#This Row],[Entry Price]]-(Tabla1[[#This Row],[Entry Price]]-Tabla1[[#This Row],[Initial Stop]])/2</f>
        <v>12.18</v>
      </c>
      <c r="I849">
        <v>50</v>
      </c>
      <c r="J849" s="7">
        <f t="shared" si="318"/>
        <v>10.999999999999943</v>
      </c>
      <c r="K849" s="7">
        <v>1</v>
      </c>
      <c r="L849" s="7">
        <f t="shared" si="319"/>
        <v>10.999999999999943</v>
      </c>
      <c r="M849" s="7" t="s">
        <v>72</v>
      </c>
      <c r="N849" s="7">
        <f>SUMIF(Executions!B:B,A849,Executions!H:H)</f>
        <v>1.5000000000000568</v>
      </c>
      <c r="O849" s="7">
        <f t="shared" si="320"/>
        <v>0.13636363636364224</v>
      </c>
      <c r="P849" s="9">
        <f>Tabla1[[#This Row],[Initial Risk $]]/Tabla1[[#This Row],[Position Size (shares)]]+Tabla1[[#This Row],[Entry Price]]</f>
        <v>12.509999999999998</v>
      </c>
      <c r="Q849" s="9">
        <f>Tabla1[[#This Row],[Initial Risk $]]/Tabla1[[#This Row],[Position Size (shares)]]*1.5+Tabla1[[#This Row],[Entry Price]]</f>
        <v>12.619999999999997</v>
      </c>
      <c r="R849" s="9">
        <f>Tabla1[[#This Row],[Initial Risk $]]/Tabla1[[#This Row],[Position Size (shares)]]*2+Tabla1[[#This Row],[Entry Price]]</f>
        <v>12.729999999999997</v>
      </c>
      <c r="S849" s="9">
        <f>Tabla1[[#This Row],[Initial Risk $]]/Tabla1[[#This Row],[Position Size (shares)]]*2.5+Tabla1[[#This Row],[Entry Price]]</f>
        <v>12.839999999999996</v>
      </c>
      <c r="T849" s="9">
        <f>Tabla1[[#This Row],[Initial Risk $]]/Tabla1[[#This Row],[Position Size (shares)]]*3+Tabla1[[#This Row],[Entry Price]]</f>
        <v>12.949999999999996</v>
      </c>
    </row>
    <row r="850" spans="1:20" hidden="1" x14ac:dyDescent="0.25">
      <c r="A850" s="7" t="str">
        <f t="shared" si="317"/>
        <v>T-849</v>
      </c>
      <c r="B850" s="1">
        <v>46265</v>
      </c>
      <c r="C850" t="s">
        <v>97</v>
      </c>
      <c r="D850" t="s">
        <v>28</v>
      </c>
      <c r="E850" t="s">
        <v>58</v>
      </c>
      <c r="F850">
        <v>14.64</v>
      </c>
      <c r="G850">
        <v>14.33</v>
      </c>
      <c r="H850" s="9">
        <f>Tabla1[[#This Row],[Entry Price]]-(Tabla1[[#This Row],[Entry Price]]-Tabla1[[#This Row],[Initial Stop]])/2</f>
        <v>14.484999999999999</v>
      </c>
      <c r="I850">
        <v>30</v>
      </c>
      <c r="J850" s="7">
        <f t="shared" si="318"/>
        <v>9.3000000000000149</v>
      </c>
      <c r="K850" s="7">
        <v>1</v>
      </c>
      <c r="L850" s="7">
        <f t="shared" si="319"/>
        <v>9.3000000000000149</v>
      </c>
      <c r="M850" s="7" t="s">
        <v>72</v>
      </c>
      <c r="N850" s="7">
        <f>SUMIF(Executions!B:B,A850,Executions!H:H)</f>
        <v>1.4999999999965041E-2</v>
      </c>
      <c r="O850" s="7">
        <f t="shared" si="320"/>
        <v>1.6129032258026901E-3</v>
      </c>
      <c r="P850" s="9">
        <f>Tabla1[[#This Row],[Initial Risk $]]/Tabla1[[#This Row],[Position Size (shares)]]+Tabla1[[#This Row],[Entry Price]]</f>
        <v>14.950000000000001</v>
      </c>
      <c r="Q850" s="9">
        <f>Tabla1[[#This Row],[Initial Risk $]]/Tabla1[[#This Row],[Position Size (shares)]]*1.5+Tabla1[[#This Row],[Entry Price]]</f>
        <v>15.105</v>
      </c>
      <c r="R850" s="9">
        <f>Tabla1[[#This Row],[Initial Risk $]]/Tabla1[[#This Row],[Position Size (shares)]]*2+Tabla1[[#This Row],[Entry Price]]</f>
        <v>15.260000000000002</v>
      </c>
      <c r="S850" s="9">
        <f>Tabla1[[#This Row],[Initial Risk $]]/Tabla1[[#This Row],[Position Size (shares)]]*2.5+Tabla1[[#This Row],[Entry Price]]</f>
        <v>15.415000000000003</v>
      </c>
      <c r="T850" s="9">
        <f>Tabla1[[#This Row],[Initial Risk $]]/Tabla1[[#This Row],[Position Size (shares)]]*3+Tabla1[[#This Row],[Entry Price]]</f>
        <v>15.570000000000002</v>
      </c>
    </row>
    <row r="851" spans="1:20" hidden="1" x14ac:dyDescent="0.25">
      <c r="A851" s="7" t="str">
        <f t="shared" si="317"/>
        <v>T-850</v>
      </c>
      <c r="B851" s="1">
        <v>46265</v>
      </c>
      <c r="C851" t="s">
        <v>164</v>
      </c>
      <c r="D851" t="s">
        <v>28</v>
      </c>
      <c r="E851" t="s">
        <v>119</v>
      </c>
      <c r="F851">
        <v>219.21</v>
      </c>
      <c r="G851">
        <v>216.04</v>
      </c>
      <c r="H851" s="9">
        <f>Tabla1[[#This Row],[Entry Price]]-(Tabla1[[#This Row],[Entry Price]]-Tabla1[[#This Row],[Initial Stop]])/2</f>
        <v>217.625</v>
      </c>
      <c r="I851">
        <v>4</v>
      </c>
      <c r="J851" s="7">
        <f t="shared" si="318"/>
        <v>12.680000000000064</v>
      </c>
      <c r="K851" s="7">
        <v>1</v>
      </c>
      <c r="L851" s="7">
        <f t="shared" si="319"/>
        <v>12.680000000000064</v>
      </c>
      <c r="M851" s="7" t="s">
        <v>72</v>
      </c>
      <c r="N851" s="7">
        <f>SUMIF(Executions!B:B,A851,Executions!H:H)</f>
        <v>0.39999999999997726</v>
      </c>
      <c r="O851" s="7">
        <f t="shared" si="320"/>
        <v>3.1545741324919184E-2</v>
      </c>
      <c r="P851" s="9">
        <f>Tabla1[[#This Row],[Initial Risk $]]/Tabla1[[#This Row],[Position Size (shares)]]+Tabla1[[#This Row],[Entry Price]]</f>
        <v>222.38000000000002</v>
      </c>
      <c r="Q851" s="9">
        <f>Tabla1[[#This Row],[Initial Risk $]]/Tabla1[[#This Row],[Position Size (shares)]]*1.5+Tabla1[[#This Row],[Entry Price]]</f>
        <v>223.96500000000003</v>
      </c>
      <c r="R851" s="9">
        <f>Tabla1[[#This Row],[Initial Risk $]]/Tabla1[[#This Row],[Position Size (shares)]]*2+Tabla1[[#This Row],[Entry Price]]</f>
        <v>225.55000000000004</v>
      </c>
      <c r="S851" s="9">
        <f>Tabla1[[#This Row],[Initial Risk $]]/Tabla1[[#This Row],[Position Size (shares)]]*2.5+Tabla1[[#This Row],[Entry Price]]</f>
        <v>227.13500000000005</v>
      </c>
      <c r="T851" s="9">
        <f>Tabla1[[#This Row],[Initial Risk $]]/Tabla1[[#This Row],[Position Size (shares)]]*3+Tabla1[[#This Row],[Entry Price]]</f>
        <v>228.72000000000006</v>
      </c>
    </row>
    <row r="852" spans="1:20" hidden="1" x14ac:dyDescent="0.25">
      <c r="A852" s="7" t="str">
        <f t="shared" si="317"/>
        <v>T-851</v>
      </c>
      <c r="B852" s="1">
        <v>46265</v>
      </c>
      <c r="C852" t="s">
        <v>130</v>
      </c>
      <c r="D852" t="s">
        <v>28</v>
      </c>
      <c r="E852" t="s">
        <v>119</v>
      </c>
      <c r="F852">
        <v>470.9</v>
      </c>
      <c r="G852">
        <v>465.01</v>
      </c>
      <c r="H852" s="9">
        <f>Tabla1[[#This Row],[Entry Price]]-(Tabla1[[#This Row],[Entry Price]]-Tabla1[[#This Row],[Initial Stop]])/2</f>
        <v>467.95499999999998</v>
      </c>
      <c r="I852">
        <v>2</v>
      </c>
      <c r="J852" s="7">
        <f t="shared" si="318"/>
        <v>11.779999999999973</v>
      </c>
      <c r="K852" s="7">
        <v>1</v>
      </c>
      <c r="L852" s="7">
        <f t="shared" si="319"/>
        <v>11.779999999999973</v>
      </c>
      <c r="M852" s="7" t="s">
        <v>72</v>
      </c>
      <c r="N852" s="7">
        <f>SUMIF(Executions!B:B,A852,Executions!H:H)</f>
        <v>-8</v>
      </c>
      <c r="O852" s="7">
        <f t="shared" si="320"/>
        <v>-0.67911714770798115</v>
      </c>
      <c r="P852" s="9">
        <f>Tabla1[[#This Row],[Initial Risk $]]/Tabla1[[#This Row],[Position Size (shares)]]+Tabla1[[#This Row],[Entry Price]]</f>
        <v>476.78999999999996</v>
      </c>
      <c r="Q852" s="9">
        <f>Tabla1[[#This Row],[Initial Risk $]]/Tabla1[[#This Row],[Position Size (shares)]]*1.5+Tabla1[[#This Row],[Entry Price]]</f>
        <v>479.73499999999996</v>
      </c>
      <c r="R852" s="9">
        <f>Tabla1[[#This Row],[Initial Risk $]]/Tabla1[[#This Row],[Position Size (shares)]]*2+Tabla1[[#This Row],[Entry Price]]</f>
        <v>482.67999999999995</v>
      </c>
      <c r="S852" s="9">
        <f>Tabla1[[#This Row],[Initial Risk $]]/Tabla1[[#This Row],[Position Size (shares)]]*2.5+Tabla1[[#This Row],[Entry Price]]</f>
        <v>485.62499999999994</v>
      </c>
      <c r="T852" s="9">
        <f>Tabla1[[#This Row],[Initial Risk $]]/Tabla1[[#This Row],[Position Size (shares)]]*3+Tabla1[[#This Row],[Entry Price]]</f>
        <v>488.56999999999994</v>
      </c>
    </row>
    <row r="853" spans="1:20" hidden="1" x14ac:dyDescent="0.25">
      <c r="A853" s="7" t="str">
        <f t="shared" si="317"/>
        <v>T-852</v>
      </c>
      <c r="B853" s="1">
        <v>46265</v>
      </c>
      <c r="C853" t="s">
        <v>359</v>
      </c>
      <c r="D853" t="s">
        <v>28</v>
      </c>
      <c r="E853" t="s">
        <v>119</v>
      </c>
      <c r="F853">
        <v>81.349999999999994</v>
      </c>
      <c r="G853">
        <v>80.77</v>
      </c>
      <c r="H853" s="9">
        <f>Tabla1[[#This Row],[Entry Price]]-(Tabla1[[#This Row],[Entry Price]]-Tabla1[[#This Row],[Initial Stop]])/2</f>
        <v>81.06</v>
      </c>
      <c r="I853">
        <v>10</v>
      </c>
      <c r="J853" s="7">
        <f t="shared" si="318"/>
        <v>5.7999999999999829</v>
      </c>
      <c r="K853" s="7">
        <v>1</v>
      </c>
      <c r="L853" s="7">
        <f t="shared" si="319"/>
        <v>5.7999999999999829</v>
      </c>
      <c r="M853" s="7" t="s">
        <v>72</v>
      </c>
      <c r="N853" s="7">
        <f>SUMIF(Executions!B:B,A853,Executions!H:H)</f>
        <v>-4.9999999999954525E-2</v>
      </c>
      <c r="O853" s="7">
        <f t="shared" si="320"/>
        <v>-8.6206896551645987E-3</v>
      </c>
      <c r="P853" s="9">
        <f>Tabla1[[#This Row],[Initial Risk $]]/Tabla1[[#This Row],[Position Size (shares)]]+Tabla1[[#This Row],[Entry Price]]</f>
        <v>81.929999999999993</v>
      </c>
      <c r="Q853" s="9">
        <f>Tabla1[[#This Row],[Initial Risk $]]/Tabla1[[#This Row],[Position Size (shares)]]*1.5+Tabla1[[#This Row],[Entry Price]]</f>
        <v>82.22</v>
      </c>
      <c r="R853" s="9">
        <f>Tabla1[[#This Row],[Initial Risk $]]/Tabla1[[#This Row],[Position Size (shares)]]*2+Tabla1[[#This Row],[Entry Price]]</f>
        <v>82.509999999999991</v>
      </c>
      <c r="S853" s="9">
        <f>Tabla1[[#This Row],[Initial Risk $]]/Tabla1[[#This Row],[Position Size (shares)]]*2.5+Tabla1[[#This Row],[Entry Price]]</f>
        <v>82.799999999999983</v>
      </c>
      <c r="T853" s="9">
        <f>Tabla1[[#This Row],[Initial Risk $]]/Tabla1[[#This Row],[Position Size (shares)]]*3+Tabla1[[#This Row],[Entry Price]]</f>
        <v>83.089999999999989</v>
      </c>
    </row>
    <row r="854" spans="1:20" hidden="1" x14ac:dyDescent="0.25">
      <c r="A854" s="7" t="str">
        <f t="shared" si="317"/>
        <v>T-853</v>
      </c>
      <c r="B854" s="1">
        <v>46265</v>
      </c>
      <c r="C854" t="s">
        <v>186</v>
      </c>
      <c r="D854" t="s">
        <v>28</v>
      </c>
      <c r="E854" t="s">
        <v>119</v>
      </c>
      <c r="F854">
        <v>261.35000000000002</v>
      </c>
      <c r="G854">
        <v>259.70999999999998</v>
      </c>
      <c r="H854" s="9">
        <f>Tabla1[[#This Row],[Entry Price]]-(Tabla1[[#This Row],[Entry Price]]-Tabla1[[#This Row],[Initial Stop]])/2</f>
        <v>260.52999999999997</v>
      </c>
      <c r="I854">
        <v>2</v>
      </c>
      <c r="J854" s="7">
        <f t="shared" si="318"/>
        <v>3.2800000000000864</v>
      </c>
      <c r="K854" s="7">
        <v>1</v>
      </c>
      <c r="L854" s="7">
        <f t="shared" si="319"/>
        <v>3.2800000000000864</v>
      </c>
      <c r="M854" s="7" t="s">
        <v>72</v>
      </c>
      <c r="N854" s="7">
        <f>SUMIF(Executions!B:B,A854,Executions!H:H)</f>
        <v>-4.1000000000000227</v>
      </c>
      <c r="O854" s="7">
        <f t="shared" si="320"/>
        <v>-1.249999999999974</v>
      </c>
      <c r="P854" s="9">
        <f>Tabla1[[#This Row],[Initial Risk $]]/Tabla1[[#This Row],[Position Size (shares)]]+Tabla1[[#This Row],[Entry Price]]</f>
        <v>262.99000000000007</v>
      </c>
      <c r="Q854" s="9">
        <f>Tabla1[[#This Row],[Initial Risk $]]/Tabla1[[#This Row],[Position Size (shares)]]*1.5+Tabla1[[#This Row],[Entry Price]]</f>
        <v>263.81000000000006</v>
      </c>
      <c r="R854" s="9">
        <f>Tabla1[[#This Row],[Initial Risk $]]/Tabla1[[#This Row],[Position Size (shares)]]*2+Tabla1[[#This Row],[Entry Price]]</f>
        <v>264.63000000000011</v>
      </c>
      <c r="S854" s="9">
        <f>Tabla1[[#This Row],[Initial Risk $]]/Tabla1[[#This Row],[Position Size (shares)]]*2.5+Tabla1[[#This Row],[Entry Price]]</f>
        <v>265.45000000000016</v>
      </c>
      <c r="T854" s="9">
        <f>Tabla1[[#This Row],[Initial Risk $]]/Tabla1[[#This Row],[Position Size (shares)]]*3+Tabla1[[#This Row],[Entry Price]]</f>
        <v>266.27000000000015</v>
      </c>
    </row>
    <row r="855" spans="1:20" hidden="1" x14ac:dyDescent="0.25">
      <c r="A855" s="7" t="str">
        <f t="shared" ref="A855:A862" si="321">"T-"&amp; TEXT(ROW()-1,"000")</f>
        <v>T-854</v>
      </c>
      <c r="B855" s="1">
        <v>46281</v>
      </c>
      <c r="C855" t="s">
        <v>279</v>
      </c>
      <c r="D855" t="s">
        <v>28</v>
      </c>
      <c r="E855" t="s">
        <v>58</v>
      </c>
      <c r="F855">
        <v>936.00099999999998</v>
      </c>
      <c r="G855">
        <v>920.00099999999998</v>
      </c>
      <c r="H855" s="9">
        <f>Tabla1[[#This Row],[Entry Price]]-(Tabla1[[#This Row],[Entry Price]]-Tabla1[[#This Row],[Initial Stop]])/2</f>
        <v>928.00099999999998</v>
      </c>
      <c r="I855">
        <v>1</v>
      </c>
      <c r="J855" s="7">
        <f t="shared" ref="J855:J862" si="322">IF(D855="Long",(F855-G855)*I855,(G855-F855)*0)</f>
        <v>16</v>
      </c>
      <c r="K855" s="7">
        <v>1</v>
      </c>
      <c r="L855" s="7">
        <f t="shared" ref="L855:L862" si="323">J855*K855</f>
        <v>16</v>
      </c>
      <c r="M855" s="7" t="s">
        <v>72</v>
      </c>
      <c r="N855" s="7">
        <f>SUMIF(Executions!B:B,A855,Executions!H:H)</f>
        <v>-10.211000000000013</v>
      </c>
      <c r="O855" s="7">
        <f t="shared" ref="O855:O862" si="324">N855/J855</f>
        <v>-0.6381875000000008</v>
      </c>
      <c r="P855" s="9">
        <f>Tabla1[[#This Row],[Initial Risk $]]/Tabla1[[#This Row],[Position Size (shares)]]+Tabla1[[#This Row],[Entry Price]]</f>
        <v>952.00099999999998</v>
      </c>
      <c r="Q855" s="9">
        <f>Tabla1[[#This Row],[Initial Risk $]]/Tabla1[[#This Row],[Position Size (shares)]]*1.5+Tabla1[[#This Row],[Entry Price]]</f>
        <v>960.00099999999998</v>
      </c>
      <c r="R855" s="9">
        <f>Tabla1[[#This Row],[Initial Risk $]]/Tabla1[[#This Row],[Position Size (shares)]]*2+Tabla1[[#This Row],[Entry Price]]</f>
        <v>968.00099999999998</v>
      </c>
      <c r="S855" s="9">
        <f>Tabla1[[#This Row],[Initial Risk $]]/Tabla1[[#This Row],[Position Size (shares)]]*2.5+Tabla1[[#This Row],[Entry Price]]</f>
        <v>976.00099999999998</v>
      </c>
      <c r="T855" s="9">
        <f>Tabla1[[#This Row],[Initial Risk $]]/Tabla1[[#This Row],[Position Size (shares)]]*3+Tabla1[[#This Row],[Entry Price]]</f>
        <v>984.00099999999998</v>
      </c>
    </row>
    <row r="856" spans="1:20" hidden="1" x14ac:dyDescent="0.25">
      <c r="A856" s="7" t="str">
        <f t="shared" si="321"/>
        <v>T-855</v>
      </c>
      <c r="B856" s="1">
        <v>46281</v>
      </c>
      <c r="C856" t="s">
        <v>161</v>
      </c>
      <c r="D856" t="s">
        <v>28</v>
      </c>
      <c r="E856" t="s">
        <v>58</v>
      </c>
      <c r="F856">
        <v>103.38</v>
      </c>
      <c r="G856">
        <v>101.38</v>
      </c>
      <c r="H856" s="9">
        <f>Tabla1[[#This Row],[Entry Price]]-(Tabla1[[#This Row],[Entry Price]]-Tabla1[[#This Row],[Initial Stop]])/2</f>
        <v>102.38</v>
      </c>
      <c r="I856">
        <v>10</v>
      </c>
      <c r="J856" s="7">
        <f t="shared" si="322"/>
        <v>20</v>
      </c>
      <c r="K856" s="7">
        <v>1</v>
      </c>
      <c r="L856" s="7">
        <f t="shared" si="323"/>
        <v>20</v>
      </c>
      <c r="M856" s="7" t="s">
        <v>72</v>
      </c>
      <c r="N856" s="7">
        <f>SUMIF(Executions!B:B,A856,Executions!H:H)</f>
        <v>-17.299999999999898</v>
      </c>
      <c r="O856" s="7">
        <f t="shared" si="324"/>
        <v>-0.86499999999999488</v>
      </c>
      <c r="P856" s="9">
        <f>Tabla1[[#This Row],[Initial Risk $]]/Tabla1[[#This Row],[Position Size (shares)]]+Tabla1[[#This Row],[Entry Price]]</f>
        <v>105.38</v>
      </c>
      <c r="Q856" s="9">
        <f>Tabla1[[#This Row],[Initial Risk $]]/Tabla1[[#This Row],[Position Size (shares)]]*1.5+Tabla1[[#This Row],[Entry Price]]</f>
        <v>106.38</v>
      </c>
      <c r="R856" s="9">
        <f>Tabla1[[#This Row],[Initial Risk $]]/Tabla1[[#This Row],[Position Size (shares)]]*2+Tabla1[[#This Row],[Entry Price]]</f>
        <v>107.38</v>
      </c>
      <c r="S856" s="9">
        <f>Tabla1[[#This Row],[Initial Risk $]]/Tabla1[[#This Row],[Position Size (shares)]]*2.5+Tabla1[[#This Row],[Entry Price]]</f>
        <v>108.38</v>
      </c>
      <c r="T856" s="9">
        <f>Tabla1[[#This Row],[Initial Risk $]]/Tabla1[[#This Row],[Position Size (shares)]]*3+Tabla1[[#This Row],[Entry Price]]</f>
        <v>109.38</v>
      </c>
    </row>
    <row r="857" spans="1:20" hidden="1" x14ac:dyDescent="0.25">
      <c r="A857" s="7" t="str">
        <f t="shared" si="321"/>
        <v>T-856</v>
      </c>
      <c r="B857" s="1">
        <v>46281</v>
      </c>
      <c r="C857" t="s">
        <v>294</v>
      </c>
      <c r="D857" t="s">
        <v>28</v>
      </c>
      <c r="E857" t="s">
        <v>58</v>
      </c>
      <c r="F857">
        <v>142.19999999999999</v>
      </c>
      <c r="G857">
        <v>140.04</v>
      </c>
      <c r="H857" s="9">
        <f>Tabla1[[#This Row],[Entry Price]]-(Tabla1[[#This Row],[Entry Price]]-Tabla1[[#This Row],[Initial Stop]])/2</f>
        <v>141.12</v>
      </c>
      <c r="I857">
        <v>6</v>
      </c>
      <c r="J857" s="7">
        <f t="shared" si="322"/>
        <v>12.95999999999998</v>
      </c>
      <c r="K857" s="7">
        <v>1</v>
      </c>
      <c r="L857" s="7">
        <f t="shared" si="323"/>
        <v>12.95999999999998</v>
      </c>
      <c r="M857" s="7" t="s">
        <v>72</v>
      </c>
      <c r="N857" s="7">
        <f>SUMIF(Executions!B:B,A857,Executions!H:H)</f>
        <v>6.9600000000001501</v>
      </c>
      <c r="O857" s="7">
        <f t="shared" si="324"/>
        <v>0.53703703703704941</v>
      </c>
      <c r="P857" s="9">
        <f>Tabla1[[#This Row],[Initial Risk $]]/Tabla1[[#This Row],[Position Size (shares)]]+Tabla1[[#This Row],[Entry Price]]</f>
        <v>144.35999999999999</v>
      </c>
      <c r="Q857" s="9">
        <f>Tabla1[[#This Row],[Initial Risk $]]/Tabla1[[#This Row],[Position Size (shares)]]*1.5+Tabla1[[#This Row],[Entry Price]]</f>
        <v>145.44</v>
      </c>
      <c r="R857" s="9">
        <f>Tabla1[[#This Row],[Initial Risk $]]/Tabla1[[#This Row],[Position Size (shares)]]*2+Tabla1[[#This Row],[Entry Price]]</f>
        <v>146.51999999999998</v>
      </c>
      <c r="S857" s="9">
        <f>Tabla1[[#This Row],[Initial Risk $]]/Tabla1[[#This Row],[Position Size (shares)]]*2.5+Tabla1[[#This Row],[Entry Price]]</f>
        <v>147.59999999999997</v>
      </c>
      <c r="T857" s="9">
        <f>Tabla1[[#This Row],[Initial Risk $]]/Tabla1[[#This Row],[Position Size (shares)]]*3+Tabla1[[#This Row],[Entry Price]]</f>
        <v>148.67999999999998</v>
      </c>
    </row>
    <row r="858" spans="1:20" hidden="1" x14ac:dyDescent="0.25">
      <c r="A858" s="7" t="str">
        <f t="shared" si="321"/>
        <v>T-857</v>
      </c>
      <c r="B858" s="1">
        <v>46281</v>
      </c>
      <c r="C858" t="s">
        <v>130</v>
      </c>
      <c r="D858" t="s">
        <v>28</v>
      </c>
      <c r="E858" t="s">
        <v>119</v>
      </c>
      <c r="F858">
        <v>520.39</v>
      </c>
      <c r="G858">
        <v>515.39</v>
      </c>
      <c r="H858" s="9">
        <f>Tabla1[[#This Row],[Entry Price]]-(Tabla1[[#This Row],[Entry Price]]-Tabla1[[#This Row],[Initial Stop]])/2</f>
        <v>517.89</v>
      </c>
      <c r="I858">
        <v>2</v>
      </c>
      <c r="J858" s="7">
        <f t="shared" si="322"/>
        <v>10</v>
      </c>
      <c r="K858" s="7">
        <v>1</v>
      </c>
      <c r="L858" s="7">
        <f t="shared" si="323"/>
        <v>10</v>
      </c>
      <c r="M858" s="7" t="s">
        <v>72</v>
      </c>
      <c r="N858" s="7">
        <f>SUMIF(Executions!B:B,A858,Executions!H:H)</f>
        <v>-9.4200000000000728</v>
      </c>
      <c r="O858" s="7">
        <f t="shared" si="324"/>
        <v>-0.94200000000000728</v>
      </c>
      <c r="P858" s="9">
        <f>Tabla1[[#This Row],[Initial Risk $]]/Tabla1[[#This Row],[Position Size (shares)]]+Tabla1[[#This Row],[Entry Price]]</f>
        <v>525.39</v>
      </c>
      <c r="Q858" s="9">
        <f>Tabla1[[#This Row],[Initial Risk $]]/Tabla1[[#This Row],[Position Size (shares)]]*1.5+Tabla1[[#This Row],[Entry Price]]</f>
        <v>527.89</v>
      </c>
      <c r="R858" s="9">
        <f>Tabla1[[#This Row],[Initial Risk $]]/Tabla1[[#This Row],[Position Size (shares)]]*2+Tabla1[[#This Row],[Entry Price]]</f>
        <v>530.39</v>
      </c>
      <c r="S858" s="9">
        <f>Tabla1[[#This Row],[Initial Risk $]]/Tabla1[[#This Row],[Position Size (shares)]]*2.5+Tabla1[[#This Row],[Entry Price]]</f>
        <v>532.89</v>
      </c>
      <c r="T858" s="9">
        <f>Tabla1[[#This Row],[Initial Risk $]]/Tabla1[[#This Row],[Position Size (shares)]]*3+Tabla1[[#This Row],[Entry Price]]</f>
        <v>535.39</v>
      </c>
    </row>
    <row r="859" spans="1:20" hidden="1" x14ac:dyDescent="0.25">
      <c r="A859" s="7" t="str">
        <f t="shared" si="321"/>
        <v>T-858</v>
      </c>
      <c r="B859" s="1">
        <v>46281</v>
      </c>
      <c r="C859" t="s">
        <v>135</v>
      </c>
      <c r="D859" t="s">
        <v>28</v>
      </c>
      <c r="E859" t="s">
        <v>58</v>
      </c>
      <c r="F859">
        <v>252.32</v>
      </c>
      <c r="G859">
        <v>249.56</v>
      </c>
      <c r="H859" s="9">
        <f>Tabla1[[#This Row],[Entry Price]]-(Tabla1[[#This Row],[Entry Price]]-Tabla1[[#This Row],[Initial Stop]])/2</f>
        <v>250.94</v>
      </c>
      <c r="I859">
        <v>4</v>
      </c>
      <c r="J859" s="7">
        <f t="shared" si="322"/>
        <v>11.039999999999964</v>
      </c>
      <c r="K859" s="7">
        <v>1</v>
      </c>
      <c r="L859" s="7">
        <f t="shared" si="323"/>
        <v>11.039999999999964</v>
      </c>
      <c r="M859" s="7" t="s">
        <v>72</v>
      </c>
      <c r="N859" s="7">
        <f>SUMIF(Executions!B:B,A859,Executions!H:H)</f>
        <v>-12.959999999999923</v>
      </c>
      <c r="O859" s="7">
        <f t="shared" si="324"/>
        <v>-1.1739130434782576</v>
      </c>
      <c r="P859" s="9">
        <f>Tabla1[[#This Row],[Initial Risk $]]/Tabla1[[#This Row],[Position Size (shares)]]+Tabla1[[#This Row],[Entry Price]]</f>
        <v>255.07999999999998</v>
      </c>
      <c r="Q859" s="9">
        <f>Tabla1[[#This Row],[Initial Risk $]]/Tabla1[[#This Row],[Position Size (shares)]]*1.5+Tabla1[[#This Row],[Entry Price]]</f>
        <v>256.45999999999998</v>
      </c>
      <c r="R859" s="9">
        <f>Tabla1[[#This Row],[Initial Risk $]]/Tabla1[[#This Row],[Position Size (shares)]]*2+Tabla1[[#This Row],[Entry Price]]</f>
        <v>257.83999999999997</v>
      </c>
      <c r="S859" s="9">
        <f>Tabla1[[#This Row],[Initial Risk $]]/Tabla1[[#This Row],[Position Size (shares)]]*2.5+Tabla1[[#This Row],[Entry Price]]</f>
        <v>259.21999999999997</v>
      </c>
      <c r="T859" s="9">
        <f>Tabla1[[#This Row],[Initial Risk $]]/Tabla1[[#This Row],[Position Size (shares)]]*3+Tabla1[[#This Row],[Entry Price]]</f>
        <v>260.59999999999997</v>
      </c>
    </row>
    <row r="860" spans="1:20" hidden="1" x14ac:dyDescent="0.25">
      <c r="A860" s="7" t="str">
        <f t="shared" si="321"/>
        <v>T-859</v>
      </c>
      <c r="B860" s="1">
        <v>46281</v>
      </c>
      <c r="C860" t="s">
        <v>164</v>
      </c>
      <c r="D860" t="s">
        <v>28</v>
      </c>
      <c r="E860" t="s">
        <v>58</v>
      </c>
      <c r="F860">
        <v>215.3</v>
      </c>
      <c r="G860">
        <v>213.29</v>
      </c>
      <c r="H860" s="9">
        <f>Tabla1[[#This Row],[Entry Price]]-(Tabla1[[#This Row],[Entry Price]]-Tabla1[[#This Row],[Initial Stop]])/2</f>
        <v>214.29500000000002</v>
      </c>
      <c r="I860">
        <v>4</v>
      </c>
      <c r="J860" s="7">
        <f t="shared" si="322"/>
        <v>8.0400000000000773</v>
      </c>
      <c r="K860" s="7">
        <v>1</v>
      </c>
      <c r="L860" s="7">
        <f t="shared" si="323"/>
        <v>8.0400000000000773</v>
      </c>
      <c r="M860" s="7" t="s">
        <v>72</v>
      </c>
      <c r="N860" s="7">
        <f>SUMIF(Executions!B:B,A860,Executions!H:H)</f>
        <v>-2.4800000000000182</v>
      </c>
      <c r="O860" s="7">
        <f t="shared" si="324"/>
        <v>-0.30845771144278539</v>
      </c>
      <c r="P860" s="9">
        <f>Tabla1[[#This Row],[Initial Risk $]]/Tabla1[[#This Row],[Position Size (shares)]]+Tabla1[[#This Row],[Entry Price]]</f>
        <v>217.31000000000003</v>
      </c>
      <c r="Q860" s="9">
        <f>Tabla1[[#This Row],[Initial Risk $]]/Tabla1[[#This Row],[Position Size (shares)]]*1.5+Tabla1[[#This Row],[Entry Price]]</f>
        <v>218.31500000000005</v>
      </c>
      <c r="R860" s="9">
        <f>Tabla1[[#This Row],[Initial Risk $]]/Tabla1[[#This Row],[Position Size (shares)]]*2+Tabla1[[#This Row],[Entry Price]]</f>
        <v>219.32000000000005</v>
      </c>
      <c r="S860" s="9">
        <f>Tabla1[[#This Row],[Initial Risk $]]/Tabla1[[#This Row],[Position Size (shares)]]*2.5+Tabla1[[#This Row],[Entry Price]]</f>
        <v>220.32500000000005</v>
      </c>
      <c r="T860" s="9">
        <f>Tabla1[[#This Row],[Initial Risk $]]/Tabla1[[#This Row],[Position Size (shares)]]*3+Tabla1[[#This Row],[Entry Price]]</f>
        <v>221.33000000000007</v>
      </c>
    </row>
    <row r="861" spans="1:20" hidden="1" x14ac:dyDescent="0.25">
      <c r="A861" s="7" t="str">
        <f t="shared" si="321"/>
        <v>T-860</v>
      </c>
      <c r="B861" s="1">
        <v>46281</v>
      </c>
      <c r="C861" t="s">
        <v>417</v>
      </c>
      <c r="D861" t="s">
        <v>28</v>
      </c>
      <c r="E861" t="s">
        <v>58</v>
      </c>
      <c r="F861">
        <v>330.54</v>
      </c>
      <c r="G861">
        <v>324.54000000000002</v>
      </c>
      <c r="H861" s="9">
        <f>Tabla1[[#This Row],[Entry Price]]-(Tabla1[[#This Row],[Entry Price]]-Tabla1[[#This Row],[Initial Stop]])/2</f>
        <v>327.54000000000002</v>
      </c>
      <c r="I861">
        <v>1</v>
      </c>
      <c r="J861" s="7">
        <f t="shared" si="322"/>
        <v>6</v>
      </c>
      <c r="K861" s="7">
        <v>1</v>
      </c>
      <c r="L861" s="7">
        <f t="shared" si="323"/>
        <v>6</v>
      </c>
      <c r="M861" s="7" t="s">
        <v>72</v>
      </c>
      <c r="N861" s="7">
        <f>SUMIF(Executions!B:B,A861,Executions!H:H)</f>
        <v>-4.8400000000000318</v>
      </c>
      <c r="O861" s="7">
        <f t="shared" si="324"/>
        <v>-0.80666666666667197</v>
      </c>
      <c r="P861" s="9">
        <f>Tabla1[[#This Row],[Initial Risk $]]/Tabla1[[#This Row],[Position Size (shares)]]+Tabla1[[#This Row],[Entry Price]]</f>
        <v>336.54</v>
      </c>
      <c r="Q861" s="9">
        <f>Tabla1[[#This Row],[Initial Risk $]]/Tabla1[[#This Row],[Position Size (shares)]]*1.5+Tabla1[[#This Row],[Entry Price]]</f>
        <v>339.54</v>
      </c>
      <c r="R861" s="9">
        <f>Tabla1[[#This Row],[Initial Risk $]]/Tabla1[[#This Row],[Position Size (shares)]]*2+Tabla1[[#This Row],[Entry Price]]</f>
        <v>342.54</v>
      </c>
      <c r="S861" s="9">
        <f>Tabla1[[#This Row],[Initial Risk $]]/Tabla1[[#This Row],[Position Size (shares)]]*2.5+Tabla1[[#This Row],[Entry Price]]</f>
        <v>345.54</v>
      </c>
      <c r="T861" s="9">
        <f>Tabla1[[#This Row],[Initial Risk $]]/Tabla1[[#This Row],[Position Size (shares)]]*3+Tabla1[[#This Row],[Entry Price]]</f>
        <v>348.54</v>
      </c>
    </row>
    <row r="862" spans="1:20" hidden="1" x14ac:dyDescent="0.25">
      <c r="A862" s="7" t="str">
        <f t="shared" si="321"/>
        <v>T-861</v>
      </c>
      <c r="B862" s="1">
        <v>46281</v>
      </c>
      <c r="C862" t="s">
        <v>428</v>
      </c>
      <c r="D862" t="s">
        <v>28</v>
      </c>
      <c r="E862" t="s">
        <v>58</v>
      </c>
      <c r="F862">
        <v>570.99</v>
      </c>
      <c r="G862">
        <v>561.99</v>
      </c>
      <c r="H862" s="9">
        <f>Tabla1[[#This Row],[Entry Price]]-(Tabla1[[#This Row],[Entry Price]]-Tabla1[[#This Row],[Initial Stop]])/2</f>
        <v>566.49</v>
      </c>
      <c r="I862">
        <v>1</v>
      </c>
      <c r="J862" s="7">
        <f t="shared" si="322"/>
        <v>9</v>
      </c>
      <c r="K862" s="7">
        <v>1</v>
      </c>
      <c r="L862" s="7">
        <f t="shared" si="323"/>
        <v>9</v>
      </c>
      <c r="M862" s="7" t="s">
        <v>72</v>
      </c>
      <c r="N862" s="7">
        <f>SUMIF(Executions!B:B,A862,Executions!H:H)</f>
        <v>-4.1499999999999773</v>
      </c>
      <c r="O862" s="7">
        <f t="shared" si="324"/>
        <v>-0.46111111111110858</v>
      </c>
      <c r="P862" s="9">
        <f>Tabla1[[#This Row],[Initial Risk $]]/Tabla1[[#This Row],[Position Size (shares)]]+Tabla1[[#This Row],[Entry Price]]</f>
        <v>579.99</v>
      </c>
      <c r="Q862" s="9">
        <f>Tabla1[[#This Row],[Initial Risk $]]/Tabla1[[#This Row],[Position Size (shares)]]*1.5+Tabla1[[#This Row],[Entry Price]]</f>
        <v>584.49</v>
      </c>
      <c r="R862" s="9">
        <f>Tabla1[[#This Row],[Initial Risk $]]/Tabla1[[#This Row],[Position Size (shares)]]*2+Tabla1[[#This Row],[Entry Price]]</f>
        <v>588.99</v>
      </c>
      <c r="S862" s="9">
        <f>Tabla1[[#This Row],[Initial Risk $]]/Tabla1[[#This Row],[Position Size (shares)]]*2.5+Tabla1[[#This Row],[Entry Price]]</f>
        <v>593.49</v>
      </c>
      <c r="T862" s="9">
        <f>Tabla1[[#This Row],[Initial Risk $]]/Tabla1[[#This Row],[Position Size (shares)]]*3+Tabla1[[#This Row],[Entry Price]]</f>
        <v>597.99</v>
      </c>
    </row>
    <row r="863" spans="1:20" hidden="1" x14ac:dyDescent="0.25">
      <c r="A863" s="7" t="str">
        <f t="shared" ref="A863:A870" si="325">"T-"&amp; TEXT(ROW()-1,"000")</f>
        <v>T-862</v>
      </c>
      <c r="B863" s="1">
        <v>46282</v>
      </c>
      <c r="C863" t="s">
        <v>279</v>
      </c>
      <c r="D863" t="s">
        <v>28</v>
      </c>
      <c r="E863" t="s">
        <v>58</v>
      </c>
      <c r="F863">
        <v>960.62</v>
      </c>
      <c r="G863">
        <v>950.62</v>
      </c>
      <c r="H863" s="9">
        <f>Tabla1[[#This Row],[Entry Price]]-(Tabla1[[#This Row],[Entry Price]]-Tabla1[[#This Row],[Initial Stop]])/2</f>
        <v>955.62</v>
      </c>
      <c r="I863">
        <v>1</v>
      </c>
      <c r="J863" s="7">
        <f t="shared" ref="J863:J870" si="326">IF(D863="Long",(F863-G863)*I863,(G863-F863)*0)</f>
        <v>10</v>
      </c>
      <c r="K863" s="7">
        <v>1</v>
      </c>
      <c r="L863" s="7">
        <f t="shared" ref="L863:L870" si="327">J863*K863</f>
        <v>10</v>
      </c>
      <c r="M863" s="7" t="s">
        <v>72</v>
      </c>
      <c r="N863" s="7">
        <f>SUMIF(Executions!B:B,A863,Executions!H:H)</f>
        <v>22.700000000000045</v>
      </c>
      <c r="O863" s="7">
        <f t="shared" ref="O863:O870" si="328">N863/J863</f>
        <v>2.2700000000000045</v>
      </c>
      <c r="P863" s="9">
        <f>Tabla1[[#This Row],[Initial Risk $]]/Tabla1[[#This Row],[Position Size (shares)]]+Tabla1[[#This Row],[Entry Price]]</f>
        <v>970.62</v>
      </c>
      <c r="Q863" s="9">
        <f>Tabla1[[#This Row],[Initial Risk $]]/Tabla1[[#This Row],[Position Size (shares)]]*1.5+Tabla1[[#This Row],[Entry Price]]</f>
        <v>975.62</v>
      </c>
      <c r="R863" s="9">
        <f>Tabla1[[#This Row],[Initial Risk $]]/Tabla1[[#This Row],[Position Size (shares)]]*2+Tabla1[[#This Row],[Entry Price]]</f>
        <v>980.62</v>
      </c>
      <c r="S863" s="9">
        <f>Tabla1[[#This Row],[Initial Risk $]]/Tabla1[[#This Row],[Position Size (shares)]]*2.5+Tabla1[[#This Row],[Entry Price]]</f>
        <v>985.62</v>
      </c>
      <c r="T863" s="9">
        <f>Tabla1[[#This Row],[Initial Risk $]]/Tabla1[[#This Row],[Position Size (shares)]]*3+Tabla1[[#This Row],[Entry Price]]</f>
        <v>990.62</v>
      </c>
    </row>
    <row r="864" spans="1:20" hidden="1" x14ac:dyDescent="0.25">
      <c r="A864" s="7" t="str">
        <f t="shared" si="325"/>
        <v>T-863</v>
      </c>
      <c r="B864" s="1">
        <v>46282</v>
      </c>
      <c r="C864" t="s">
        <v>130</v>
      </c>
      <c r="D864" t="s">
        <v>28</v>
      </c>
      <c r="E864" t="s">
        <v>119</v>
      </c>
      <c r="F864">
        <v>531.37</v>
      </c>
      <c r="G864">
        <v>526.37</v>
      </c>
      <c r="H864" s="9">
        <f>Tabla1[[#This Row],[Entry Price]]-(Tabla1[[#This Row],[Entry Price]]-Tabla1[[#This Row],[Initial Stop]])/2</f>
        <v>528.87</v>
      </c>
      <c r="I864">
        <v>2</v>
      </c>
      <c r="J864" s="7">
        <f t="shared" si="326"/>
        <v>10</v>
      </c>
      <c r="K864" s="7">
        <v>1</v>
      </c>
      <c r="L864" s="7">
        <f t="shared" si="327"/>
        <v>10</v>
      </c>
      <c r="M864" s="7" t="s">
        <v>72</v>
      </c>
      <c r="N864" s="7">
        <f>SUMIF(Executions!B:B,A864,Executions!H:H)</f>
        <v>23.519999999999982</v>
      </c>
      <c r="O864" s="7">
        <f t="shared" si="328"/>
        <v>2.3519999999999981</v>
      </c>
      <c r="P864" s="9">
        <f>Tabla1[[#This Row],[Initial Risk $]]/Tabla1[[#This Row],[Position Size (shares)]]+Tabla1[[#This Row],[Entry Price]]</f>
        <v>536.37</v>
      </c>
      <c r="Q864" s="9">
        <f>Tabla1[[#This Row],[Initial Risk $]]/Tabla1[[#This Row],[Position Size (shares)]]*1.5+Tabla1[[#This Row],[Entry Price]]</f>
        <v>538.87</v>
      </c>
      <c r="R864" s="9">
        <f>Tabla1[[#This Row],[Initial Risk $]]/Tabla1[[#This Row],[Position Size (shares)]]*2+Tabla1[[#This Row],[Entry Price]]</f>
        <v>541.37</v>
      </c>
      <c r="S864" s="9">
        <f>Tabla1[[#This Row],[Initial Risk $]]/Tabla1[[#This Row],[Position Size (shares)]]*2.5+Tabla1[[#This Row],[Entry Price]]</f>
        <v>543.87</v>
      </c>
      <c r="T864" s="9">
        <f>Tabla1[[#This Row],[Initial Risk $]]/Tabla1[[#This Row],[Position Size (shares)]]*3+Tabla1[[#This Row],[Entry Price]]</f>
        <v>546.37</v>
      </c>
    </row>
    <row r="865" spans="1:20" hidden="1" x14ac:dyDescent="0.25">
      <c r="A865" s="7" t="str">
        <f t="shared" si="325"/>
        <v>T-864</v>
      </c>
      <c r="B865" s="1">
        <v>46282</v>
      </c>
      <c r="C865" t="s">
        <v>161</v>
      </c>
      <c r="D865" t="s">
        <v>28</v>
      </c>
      <c r="E865" t="s">
        <v>119</v>
      </c>
      <c r="F865">
        <v>106.12</v>
      </c>
      <c r="G865">
        <v>104.66</v>
      </c>
      <c r="H865" s="9">
        <f>Tabla1[[#This Row],[Entry Price]]-(Tabla1[[#This Row],[Entry Price]]-Tabla1[[#This Row],[Initial Stop]])/2</f>
        <v>105.39</v>
      </c>
      <c r="I865">
        <v>8</v>
      </c>
      <c r="J865" s="7">
        <f t="shared" si="326"/>
        <v>11.680000000000064</v>
      </c>
      <c r="K865" s="7">
        <v>1</v>
      </c>
      <c r="L865" s="7">
        <f t="shared" si="327"/>
        <v>11.680000000000064</v>
      </c>
      <c r="M865" s="7" t="s">
        <v>72</v>
      </c>
      <c r="N865" s="7">
        <f>SUMIF(Executions!B:B,A865,Executions!H:H)</f>
        <v>22.240000000000009</v>
      </c>
      <c r="O865" s="7">
        <f t="shared" si="328"/>
        <v>1.9041095890410862</v>
      </c>
      <c r="P865" s="9">
        <f>Tabla1[[#This Row],[Initial Risk $]]/Tabla1[[#This Row],[Position Size (shares)]]+Tabla1[[#This Row],[Entry Price]]</f>
        <v>107.58000000000001</v>
      </c>
      <c r="Q865" s="9">
        <f>Tabla1[[#This Row],[Initial Risk $]]/Tabla1[[#This Row],[Position Size (shares)]]*1.5+Tabla1[[#This Row],[Entry Price]]</f>
        <v>108.31000000000002</v>
      </c>
      <c r="R865" s="9">
        <f>Tabla1[[#This Row],[Initial Risk $]]/Tabla1[[#This Row],[Position Size (shares)]]*2+Tabla1[[#This Row],[Entry Price]]</f>
        <v>109.04000000000002</v>
      </c>
      <c r="S865" s="9">
        <f>Tabla1[[#This Row],[Initial Risk $]]/Tabla1[[#This Row],[Position Size (shares)]]*2.5+Tabla1[[#This Row],[Entry Price]]</f>
        <v>109.77000000000002</v>
      </c>
      <c r="T865" s="9">
        <f>Tabla1[[#This Row],[Initial Risk $]]/Tabla1[[#This Row],[Position Size (shares)]]*3+Tabla1[[#This Row],[Entry Price]]</f>
        <v>110.50000000000003</v>
      </c>
    </row>
    <row r="866" spans="1:20" hidden="1" x14ac:dyDescent="0.25">
      <c r="A866" s="7" t="str">
        <f t="shared" si="325"/>
        <v>T-865</v>
      </c>
      <c r="B866" s="1">
        <v>46282</v>
      </c>
      <c r="C866" t="s">
        <v>120</v>
      </c>
      <c r="D866" t="s">
        <v>28</v>
      </c>
      <c r="E866" t="s">
        <v>58</v>
      </c>
      <c r="F866">
        <v>17.13</v>
      </c>
      <c r="G866">
        <v>16.66</v>
      </c>
      <c r="H866" s="9">
        <f>Tabla1[[#This Row],[Entry Price]]-(Tabla1[[#This Row],[Entry Price]]-Tabla1[[#This Row],[Initial Stop]])/2</f>
        <v>16.895</v>
      </c>
      <c r="I866">
        <v>20</v>
      </c>
      <c r="J866" s="7">
        <f t="shared" si="326"/>
        <v>9.3999999999999773</v>
      </c>
      <c r="K866" s="7">
        <v>1</v>
      </c>
      <c r="L866" s="7">
        <f t="shared" si="327"/>
        <v>9.3999999999999773</v>
      </c>
      <c r="M866" s="7" t="s">
        <v>72</v>
      </c>
      <c r="N866" s="7">
        <f>SUMIF(Executions!B:B,A866,Executions!H:H)</f>
        <v>10.800000000000054</v>
      </c>
      <c r="O866" s="7">
        <f t="shared" si="328"/>
        <v>1.1489361702127745</v>
      </c>
      <c r="P866" s="9">
        <f>Tabla1[[#This Row],[Initial Risk $]]/Tabla1[[#This Row],[Position Size (shares)]]+Tabla1[[#This Row],[Entry Price]]</f>
        <v>17.599999999999998</v>
      </c>
      <c r="Q866" s="9">
        <f>Tabla1[[#This Row],[Initial Risk $]]/Tabla1[[#This Row],[Position Size (shares)]]*1.5+Tabla1[[#This Row],[Entry Price]]</f>
        <v>17.834999999999997</v>
      </c>
      <c r="R866" s="9">
        <f>Tabla1[[#This Row],[Initial Risk $]]/Tabla1[[#This Row],[Position Size (shares)]]*2+Tabla1[[#This Row],[Entry Price]]</f>
        <v>18.069999999999997</v>
      </c>
      <c r="S866" s="9">
        <f>Tabla1[[#This Row],[Initial Risk $]]/Tabla1[[#This Row],[Position Size (shares)]]*2.5+Tabla1[[#This Row],[Entry Price]]</f>
        <v>18.304999999999996</v>
      </c>
      <c r="T866" s="9">
        <f>Tabla1[[#This Row],[Initial Risk $]]/Tabla1[[#This Row],[Position Size (shares)]]*3+Tabla1[[#This Row],[Entry Price]]</f>
        <v>18.539999999999996</v>
      </c>
    </row>
    <row r="867" spans="1:20" hidden="1" x14ac:dyDescent="0.25">
      <c r="A867" s="7" t="str">
        <f t="shared" si="325"/>
        <v>T-866</v>
      </c>
      <c r="B867" s="1">
        <v>46282</v>
      </c>
      <c r="C867" t="s">
        <v>417</v>
      </c>
      <c r="D867" t="s">
        <v>28</v>
      </c>
      <c r="E867" t="s">
        <v>27</v>
      </c>
      <c r="F867">
        <v>320.13</v>
      </c>
      <c r="G867">
        <v>316.99</v>
      </c>
      <c r="H867" s="9">
        <f>Tabla1[[#This Row],[Entry Price]]-(Tabla1[[#This Row],[Entry Price]]-Tabla1[[#This Row],[Initial Stop]])/2</f>
        <v>318.56</v>
      </c>
      <c r="I867">
        <v>3</v>
      </c>
      <c r="J867" s="7">
        <f t="shared" si="326"/>
        <v>9.4199999999999591</v>
      </c>
      <c r="K867" s="7">
        <v>1</v>
      </c>
      <c r="L867" s="7">
        <f t="shared" si="327"/>
        <v>9.4199999999999591</v>
      </c>
      <c r="M867" s="7" t="s">
        <v>72</v>
      </c>
      <c r="N867" s="7">
        <f>SUMIF(Executions!B:B,A867,Executions!H:H)</f>
        <v>-9.75</v>
      </c>
      <c r="O867" s="7">
        <f t="shared" si="328"/>
        <v>-1.0350318471337625</v>
      </c>
      <c r="P867" s="9">
        <f>Tabla1[[#This Row],[Initial Risk $]]/Tabla1[[#This Row],[Position Size (shares)]]+Tabla1[[#This Row],[Entry Price]]</f>
        <v>323.27</v>
      </c>
      <c r="Q867" s="9">
        <f>Tabla1[[#This Row],[Initial Risk $]]/Tabla1[[#This Row],[Position Size (shares)]]*1.5+Tabla1[[#This Row],[Entry Price]]</f>
        <v>324.83999999999997</v>
      </c>
      <c r="R867" s="9">
        <f>Tabla1[[#This Row],[Initial Risk $]]/Tabla1[[#This Row],[Position Size (shares)]]*2+Tabla1[[#This Row],[Entry Price]]</f>
        <v>326.40999999999997</v>
      </c>
      <c r="S867" s="9">
        <f>Tabla1[[#This Row],[Initial Risk $]]/Tabla1[[#This Row],[Position Size (shares)]]*2.5+Tabla1[[#This Row],[Entry Price]]</f>
        <v>327.97999999999996</v>
      </c>
      <c r="T867" s="9">
        <f>Tabla1[[#This Row],[Initial Risk $]]/Tabla1[[#This Row],[Position Size (shares)]]*3+Tabla1[[#This Row],[Entry Price]]</f>
        <v>329.54999999999995</v>
      </c>
    </row>
    <row r="868" spans="1:20" hidden="1" x14ac:dyDescent="0.25">
      <c r="A868" s="7" t="str">
        <f t="shared" si="325"/>
        <v>T-867</v>
      </c>
      <c r="B868" s="1">
        <v>46282</v>
      </c>
      <c r="C868" t="s">
        <v>279</v>
      </c>
      <c r="D868" t="s">
        <v>28</v>
      </c>
      <c r="E868" t="s">
        <v>119</v>
      </c>
      <c r="F868">
        <v>977.85</v>
      </c>
      <c r="G868">
        <v>967.85</v>
      </c>
      <c r="H868" s="9">
        <f>Tabla1[[#This Row],[Entry Price]]-(Tabla1[[#This Row],[Entry Price]]-Tabla1[[#This Row],[Initial Stop]])/2</f>
        <v>972.85</v>
      </c>
      <c r="I868">
        <v>1</v>
      </c>
      <c r="J868" s="7">
        <f t="shared" si="326"/>
        <v>10</v>
      </c>
      <c r="K868" s="7">
        <v>1</v>
      </c>
      <c r="L868" s="7">
        <f t="shared" si="327"/>
        <v>10</v>
      </c>
      <c r="M868" s="7" t="s">
        <v>72</v>
      </c>
      <c r="N868" s="7">
        <f>SUMIF(Executions!B:B,A868,Executions!H:H)</f>
        <v>-2.7100000000000364</v>
      </c>
      <c r="O868" s="7">
        <f t="shared" si="328"/>
        <v>-0.27100000000000363</v>
      </c>
      <c r="P868" s="9">
        <f>Tabla1[[#This Row],[Initial Risk $]]/Tabla1[[#This Row],[Position Size (shares)]]+Tabla1[[#This Row],[Entry Price]]</f>
        <v>987.85</v>
      </c>
      <c r="Q868" s="9">
        <f>Tabla1[[#This Row],[Initial Risk $]]/Tabla1[[#This Row],[Position Size (shares)]]*1.5+Tabla1[[#This Row],[Entry Price]]</f>
        <v>992.85</v>
      </c>
      <c r="R868" s="9">
        <f>Tabla1[[#This Row],[Initial Risk $]]/Tabla1[[#This Row],[Position Size (shares)]]*2+Tabla1[[#This Row],[Entry Price]]</f>
        <v>997.85</v>
      </c>
      <c r="S868" s="9">
        <f>Tabla1[[#This Row],[Initial Risk $]]/Tabla1[[#This Row],[Position Size (shares)]]*2.5+Tabla1[[#This Row],[Entry Price]]</f>
        <v>1002.85</v>
      </c>
      <c r="T868" s="9">
        <f>Tabla1[[#This Row],[Initial Risk $]]/Tabla1[[#This Row],[Position Size (shares)]]*3+Tabla1[[#This Row],[Entry Price]]</f>
        <v>1007.85</v>
      </c>
    </row>
    <row r="869" spans="1:20" hidden="1" x14ac:dyDescent="0.25">
      <c r="A869" s="7" t="str">
        <f t="shared" si="325"/>
        <v>T-868</v>
      </c>
      <c r="B869" s="1">
        <v>46282</v>
      </c>
      <c r="C869" t="s">
        <v>164</v>
      </c>
      <c r="D869" t="s">
        <v>28</v>
      </c>
      <c r="E869" t="s">
        <v>119</v>
      </c>
      <c r="F869">
        <v>218.5</v>
      </c>
      <c r="G869">
        <v>216</v>
      </c>
      <c r="H869" s="9">
        <f>Tabla1[[#This Row],[Entry Price]]-(Tabla1[[#This Row],[Entry Price]]-Tabla1[[#This Row],[Initial Stop]])/2</f>
        <v>217.25</v>
      </c>
      <c r="I869">
        <v>4</v>
      </c>
      <c r="J869" s="7">
        <f t="shared" si="326"/>
        <v>10</v>
      </c>
      <c r="K869" s="7">
        <v>1</v>
      </c>
      <c r="L869" s="7">
        <f t="shared" si="327"/>
        <v>10</v>
      </c>
      <c r="M869" s="7" t="s">
        <v>72</v>
      </c>
      <c r="N869" s="7">
        <f>SUMIF(Executions!B:B,A869,Executions!H:H)</f>
        <v>3.7599999999999909</v>
      </c>
      <c r="O869" s="7">
        <f t="shared" si="328"/>
        <v>0.37599999999999911</v>
      </c>
      <c r="P869" s="9">
        <f>Tabla1[[#This Row],[Initial Risk $]]/Tabla1[[#This Row],[Position Size (shares)]]+Tabla1[[#This Row],[Entry Price]]</f>
        <v>221</v>
      </c>
      <c r="Q869" s="9">
        <f>Tabla1[[#This Row],[Initial Risk $]]/Tabla1[[#This Row],[Position Size (shares)]]*1.5+Tabla1[[#This Row],[Entry Price]]</f>
        <v>222.25</v>
      </c>
      <c r="R869" s="9">
        <f>Tabla1[[#This Row],[Initial Risk $]]/Tabla1[[#This Row],[Position Size (shares)]]*2+Tabla1[[#This Row],[Entry Price]]</f>
        <v>223.5</v>
      </c>
      <c r="S869" s="9">
        <f>Tabla1[[#This Row],[Initial Risk $]]/Tabla1[[#This Row],[Position Size (shares)]]*2.5+Tabla1[[#This Row],[Entry Price]]</f>
        <v>224.75</v>
      </c>
      <c r="T869" s="9">
        <f>Tabla1[[#This Row],[Initial Risk $]]/Tabla1[[#This Row],[Position Size (shares)]]*3+Tabla1[[#This Row],[Entry Price]]</f>
        <v>226</v>
      </c>
    </row>
    <row r="870" spans="1:20" hidden="1" x14ac:dyDescent="0.25">
      <c r="A870" s="7" t="str">
        <f t="shared" si="325"/>
        <v>T-869</v>
      </c>
      <c r="B870" s="1">
        <v>46282</v>
      </c>
      <c r="C870" t="s">
        <v>494</v>
      </c>
      <c r="D870" t="s">
        <v>28</v>
      </c>
      <c r="E870" t="s">
        <v>119</v>
      </c>
      <c r="F870">
        <v>676.36</v>
      </c>
      <c r="G870">
        <v>671.07</v>
      </c>
      <c r="H870" s="9">
        <f>Tabla1[[#This Row],[Entry Price]]-(Tabla1[[#This Row],[Entry Price]]-Tabla1[[#This Row],[Initial Stop]])/2</f>
        <v>673.71500000000003</v>
      </c>
      <c r="I870">
        <v>1</v>
      </c>
      <c r="J870" s="7">
        <f t="shared" si="326"/>
        <v>5.2899999999999636</v>
      </c>
      <c r="K870" s="7">
        <v>1</v>
      </c>
      <c r="L870" s="7">
        <f t="shared" si="327"/>
        <v>5.2899999999999636</v>
      </c>
      <c r="M870" s="7" t="s">
        <v>72</v>
      </c>
      <c r="N870" s="7">
        <f>SUMIF(Executions!B:B,A870,Executions!H:H)</f>
        <v>6.1599999999999682</v>
      </c>
      <c r="O870" s="7">
        <f t="shared" si="328"/>
        <v>1.1644612476370531</v>
      </c>
      <c r="P870" s="9">
        <f>Tabla1[[#This Row],[Initial Risk $]]/Tabla1[[#This Row],[Position Size (shares)]]+Tabla1[[#This Row],[Entry Price]]</f>
        <v>681.65</v>
      </c>
      <c r="Q870" s="9">
        <f>Tabla1[[#This Row],[Initial Risk $]]/Tabla1[[#This Row],[Position Size (shares)]]*1.5+Tabla1[[#This Row],[Entry Price]]</f>
        <v>684.29499999999996</v>
      </c>
      <c r="R870" s="9">
        <f>Tabla1[[#This Row],[Initial Risk $]]/Tabla1[[#This Row],[Position Size (shares)]]*2+Tabla1[[#This Row],[Entry Price]]</f>
        <v>686.93999999999994</v>
      </c>
      <c r="S870" s="9">
        <f>Tabla1[[#This Row],[Initial Risk $]]/Tabla1[[#This Row],[Position Size (shares)]]*2.5+Tabla1[[#This Row],[Entry Price]]</f>
        <v>689.58499999999992</v>
      </c>
      <c r="T870" s="9">
        <f>Tabla1[[#This Row],[Initial Risk $]]/Tabla1[[#This Row],[Position Size (shares)]]*3+Tabla1[[#This Row],[Entry Price]]</f>
        <v>692.2299999999999</v>
      </c>
    </row>
    <row r="871" spans="1:20" x14ac:dyDescent="0.25">
      <c r="A871" s="7" t="str">
        <f>"T-"&amp; TEXT(ROW()-1,"000")</f>
        <v>T-870</v>
      </c>
      <c r="B871" s="1">
        <v>46283</v>
      </c>
      <c r="C871" t="s">
        <v>154</v>
      </c>
      <c r="D871" t="s">
        <v>28</v>
      </c>
      <c r="E871" t="s">
        <v>58</v>
      </c>
      <c r="F871">
        <v>352.55</v>
      </c>
      <c r="G871">
        <v>349.55</v>
      </c>
      <c r="H871" s="9">
        <f>Tabla1[[#This Row],[Entry Price]]-(Tabla1[[#This Row],[Entry Price]]-Tabla1[[#This Row],[Initial Stop]])/2</f>
        <v>351.05</v>
      </c>
      <c r="I871">
        <v>3</v>
      </c>
      <c r="J871" s="7">
        <f>IF(D871="Long",(F871-G871)*I871,(G871-F871)*0)</f>
        <v>9</v>
      </c>
      <c r="K871" s="7">
        <v>1</v>
      </c>
      <c r="L871" s="7">
        <f>J871*K871</f>
        <v>9</v>
      </c>
      <c r="M871" s="7" t="s">
        <v>72</v>
      </c>
      <c r="N871" s="7">
        <f>SUMIF(Executions!B:B,A871,Executions!H:H)</f>
        <v>-8.9700000000000273</v>
      </c>
      <c r="O871" s="7">
        <f>N871/J871</f>
        <v>-0.9966666666666697</v>
      </c>
      <c r="P871" s="9">
        <f>Tabla1[[#This Row],[Initial Risk $]]/Tabla1[[#This Row],[Position Size (shares)]]+Tabla1[[#This Row],[Entry Price]]</f>
        <v>355.55</v>
      </c>
      <c r="Q871" s="9">
        <f>Tabla1[[#This Row],[Initial Risk $]]/Tabla1[[#This Row],[Position Size (shares)]]*1.5+Tabla1[[#This Row],[Entry Price]]</f>
        <v>357.05</v>
      </c>
      <c r="R871" s="9">
        <f>Tabla1[[#This Row],[Initial Risk $]]/Tabla1[[#This Row],[Position Size (shares)]]*2+Tabla1[[#This Row],[Entry Price]]</f>
        <v>358.55</v>
      </c>
      <c r="S871" s="9">
        <f>Tabla1[[#This Row],[Initial Risk $]]/Tabla1[[#This Row],[Position Size (shares)]]*2.5+Tabla1[[#This Row],[Entry Price]]</f>
        <v>360.05</v>
      </c>
      <c r="T871" s="9">
        <f>Tabla1[[#This Row],[Initial Risk $]]/Tabla1[[#This Row],[Position Size (shares)]]*3+Tabla1[[#This Row],[Entry Price]]</f>
        <v>361.55</v>
      </c>
    </row>
    <row r="872" spans="1:20" x14ac:dyDescent="0.25">
      <c r="A872" s="7" t="str">
        <f>"T-"&amp; TEXT(ROW()-1,"000")</f>
        <v>T-871</v>
      </c>
      <c r="B872" s="1">
        <v>46283</v>
      </c>
      <c r="C872" t="s">
        <v>279</v>
      </c>
      <c r="D872" t="s">
        <v>28</v>
      </c>
      <c r="E872" t="s">
        <v>119</v>
      </c>
      <c r="F872">
        <v>984.37</v>
      </c>
      <c r="G872">
        <v>970</v>
      </c>
      <c r="H872" s="9">
        <f>Tabla1[[#This Row],[Entry Price]]-(Tabla1[[#This Row],[Entry Price]]-Tabla1[[#This Row],[Initial Stop]])/2</f>
        <v>977.18499999999995</v>
      </c>
      <c r="I872">
        <v>1</v>
      </c>
      <c r="J872" s="7">
        <f>IF(D872="Long",(F872-G872)*I872,(G872-F872)*0)</f>
        <v>14.370000000000005</v>
      </c>
      <c r="K872" s="7">
        <v>1</v>
      </c>
      <c r="L872" s="7">
        <f>J872*K872</f>
        <v>14.370000000000005</v>
      </c>
      <c r="M872" s="7" t="s">
        <v>72</v>
      </c>
      <c r="N872" s="7">
        <f>SUMIF(Executions!B:B,A872,Executions!H:H)</f>
        <v>20.330000000000041</v>
      </c>
      <c r="O872" s="7">
        <f>N872/J872</f>
        <v>1.4147529575504547</v>
      </c>
      <c r="P872" s="9">
        <f>Tabla1[[#This Row],[Initial Risk $]]/Tabla1[[#This Row],[Position Size (shares)]]+Tabla1[[#This Row],[Entry Price]]</f>
        <v>998.74</v>
      </c>
      <c r="Q872" s="9">
        <f>Tabla1[[#This Row],[Initial Risk $]]/Tabla1[[#This Row],[Position Size (shares)]]*1.5+Tabla1[[#This Row],[Entry Price]]</f>
        <v>1005.925</v>
      </c>
      <c r="R872" s="9">
        <f>Tabla1[[#This Row],[Initial Risk $]]/Tabla1[[#This Row],[Position Size (shares)]]*2+Tabla1[[#This Row],[Entry Price]]</f>
        <v>1013.11</v>
      </c>
      <c r="S872" s="9">
        <f>Tabla1[[#This Row],[Initial Risk $]]/Tabla1[[#This Row],[Position Size (shares)]]*2.5+Tabla1[[#This Row],[Entry Price]]</f>
        <v>1020.2950000000001</v>
      </c>
      <c r="T872" s="9">
        <f>Tabla1[[#This Row],[Initial Risk $]]/Tabla1[[#This Row],[Position Size (shares)]]*3+Tabla1[[#This Row],[Entry Price]]</f>
        <v>1027.48</v>
      </c>
    </row>
    <row r="873" spans="1:20" x14ac:dyDescent="0.25">
      <c r="A873" s="7" t="str">
        <f>"T-"&amp; TEXT(ROW()-1,"000")</f>
        <v>T-872</v>
      </c>
      <c r="B873" s="1">
        <v>46283</v>
      </c>
      <c r="C873" t="s">
        <v>130</v>
      </c>
      <c r="D873" t="s">
        <v>28</v>
      </c>
      <c r="E873" t="s">
        <v>119</v>
      </c>
      <c r="F873">
        <v>548.91</v>
      </c>
      <c r="G873">
        <v>543.71</v>
      </c>
      <c r="H873" s="9">
        <f>Tabla1[[#This Row],[Entry Price]]-(Tabla1[[#This Row],[Entry Price]]-Tabla1[[#This Row],[Initial Stop]])/2</f>
        <v>546.30999999999995</v>
      </c>
      <c r="I873">
        <v>2</v>
      </c>
      <c r="J873" s="7">
        <f>IF(D873="Long",(F873-G873)*I873,(G873-F873)*0)</f>
        <v>10.399999999999864</v>
      </c>
      <c r="K873" s="7">
        <v>1</v>
      </c>
      <c r="L873" s="7">
        <f>J873*K873</f>
        <v>10.399999999999864</v>
      </c>
      <c r="M873" s="7" t="s">
        <v>72</v>
      </c>
      <c r="N873" s="7">
        <f>SUMIF(Executions!B:B,A873,Executions!H:H)</f>
        <v>-10.519999999999982</v>
      </c>
      <c r="O873" s="7">
        <f>N873/J873</f>
        <v>-1.011538461538473</v>
      </c>
      <c r="P873" s="9">
        <f>Tabla1[[#This Row],[Initial Risk $]]/Tabla1[[#This Row],[Position Size (shares)]]+Tabla1[[#This Row],[Entry Price]]</f>
        <v>554.1099999999999</v>
      </c>
      <c r="Q873" s="9">
        <f>Tabla1[[#This Row],[Initial Risk $]]/Tabla1[[#This Row],[Position Size (shares)]]*1.5+Tabla1[[#This Row],[Entry Price]]</f>
        <v>556.70999999999981</v>
      </c>
      <c r="R873" s="9">
        <f>Tabla1[[#This Row],[Initial Risk $]]/Tabla1[[#This Row],[Position Size (shares)]]*2+Tabla1[[#This Row],[Entry Price]]</f>
        <v>559.30999999999983</v>
      </c>
      <c r="S873" s="9">
        <f>Tabla1[[#This Row],[Initial Risk $]]/Tabla1[[#This Row],[Position Size (shares)]]*2.5+Tabla1[[#This Row],[Entry Price]]</f>
        <v>561.90999999999985</v>
      </c>
      <c r="T873" s="9">
        <f>Tabla1[[#This Row],[Initial Risk $]]/Tabla1[[#This Row],[Position Size (shares)]]*3+Tabla1[[#This Row],[Entry Price]]</f>
        <v>564.50999999999976</v>
      </c>
    </row>
    <row r="874" spans="1:20" x14ac:dyDescent="0.25">
      <c r="A874" s="7" t="str">
        <f>"T-"&amp; TEXT(ROW()-1,"000")</f>
        <v>T-873</v>
      </c>
      <c r="B874" s="1">
        <v>46283</v>
      </c>
      <c r="C874" t="s">
        <v>164</v>
      </c>
      <c r="D874" t="s">
        <v>28</v>
      </c>
      <c r="E874" t="s">
        <v>119</v>
      </c>
      <c r="F874">
        <v>219.36</v>
      </c>
      <c r="G874">
        <v>217.36</v>
      </c>
      <c r="H874" s="9">
        <f>Tabla1[[#This Row],[Entry Price]]-(Tabla1[[#This Row],[Entry Price]]-Tabla1[[#This Row],[Initial Stop]])/2</f>
        <v>218.36</v>
      </c>
      <c r="I874">
        <v>4</v>
      </c>
      <c r="J874" s="7">
        <f>IF(D874="Long",(F874-G874)*I874,(G874-F874)*0)</f>
        <v>8</v>
      </c>
      <c r="K874" s="7">
        <v>1</v>
      </c>
      <c r="L874" s="7">
        <f>J874*K874</f>
        <v>8</v>
      </c>
      <c r="M874" s="7" t="s">
        <v>72</v>
      </c>
      <c r="N874" s="7">
        <f>SUMIF(Executions!B:B,A874,Executions!H:H)</f>
        <v>3.999999999996362E-2</v>
      </c>
      <c r="O874" s="7">
        <f>N874/J874</f>
        <v>4.9999999999954525E-3</v>
      </c>
      <c r="P874" s="9">
        <f>Tabla1[[#This Row],[Initial Risk $]]/Tabla1[[#This Row],[Position Size (shares)]]+Tabla1[[#This Row],[Entry Price]]</f>
        <v>221.36</v>
      </c>
      <c r="Q874" s="9">
        <f>Tabla1[[#This Row],[Initial Risk $]]/Tabla1[[#This Row],[Position Size (shares)]]*1.5+Tabla1[[#This Row],[Entry Price]]</f>
        <v>222.36</v>
      </c>
      <c r="R874" s="9">
        <f>Tabla1[[#This Row],[Initial Risk $]]/Tabla1[[#This Row],[Position Size (shares)]]*2+Tabla1[[#This Row],[Entry Price]]</f>
        <v>223.36</v>
      </c>
      <c r="S874" s="9">
        <f>Tabla1[[#This Row],[Initial Risk $]]/Tabla1[[#This Row],[Position Size (shares)]]*2.5+Tabla1[[#This Row],[Entry Price]]</f>
        <v>224.36</v>
      </c>
      <c r="T874" s="9">
        <f>Tabla1[[#This Row],[Initial Risk $]]/Tabla1[[#This Row],[Position Size (shares)]]*3+Tabla1[[#This Row],[Entry Price]]</f>
        <v>225.36</v>
      </c>
    </row>
    <row r="875" spans="1:20" x14ac:dyDescent="0.25">
      <c r="A875" s="7" t="str">
        <f>"T-"&amp; TEXT(ROW()-1,"000")</f>
        <v>T-874</v>
      </c>
      <c r="B875" s="1">
        <v>46283</v>
      </c>
      <c r="C875" t="s">
        <v>494</v>
      </c>
      <c r="D875" t="s">
        <v>28</v>
      </c>
      <c r="E875" t="s">
        <v>60</v>
      </c>
      <c r="F875">
        <v>674.25</v>
      </c>
      <c r="G875">
        <v>668.46</v>
      </c>
      <c r="H875" s="9">
        <f>Tabla1[[#This Row],[Entry Price]]-(Tabla1[[#This Row],[Entry Price]]-Tabla1[[#This Row],[Initial Stop]])/2</f>
        <v>671.35500000000002</v>
      </c>
      <c r="I875">
        <v>2</v>
      </c>
      <c r="J875" s="7">
        <f>IF(D875="Long",(F875-G875)*I875,(G875-F875)*0)</f>
        <v>11.579999999999927</v>
      </c>
      <c r="K875" s="7">
        <v>1</v>
      </c>
      <c r="L875" s="7">
        <f>J875*K875</f>
        <v>11.579999999999927</v>
      </c>
      <c r="M875" s="7" t="s">
        <v>72</v>
      </c>
      <c r="N875" s="7">
        <f>SUMIF(Executions!B:B,A875,Executions!H:H)</f>
        <v>-5.6800000000000637</v>
      </c>
      <c r="O875" s="7">
        <f>N875/J875</f>
        <v>-0.49050086355786693</v>
      </c>
      <c r="P875" s="9">
        <f>Tabla1[[#This Row],[Initial Risk $]]/Tabla1[[#This Row],[Position Size (shares)]]+Tabla1[[#This Row],[Entry Price]]</f>
        <v>680.04</v>
      </c>
      <c r="Q875" s="9">
        <f>Tabla1[[#This Row],[Initial Risk $]]/Tabla1[[#This Row],[Position Size (shares)]]*1.5+Tabla1[[#This Row],[Entry Price]]</f>
        <v>682.93499999999995</v>
      </c>
      <c r="R875" s="9">
        <f>Tabla1[[#This Row],[Initial Risk $]]/Tabla1[[#This Row],[Position Size (shares)]]*2+Tabla1[[#This Row],[Entry Price]]</f>
        <v>685.82999999999993</v>
      </c>
      <c r="S875" s="9">
        <f>Tabla1[[#This Row],[Initial Risk $]]/Tabla1[[#This Row],[Position Size (shares)]]*2.5+Tabla1[[#This Row],[Entry Price]]</f>
        <v>688.72499999999991</v>
      </c>
      <c r="T875" s="9">
        <f>Tabla1[[#This Row],[Initial Risk $]]/Tabla1[[#This Row],[Position Size (shares)]]*3+Tabla1[[#This Row],[Entry Price]]</f>
        <v>691.61999999999989</v>
      </c>
    </row>
    <row r="876" spans="1:20" x14ac:dyDescent="0.25">
      <c r="A876" s="7" t="str">
        <f>"T-"&amp; TEXT(ROW()-1,"000")</f>
        <v>T-875</v>
      </c>
      <c r="B876" s="1">
        <v>46283</v>
      </c>
      <c r="C876" t="s">
        <v>550</v>
      </c>
      <c r="D876" t="s">
        <v>28</v>
      </c>
      <c r="E876" t="s">
        <v>119</v>
      </c>
      <c r="F876">
        <v>70.63</v>
      </c>
      <c r="G876">
        <v>69.58</v>
      </c>
      <c r="H876" s="9">
        <f>Tabla1[[#This Row],[Entry Price]]-(Tabla1[[#This Row],[Entry Price]]-Tabla1[[#This Row],[Initial Stop]])/2</f>
        <v>70.10499999999999</v>
      </c>
      <c r="I876">
        <v>10</v>
      </c>
      <c r="J876" s="7">
        <f>IF(D876="Long",(F876-G876)*I876,(G876-F876)*0)</f>
        <v>10.499999999999972</v>
      </c>
      <c r="K876" s="7">
        <v>1</v>
      </c>
      <c r="L876" s="7">
        <f>J876*K876</f>
        <v>10.499999999999972</v>
      </c>
      <c r="M876" s="7" t="s">
        <v>72</v>
      </c>
      <c r="N876" s="7">
        <f>SUMIF(Executions!B:B,A876,Executions!H:H)</f>
        <v>2.6000000000000512</v>
      </c>
      <c r="O876" s="7">
        <f>N876/J876</f>
        <v>0.24761904761905315</v>
      </c>
      <c r="P876" s="9">
        <f>Tabla1[[#This Row],[Initial Risk $]]/Tabla1[[#This Row],[Position Size (shares)]]+Tabla1[[#This Row],[Entry Price]]</f>
        <v>71.679999999999993</v>
      </c>
      <c r="Q876" s="9">
        <f>Tabla1[[#This Row],[Initial Risk $]]/Tabla1[[#This Row],[Position Size (shares)]]*1.5+Tabla1[[#This Row],[Entry Price]]</f>
        <v>72.204999999999984</v>
      </c>
      <c r="R876" s="9">
        <f>Tabla1[[#This Row],[Initial Risk $]]/Tabla1[[#This Row],[Position Size (shares)]]*2+Tabla1[[#This Row],[Entry Price]]</f>
        <v>72.72999999999999</v>
      </c>
      <c r="S876" s="9">
        <f>Tabla1[[#This Row],[Initial Risk $]]/Tabla1[[#This Row],[Position Size (shares)]]*2.5+Tabla1[[#This Row],[Entry Price]]</f>
        <v>73.254999999999995</v>
      </c>
      <c r="T876" s="9">
        <f>Tabla1[[#This Row],[Initial Risk $]]/Tabla1[[#This Row],[Position Size (shares)]]*3+Tabla1[[#This Row],[Entry Price]]</f>
        <v>73.779999999999987</v>
      </c>
    </row>
    <row r="877" spans="1:20" x14ac:dyDescent="0.25">
      <c r="B877" s="8"/>
    </row>
    <row r="878" spans="1:20" x14ac:dyDescent="0.25">
      <c r="B878" s="8"/>
    </row>
    <row r="879" spans="1:20" x14ac:dyDescent="0.25">
      <c r="B879" s="8"/>
    </row>
    <row r="880" spans="1:20" x14ac:dyDescent="0.25">
      <c r="B880" s="8"/>
    </row>
    <row r="881" spans="2:2" x14ac:dyDescent="0.25">
      <c r="B881" s="8"/>
    </row>
    <row r="882" spans="2:2" x14ac:dyDescent="0.25">
      <c r="B882" s="8"/>
    </row>
    <row r="883" spans="2:2" x14ac:dyDescent="0.25">
      <c r="B883" s="8"/>
    </row>
    <row r="884" spans="2:2" x14ac:dyDescent="0.25">
      <c r="B884" s="8"/>
    </row>
    <row r="885" spans="2:2" x14ac:dyDescent="0.25">
      <c r="B885" s="8"/>
    </row>
    <row r="886" spans="2:2" x14ac:dyDescent="0.25">
      <c r="B886" s="8"/>
    </row>
    <row r="887" spans="2:2" x14ac:dyDescent="0.25">
      <c r="B887" s="8"/>
    </row>
    <row r="888" spans="2:2" x14ac:dyDescent="0.25">
      <c r="B888" s="8"/>
    </row>
    <row r="889" spans="2:2" x14ac:dyDescent="0.25">
      <c r="B889" s="8"/>
    </row>
    <row r="890" spans="2:2" x14ac:dyDescent="0.25">
      <c r="B890" s="8"/>
    </row>
    <row r="891" spans="2:2" x14ac:dyDescent="0.25">
      <c r="B891" s="8"/>
    </row>
    <row r="892" spans="2:2" x14ac:dyDescent="0.25">
      <c r="B892" s="8"/>
    </row>
    <row r="893" spans="2:2" x14ac:dyDescent="0.25">
      <c r="B893" s="8"/>
    </row>
    <row r="894" spans="2:2" x14ac:dyDescent="0.25">
      <c r="B894" s="8"/>
    </row>
    <row r="895" spans="2:2" x14ac:dyDescent="0.25">
      <c r="B895" s="8"/>
    </row>
    <row r="896" spans="2:2" x14ac:dyDescent="0.25">
      <c r="B896" s="8"/>
    </row>
    <row r="897" spans="2:2" x14ac:dyDescent="0.25">
      <c r="B897" s="8"/>
    </row>
    <row r="898" spans="2:2" x14ac:dyDescent="0.25">
      <c r="B898" s="8"/>
    </row>
    <row r="899" spans="2:2" x14ac:dyDescent="0.25">
      <c r="B899" s="8"/>
    </row>
    <row r="900" spans="2:2" x14ac:dyDescent="0.25">
      <c r="B900" s="8"/>
    </row>
    <row r="901" spans="2:2" x14ac:dyDescent="0.25">
      <c r="B901" s="8"/>
    </row>
  </sheetData>
  <conditionalFormatting sqref="N2:N876">
    <cfRule type="cellIs" dxfId="3" priority="1" operator="equal">
      <formula>0</formula>
    </cfRule>
    <cfRule type="cellIs" dxfId="2" priority="2" operator="lessThan">
      <formula>0</formula>
    </cfRule>
    <cfRule type="cellIs" dxfId="1" priority="3" operator="greaterThanOrEqual">
      <formula>L2</formula>
    </cfRule>
    <cfRule type="cellIs" dxfId="0" priority="4" operator="lessThan">
      <formula>L2</formula>
    </cfRule>
  </conditionalFormatting>
  <dataValidations count="3">
    <dataValidation type="list" allowBlank="1" showInputMessage="1" showErrorMessage="1" sqref="E1 E877:E1048576" xr:uid="{184E1B61-3233-4303-B854-3059829C2393}">
      <formula1>"Breakout,Pullback,Range Break,Reversal,Earning Play, A+ Setup,Buy the Dip, Other"</formula1>
    </dataValidation>
    <dataValidation type="list" allowBlank="1" showInputMessage="1" showErrorMessage="1" sqref="M2:M1048576" xr:uid="{F4069621-A7E8-45FE-9BEB-689DCD314A70}">
      <formula1>"Open,Closed"</formula1>
    </dataValidation>
    <dataValidation type="list" allowBlank="1" showInputMessage="1" showErrorMessage="1" sqref="D2:D1048576" xr:uid="{7CC3C28F-4F55-4478-BFCD-3E2D4B39BBC5}">
      <formula1>"Long,Short"</formula1>
    </dataValidation>
  </dataValidations>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35AFC476-A1FB-4896-88D9-082697747CAE}">
          <x14:formula1>
            <xm:f>Setups!$A$2:$A$16</xm:f>
          </x14:formula1>
          <xm:sqref>E2</xm:sqref>
        </x14:dataValidation>
        <x14:dataValidation type="list" allowBlank="1" showInputMessage="1" showErrorMessage="1" xr:uid="{F958648C-BDD0-4279-9367-17373A7E8527}">
          <x14:formula1>
            <xm:f>Setups!$A$2:$A$15</xm:f>
          </x14:formula1>
          <xm:sqref>E3:E846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6475-86FC-4B41-8DB1-3EDC95E09B14}">
  <sheetPr codeName="Hoja2"/>
  <dimension ref="A1:L906"/>
  <sheetViews>
    <sheetView workbookViewId="0">
      <pane ySplit="1" topLeftCell="A877" activePane="bottomLeft" state="frozen"/>
      <selection pane="bottomLeft" activeCell="H905" sqref="H905"/>
    </sheetView>
  </sheetViews>
  <sheetFormatPr baseColWidth="10" defaultRowHeight="15" x14ac:dyDescent="0.25"/>
  <cols>
    <col min="5" max="5" width="10.28515625" bestFit="1" customWidth="1"/>
    <col min="6" max="6" width="17.140625" customWidth="1"/>
    <col min="7" max="7" width="16.140625" customWidth="1"/>
    <col min="9" max="9" width="16.42578125" customWidth="1"/>
    <col min="11" max="11" width="17" bestFit="1" customWidth="1"/>
  </cols>
  <sheetData>
    <row r="1" spans="1:12" x14ac:dyDescent="0.25">
      <c r="A1" t="s">
        <v>7</v>
      </c>
      <c r="B1" t="s">
        <v>0</v>
      </c>
      <c r="C1" t="s">
        <v>1</v>
      </c>
      <c r="D1" t="s">
        <v>2</v>
      </c>
      <c r="E1" t="s">
        <v>30</v>
      </c>
      <c r="F1" t="s">
        <v>38</v>
      </c>
      <c r="G1" t="s">
        <v>32</v>
      </c>
      <c r="H1" t="s">
        <v>8</v>
      </c>
      <c r="I1" t="s">
        <v>9</v>
      </c>
      <c r="K1" t="s">
        <v>782</v>
      </c>
      <c r="L1">
        <f>1*COUNT(A:A)</f>
        <v>904</v>
      </c>
    </row>
    <row r="2" spans="1:12" x14ac:dyDescent="0.25">
      <c r="A2">
        <f>ROW()-1</f>
        <v>1</v>
      </c>
      <c r="B2" t="s">
        <v>70</v>
      </c>
      <c r="C2" s="1">
        <v>46077</v>
      </c>
      <c r="D2" t="str">
        <f>VLOOKUP(B2,Trades!A$1:N100794,3,FALSE)</f>
        <v>ONDS</v>
      </c>
      <c r="E2" t="s">
        <v>61</v>
      </c>
      <c r="F2">
        <v>9.81</v>
      </c>
      <c r="G2">
        <v>18</v>
      </c>
      <c r="H2">
        <f>IF(VLOOKUP(B2,Trades!A:N,4,FALSE)="Long",(F2-VLOOKUP(B2,Trades!A:N,6,FALSE))*G2,(VLOOKUP(B2,Trades!A:N,6,FALSE)-F2)*G2)</f>
        <v>-23.399999999999981</v>
      </c>
      <c r="I2">
        <f>H2/VLOOKUP(B2,Trades!A$1:$N$100794,9,FALSE)</f>
        <v>-1.2999999999999989</v>
      </c>
    </row>
    <row r="3" spans="1:12" x14ac:dyDescent="0.25">
      <c r="A3">
        <f t="shared" ref="A3:A72" si="0">ROW()-1</f>
        <v>2</v>
      </c>
      <c r="B3" t="s">
        <v>75</v>
      </c>
      <c r="C3" s="1">
        <v>46077</v>
      </c>
      <c r="D3" t="str">
        <f>VLOOKUP(B3,Trades!A$1:N100795,3,FALSE)</f>
        <v>NG</v>
      </c>
      <c r="E3" t="s">
        <v>61</v>
      </c>
      <c r="F3">
        <v>11.765000000000001</v>
      </c>
      <c r="G3">
        <v>18</v>
      </c>
      <c r="H3">
        <f>IF(VLOOKUP(B3,Trades!A:N,4,FALSE)="Long",(F3-VLOOKUP(B3,Trades!A:N,6,FALSE))*G3,(VLOOKUP(B3,Trades!A:N,6,FALSE)-F3)*G3)</f>
        <v>25.110000000000024</v>
      </c>
      <c r="I3">
        <f>H3/VLOOKUP(B3,Trades!A$1:$N$100794,9,FALSE)</f>
        <v>0.69750000000000068</v>
      </c>
    </row>
    <row r="4" spans="1:12" x14ac:dyDescent="0.25">
      <c r="A4">
        <f t="shared" si="0"/>
        <v>3</v>
      </c>
      <c r="B4" t="s">
        <v>77</v>
      </c>
      <c r="C4" s="1">
        <v>46078</v>
      </c>
      <c r="D4" t="str">
        <f>VLOOKUP(B4,Trades!A$1:N100796,3,FALSE)</f>
        <v>DNN</v>
      </c>
      <c r="E4" t="s">
        <v>61</v>
      </c>
      <c r="F4">
        <v>4.29</v>
      </c>
      <c r="G4">
        <v>61</v>
      </c>
      <c r="H4">
        <f>IF(VLOOKUP(B4,Trades!A:N,4,FALSE)="Long",(F4-VLOOKUP(B4,Trades!A:N,6,FALSE))*G4,(VLOOKUP(B4,Trades!A:N,6,FALSE)-F4)*G4)</f>
        <v>6.7100000000000195</v>
      </c>
      <c r="I4">
        <f>H4/VLOOKUP(B4,Trades!A$1:$N$100794,9,FALSE)</f>
        <v>0.11000000000000032</v>
      </c>
    </row>
    <row r="5" spans="1:12" x14ac:dyDescent="0.25">
      <c r="A5">
        <f t="shared" si="0"/>
        <v>4</v>
      </c>
      <c r="B5" t="s">
        <v>96</v>
      </c>
      <c r="C5" s="1">
        <v>46083</v>
      </c>
      <c r="D5" t="str">
        <f>VLOOKUP(B5,Trades!A$1:N100797,3,FALSE)</f>
        <v>MNST</v>
      </c>
      <c r="E5" t="s">
        <v>61</v>
      </c>
      <c r="F5">
        <v>82.37</v>
      </c>
      <c r="G5">
        <v>12</v>
      </c>
      <c r="H5">
        <f>IF(VLOOKUP(B5,Trades!A:N,4,FALSE)="Long",(F5-VLOOKUP(B5,Trades!A:N,6,FALSE))*G5,(VLOOKUP(B5,Trades!A:N,6,FALSE)-F5)*G5)</f>
        <v>80.400000000000034</v>
      </c>
      <c r="I5">
        <f>H5/VLOOKUP(B5,Trades!A$1:$N$100794,9,FALSE)</f>
        <v>6.7000000000000028</v>
      </c>
    </row>
    <row r="6" spans="1:12" x14ac:dyDescent="0.25">
      <c r="A6">
        <f t="shared" si="0"/>
        <v>5</v>
      </c>
      <c r="B6" t="s">
        <v>75</v>
      </c>
      <c r="C6" s="1">
        <v>46084</v>
      </c>
      <c r="D6" t="str">
        <f>VLOOKUP(B6,Trades!A$1:N100798,3,FALSE)</f>
        <v>NG</v>
      </c>
      <c r="E6" t="s">
        <v>61</v>
      </c>
      <c r="F6">
        <v>12.27</v>
      </c>
      <c r="G6">
        <v>18</v>
      </c>
      <c r="H6">
        <f>IF(VLOOKUP(B6,Trades!A:N,4,FALSE)="Long",(F6-VLOOKUP(B6,Trades!A:N,6,FALSE))*G6,(VLOOKUP(B6,Trades!A:N,6,FALSE)-F6)*G6)</f>
        <v>34.200000000000003</v>
      </c>
      <c r="I6">
        <f>H6/VLOOKUP(B6,Trades!A$1:$N$100794,9,FALSE)</f>
        <v>0.95000000000000007</v>
      </c>
    </row>
    <row r="7" spans="1:12" x14ac:dyDescent="0.25">
      <c r="A7">
        <f t="shared" si="0"/>
        <v>6</v>
      </c>
      <c r="B7" t="s">
        <v>99</v>
      </c>
      <c r="C7" s="1">
        <v>46084</v>
      </c>
      <c r="D7" t="str">
        <f>VLOOKUP(B7,Trades!A$1:N100799,3,FALSE)</f>
        <v>TJX</v>
      </c>
      <c r="E7" t="s">
        <v>61</v>
      </c>
      <c r="F7">
        <v>156.24</v>
      </c>
      <c r="G7">
        <v>6</v>
      </c>
      <c r="H7">
        <f>IF(VLOOKUP(B7,Trades!A:N,4,FALSE)="Long",(F7-VLOOKUP(B7,Trades!A:N,6,FALSE))*G7,(VLOOKUP(B7,Trades!A:N,6,FALSE)-F7)*G7)</f>
        <v>24.42000000000013</v>
      </c>
      <c r="I7">
        <f>H7/VLOOKUP(B7,Trades!A$1:$N$100794,9,FALSE)</f>
        <v>4.0700000000000216</v>
      </c>
    </row>
    <row r="8" spans="1:12" x14ac:dyDescent="0.25">
      <c r="A8">
        <f t="shared" si="0"/>
        <v>7</v>
      </c>
      <c r="B8" t="s">
        <v>104</v>
      </c>
      <c r="C8" s="1">
        <v>46085</v>
      </c>
      <c r="D8" t="str">
        <f>VLOOKUP(B8,Trades!A$1:N100800,3,FALSE)</f>
        <v>ATEC</v>
      </c>
      <c r="E8" t="s">
        <v>61</v>
      </c>
      <c r="F8">
        <v>12.832000000000001</v>
      </c>
      <c r="G8">
        <v>19</v>
      </c>
      <c r="H8">
        <f>IF(VLOOKUP(B8,Trades!A:N,4,FALSE)="Long",(F8-VLOOKUP(B8,Trades!A:N,6,FALSE))*G8,(VLOOKUP(B8,Trades!A:N,6,FALSE)-F8)*G8)</f>
        <v>-10.601999999999997</v>
      </c>
      <c r="I8">
        <f>H8/VLOOKUP(B8,Trades!A$1:$N$100794,9,FALSE)</f>
        <v>-0.55799999999999983</v>
      </c>
    </row>
    <row r="9" spans="1:12" x14ac:dyDescent="0.25">
      <c r="A9">
        <f t="shared" si="0"/>
        <v>8</v>
      </c>
      <c r="B9" t="s">
        <v>106</v>
      </c>
      <c r="C9" s="1">
        <v>46087</v>
      </c>
      <c r="D9" t="str">
        <f>VLOOKUP(B9,Trades!A$1:N100801,3,FALSE)</f>
        <v>LULU</v>
      </c>
      <c r="E9" t="s">
        <v>61</v>
      </c>
      <c r="F9">
        <v>166.62</v>
      </c>
      <c r="G9">
        <v>2</v>
      </c>
      <c r="H9">
        <f>IF(VLOOKUP(B9,Trades!A:N,4,FALSE)="Long",(F9-VLOOKUP(B9,Trades!A:N,6,FALSE))*G9,(VLOOKUP(B9,Trades!A:N,6,FALSE)-F9)*G9)</f>
        <v>-21.71999999999997</v>
      </c>
      <c r="I9">
        <f>H9/VLOOKUP(B9,Trades!A$1:$N$100794,9,FALSE)</f>
        <v>-10.859999999999985</v>
      </c>
    </row>
    <row r="10" spans="1:12" x14ac:dyDescent="0.25">
      <c r="A10">
        <f t="shared" si="0"/>
        <v>9</v>
      </c>
      <c r="B10" t="s">
        <v>107</v>
      </c>
      <c r="C10" s="1">
        <v>46087</v>
      </c>
      <c r="D10" t="str">
        <f>VLOOKUP(B10,Trades!A$1:N100802,3,FALSE)</f>
        <v>UUUU</v>
      </c>
      <c r="E10" t="s">
        <v>61</v>
      </c>
      <c r="F10">
        <v>18.824999999999999</v>
      </c>
      <c r="G10">
        <v>7</v>
      </c>
      <c r="H10">
        <f>IF(VLOOKUP(B10,Trades!A:N,4,FALSE)="Long",(F10-VLOOKUP(B10,Trades!A:N,6,FALSE))*G10,(VLOOKUP(B10,Trades!A:N,6,FALSE)-F10)*G10)</f>
        <v>-25.445000000000011</v>
      </c>
      <c r="I10">
        <f>H10/VLOOKUP(B10,Trades!A$1:$N$100794,9,FALSE)</f>
        <v>-3.6350000000000016</v>
      </c>
    </row>
    <row r="11" spans="1:12" x14ac:dyDescent="0.25">
      <c r="A11">
        <f t="shared" si="0"/>
        <v>10</v>
      </c>
      <c r="B11" t="s">
        <v>108</v>
      </c>
      <c r="C11" s="1">
        <v>46087</v>
      </c>
      <c r="D11" t="str">
        <f>VLOOKUP(B11,Trades!A$1:N100803,3,FALSE)</f>
        <v>OKLO</v>
      </c>
      <c r="E11" t="s">
        <v>61</v>
      </c>
      <c r="F11">
        <v>58.43</v>
      </c>
      <c r="G11">
        <v>3</v>
      </c>
      <c r="H11">
        <f>IF(VLOOKUP(B11,Trades!A:N,4,FALSE)="Long",(F11-VLOOKUP(B11,Trades!A:N,6,FALSE))*G11,(VLOOKUP(B11,Trades!A:N,6,FALSE)-F11)*G11)</f>
        <v>-28.16999999999998</v>
      </c>
      <c r="I11">
        <f>H11/VLOOKUP(B11,Trades!A$1:$N$100794,9,FALSE)</f>
        <v>-9.3899999999999935</v>
      </c>
    </row>
    <row r="12" spans="1:12" x14ac:dyDescent="0.25">
      <c r="A12">
        <f t="shared" si="0"/>
        <v>11</v>
      </c>
      <c r="B12" t="s">
        <v>109</v>
      </c>
      <c r="C12" s="1">
        <v>46090</v>
      </c>
      <c r="D12" t="str">
        <f>VLOOKUP(B12,Trades!A$1:N100804,3,FALSE)</f>
        <v>TMDX</v>
      </c>
      <c r="E12" t="s">
        <v>61</v>
      </c>
      <c r="F12">
        <v>125.27</v>
      </c>
      <c r="G12">
        <v>3</v>
      </c>
      <c r="H12">
        <f>IF(VLOOKUP(B12,Trades!A:N,4,FALSE)="Long",(F12-VLOOKUP(B12,Trades!A:N,6,FALSE))*G12,(VLOOKUP(B12,Trades!A:N,6,FALSE)-F12)*G12)</f>
        <v>-35.010000000000005</v>
      </c>
      <c r="I12">
        <f>H12/VLOOKUP(B12,Trades!A$1:$N$100794,9,FALSE)</f>
        <v>-11.670000000000002</v>
      </c>
    </row>
    <row r="13" spans="1:12" x14ac:dyDescent="0.25">
      <c r="A13">
        <f t="shared" si="0"/>
        <v>12</v>
      </c>
      <c r="B13" t="s">
        <v>113</v>
      </c>
      <c r="C13" s="1">
        <v>46093</v>
      </c>
      <c r="D13" t="str">
        <f>VLOOKUP(B13,Trades!A$1:N100805,3,FALSE)</f>
        <v>APPS</v>
      </c>
      <c r="E13" t="s">
        <v>61</v>
      </c>
      <c r="F13">
        <v>3.68</v>
      </c>
      <c r="G13">
        <v>42</v>
      </c>
      <c r="H13">
        <f>IF(VLOOKUP(B13,Trades!A:N,4,FALSE)="Long",(F13-VLOOKUP(B13,Trades!A:N,6,FALSE))*G13,(VLOOKUP(B13,Trades!A:N,6,FALSE)-F13)*G13)</f>
        <v>-24.779999999999976</v>
      </c>
      <c r="I13">
        <f>H13/VLOOKUP(B13,Trades!A$1:$N$100794,9,FALSE)</f>
        <v>-0.58999999999999941</v>
      </c>
    </row>
    <row r="14" spans="1:12" x14ac:dyDescent="0.25">
      <c r="A14">
        <f t="shared" si="0"/>
        <v>13</v>
      </c>
      <c r="B14" t="s">
        <v>114</v>
      </c>
      <c r="C14" s="1">
        <v>46098</v>
      </c>
      <c r="D14" t="str">
        <f>VLOOKUP(B14,Trades!A$1:N100806,3,FALSE)</f>
        <v>IHS</v>
      </c>
      <c r="E14" t="s">
        <v>61</v>
      </c>
      <c r="F14">
        <v>8.18</v>
      </c>
      <c r="G14">
        <v>50</v>
      </c>
      <c r="H14">
        <f>IF(VLOOKUP(B14,Trades!A:N,4,FALSE)="Long",(F14-VLOOKUP(B14,Trades!A:N,6,FALSE))*G14,(VLOOKUP(B14,Trades!A:N,6,FALSE)-F14)*G14)</f>
        <v>0.99999999999997868</v>
      </c>
      <c r="I14">
        <f>H14/VLOOKUP(B14,Trades!A$1:$N$100794,9,FALSE)</f>
        <v>1.9999999999999574E-2</v>
      </c>
    </row>
    <row r="15" spans="1:12" x14ac:dyDescent="0.25">
      <c r="A15">
        <f t="shared" si="0"/>
        <v>14</v>
      </c>
      <c r="B15" t="s">
        <v>121</v>
      </c>
      <c r="C15" s="1">
        <v>46099</v>
      </c>
      <c r="D15" t="str">
        <f>VLOOKUP(B15,Trades!A$1:N100807,3,FALSE)</f>
        <v>QBTS</v>
      </c>
      <c r="E15" t="s">
        <v>61</v>
      </c>
      <c r="F15">
        <v>16.91</v>
      </c>
      <c r="G15">
        <v>8</v>
      </c>
      <c r="H15">
        <f>IF(VLOOKUP(B15,Trades!A:N,4,FALSE)="Long",(F15-VLOOKUP(B15,Trades!A:N,6,FALSE))*G15,(VLOOKUP(B15,Trades!A:N,6,FALSE)-F15)*G15)</f>
        <v>-31.359999999999985</v>
      </c>
      <c r="I15">
        <f>H15/VLOOKUP(B15,Trades!A$1:$N$100794,9,FALSE)</f>
        <v>-3.9199999999999982</v>
      </c>
    </row>
    <row r="16" spans="1:12" x14ac:dyDescent="0.25">
      <c r="A16">
        <f t="shared" si="0"/>
        <v>15</v>
      </c>
      <c r="B16" t="s">
        <v>122</v>
      </c>
      <c r="C16" s="1">
        <v>46100</v>
      </c>
      <c r="D16" t="str">
        <f>VLOOKUP(B16,Trades!A$1:N100808,3,FALSE)</f>
        <v>AVBP</v>
      </c>
      <c r="E16" t="s">
        <v>61</v>
      </c>
      <c r="F16">
        <v>22.49</v>
      </c>
      <c r="G16">
        <v>4</v>
      </c>
      <c r="H16">
        <f>IF(VLOOKUP(B16,Trades!A:N,4,FALSE)="Long",(F16-VLOOKUP(B16,Trades!A:N,6,FALSE))*G16,(VLOOKUP(B16,Trades!A:N,6,FALSE)-F16)*G16)</f>
        <v>-9.5600000000000023</v>
      </c>
      <c r="I16">
        <f>H16/VLOOKUP(B16,Trades!A$1:$N$100794,9,FALSE)</f>
        <v>-2.3900000000000006</v>
      </c>
    </row>
    <row r="17" spans="1:9" x14ac:dyDescent="0.25">
      <c r="A17">
        <f t="shared" si="0"/>
        <v>16</v>
      </c>
      <c r="B17" t="s">
        <v>124</v>
      </c>
      <c r="C17" s="1">
        <v>46101</v>
      </c>
      <c r="D17" t="str">
        <f>VLOOKUP(B17,Trades!A$1:N100809,3,FALSE)</f>
        <v>BDX</v>
      </c>
      <c r="E17" t="s">
        <v>61</v>
      </c>
      <c r="F17">
        <v>155.91</v>
      </c>
      <c r="G17">
        <v>3</v>
      </c>
      <c r="H17">
        <f>IF(VLOOKUP(B17,Trades!A:N,4,FALSE)="Long",(F17-VLOOKUP(B17,Trades!A:N,6,FALSE))*G17,(VLOOKUP(B17,Trades!A:N,6,FALSE)-F17)*G17)</f>
        <v>-19.70999999999998</v>
      </c>
      <c r="I17">
        <f>H17/VLOOKUP(B17,Trades!A$1:$N$100794,9,FALSE)</f>
        <v>-6.5699999999999932</v>
      </c>
    </row>
    <row r="18" spans="1:9" x14ac:dyDescent="0.25">
      <c r="A18">
        <f t="shared" si="0"/>
        <v>17</v>
      </c>
      <c r="B18" t="s">
        <v>126</v>
      </c>
      <c r="C18" s="1">
        <v>46105</v>
      </c>
      <c r="D18" t="str">
        <f>VLOOKUP(B18,Trades!A$1:N100810,3,FALSE)</f>
        <v>KTOS</v>
      </c>
      <c r="E18" t="s">
        <v>61</v>
      </c>
      <c r="F18">
        <v>80.77</v>
      </c>
      <c r="G18">
        <v>3</v>
      </c>
      <c r="H18">
        <f>IF(VLOOKUP(B18,Trades!A:N,4,FALSE)="Long",(F18-VLOOKUP(B18,Trades!A:N,6,FALSE))*G18,(VLOOKUP(B18,Trades!A:N,6,FALSE)-F18)*G18)</f>
        <v>-23.430000000000007</v>
      </c>
      <c r="I18">
        <f>H18/VLOOKUP(B18,Trades!A$1:$N$100794,9,FALSE)</f>
        <v>-7.8100000000000023</v>
      </c>
    </row>
    <row r="19" spans="1:9" x14ac:dyDescent="0.25">
      <c r="A19">
        <f t="shared" si="0"/>
        <v>18</v>
      </c>
      <c r="B19" t="s">
        <v>127</v>
      </c>
      <c r="C19" s="1">
        <v>46105</v>
      </c>
      <c r="D19" t="str">
        <f>VLOOKUP(B19,Trades!A$1:N100811,3,FALSE)</f>
        <v>MNST</v>
      </c>
      <c r="E19" t="s">
        <v>61</v>
      </c>
      <c r="F19">
        <v>72.959999999999994</v>
      </c>
      <c r="G19">
        <v>20</v>
      </c>
      <c r="H19">
        <f>IF(VLOOKUP(B19,Trades!A:N,4,FALSE)="Long",(F19-VLOOKUP(B19,Trades!A:N,6,FALSE))*G19,(VLOOKUP(B19,Trades!A:N,6,FALSE)-F19)*G19)</f>
        <v>-83.800000000000239</v>
      </c>
      <c r="I19">
        <f>H19/VLOOKUP(B19,Trades!A$1:$N$100794,9,FALSE)</f>
        <v>-4.1900000000000119</v>
      </c>
    </row>
    <row r="20" spans="1:9" x14ac:dyDescent="0.25">
      <c r="A20">
        <f t="shared" si="0"/>
        <v>19</v>
      </c>
      <c r="B20" t="s">
        <v>131</v>
      </c>
      <c r="C20" s="1">
        <v>46106</v>
      </c>
      <c r="D20" t="str">
        <f>VLOOKUP(B20,Trades!A$1:N100812,3,FALSE)</f>
        <v>AMD</v>
      </c>
      <c r="E20" t="s">
        <v>61</v>
      </c>
      <c r="F20">
        <v>219.5</v>
      </c>
      <c r="G20">
        <v>2</v>
      </c>
      <c r="H20">
        <f>IF(VLOOKUP(B20,Trades!A:N,4,FALSE)="Long",(F20-VLOOKUP(B20,Trades!A:N,6,FALSE))*G20,(VLOOKUP(B20,Trades!A:N,6,FALSE)-F20)*G20)</f>
        <v>3.9800000000000182</v>
      </c>
      <c r="I20">
        <f>H20/VLOOKUP(B20,Trades!A$1:$N$100794,9,FALSE)</f>
        <v>1.3266666666666727</v>
      </c>
    </row>
    <row r="21" spans="1:9" x14ac:dyDescent="0.25">
      <c r="A21">
        <f t="shared" si="0"/>
        <v>20</v>
      </c>
      <c r="B21" t="s">
        <v>132</v>
      </c>
      <c r="C21" s="1">
        <v>46106</v>
      </c>
      <c r="D21" t="str">
        <f>VLOOKUP(B21,Trades!A$1:N100813,3,FALSE)</f>
        <v>FROG</v>
      </c>
      <c r="E21" t="s">
        <v>61</v>
      </c>
      <c r="F21">
        <v>47.87</v>
      </c>
      <c r="G21">
        <v>2</v>
      </c>
      <c r="H21">
        <f>IF(VLOOKUP(B21,Trades!A:N,4,FALSE)="Long",(F21-VLOOKUP(B21,Trades!A:N,6,FALSE))*G21,(VLOOKUP(B21,Trades!A:N,6,FALSE)-F21)*G21)</f>
        <v>2.5799999999999983</v>
      </c>
      <c r="I21">
        <f>H21/VLOOKUP(B21,Trades!A$1:$N$100794,9,FALSE)</f>
        <v>0.85999999999999943</v>
      </c>
    </row>
    <row r="22" spans="1:9" x14ac:dyDescent="0.25">
      <c r="A22">
        <f t="shared" si="0"/>
        <v>21</v>
      </c>
      <c r="B22" t="s">
        <v>134</v>
      </c>
      <c r="C22" s="1">
        <v>46107</v>
      </c>
      <c r="D22" t="str">
        <f>VLOOKUP(B22,Trades!A$1:N100814,3,FALSE)</f>
        <v>BBY</v>
      </c>
      <c r="E22" t="s">
        <v>61</v>
      </c>
      <c r="F22">
        <v>63.71</v>
      </c>
      <c r="G22">
        <v>3</v>
      </c>
      <c r="H22">
        <f>IF(VLOOKUP(B22,Trades!A:N,4,FALSE)="Long",(F22-VLOOKUP(B22,Trades!A:N,6,FALSE))*G22,(VLOOKUP(B22,Trades!A:N,6,FALSE)-F22)*G22)</f>
        <v>-2.5500000000000043</v>
      </c>
      <c r="I22">
        <f>H22/VLOOKUP(B22,Trades!A$1:$N$100794,9,FALSE)</f>
        <v>-0.85000000000000142</v>
      </c>
    </row>
    <row r="23" spans="1:9" x14ac:dyDescent="0.25">
      <c r="A23">
        <f t="shared" si="0"/>
        <v>22</v>
      </c>
      <c r="B23" t="s">
        <v>137</v>
      </c>
      <c r="C23" s="1">
        <v>46107</v>
      </c>
      <c r="D23" t="str">
        <f>VLOOKUP(B23,Trades!A$1:N100815,3,FALSE)</f>
        <v>ARM</v>
      </c>
      <c r="E23" t="s">
        <v>61</v>
      </c>
      <c r="F23">
        <v>157.15</v>
      </c>
      <c r="G23">
        <v>2</v>
      </c>
      <c r="H23">
        <f>IF(VLOOKUP(B23,Trades!A:N,4,FALSE)="Long",(F23-VLOOKUP(B23,Trades!A:N,6,FALSE))*G23,(VLOOKUP(B23,Trades!A:N,6,FALSE)-F23)*G23)</f>
        <v>-4.8799999999999955</v>
      </c>
      <c r="I23">
        <f>H23/VLOOKUP(B23,Trades!A$1:$N$100794,9,FALSE)</f>
        <v>-2.4399999999999977</v>
      </c>
    </row>
    <row r="24" spans="1:9" x14ac:dyDescent="0.25">
      <c r="A24">
        <f t="shared" si="0"/>
        <v>23</v>
      </c>
      <c r="B24" t="s">
        <v>139</v>
      </c>
      <c r="C24" s="1">
        <v>46107</v>
      </c>
      <c r="D24" t="str">
        <f>VLOOKUP(B24,Trades!A$1:N100816,3,FALSE)</f>
        <v>ARM</v>
      </c>
      <c r="E24" t="s">
        <v>61</v>
      </c>
      <c r="F24">
        <v>155.78</v>
      </c>
      <c r="G24">
        <v>2</v>
      </c>
      <c r="H24">
        <f>IF(VLOOKUP(B24,Trades!A:N,4,FALSE)="Long",(F24-VLOOKUP(B24,Trades!A:N,6,FALSE))*G24,(VLOOKUP(B24,Trades!A:N,6,FALSE)-F24)*G24)</f>
        <v>-3.3799999999999955</v>
      </c>
      <c r="I24">
        <f>H24/VLOOKUP(B24,Trades!A$1:$N$100794,9,FALSE)</f>
        <v>-1.6899999999999977</v>
      </c>
    </row>
    <row r="25" spans="1:9" x14ac:dyDescent="0.25">
      <c r="A25">
        <f t="shared" si="0"/>
        <v>24</v>
      </c>
      <c r="B25" t="s">
        <v>140</v>
      </c>
      <c r="C25" s="1">
        <v>46108</v>
      </c>
      <c r="D25" t="str">
        <f>VLOOKUP(B25,Trades!A$1:N100817,3,FALSE)</f>
        <v>ROKU</v>
      </c>
      <c r="E25" t="s">
        <v>61</v>
      </c>
      <c r="F25">
        <v>87.72</v>
      </c>
      <c r="G25">
        <v>3</v>
      </c>
      <c r="H25">
        <f>IF(VLOOKUP(B25,Trades!A:N,4,FALSE)="Long",(F25-VLOOKUP(B25,Trades!A:N,6,FALSE))*G25,(VLOOKUP(B25,Trades!A:N,6,FALSE)-F25)*G25)</f>
        <v>-14.309999999999988</v>
      </c>
      <c r="I25">
        <f>H25/VLOOKUP(B25,Trades!A$1:$N$100794,9,FALSE)</f>
        <v>-4.769999999999996</v>
      </c>
    </row>
    <row r="26" spans="1:9" x14ac:dyDescent="0.25">
      <c r="A26">
        <f t="shared" si="0"/>
        <v>25</v>
      </c>
      <c r="B26" t="s">
        <v>142</v>
      </c>
      <c r="C26" s="1">
        <v>46108</v>
      </c>
      <c r="D26" t="str">
        <f>VLOOKUP(B26,Trades!A$1:N100818,3,FALSE)</f>
        <v>LGN</v>
      </c>
      <c r="E26" t="s">
        <v>61</v>
      </c>
      <c r="F26">
        <v>53.26</v>
      </c>
      <c r="G26">
        <v>4</v>
      </c>
      <c r="H26">
        <f>IF(VLOOKUP(B26,Trades!A:N,4,FALSE)="Long",(F26-VLOOKUP(B26,Trades!A:N,6,FALSE))*G26,(VLOOKUP(B26,Trades!A:N,6,FALSE)-F26)*G26)</f>
        <v>-4.7199999999999989</v>
      </c>
      <c r="I26">
        <f>H26/VLOOKUP(B26,Trades!A$1:$N$100794,9,FALSE)</f>
        <v>-1.1799999999999997</v>
      </c>
    </row>
    <row r="27" spans="1:9" x14ac:dyDescent="0.25">
      <c r="A27">
        <f t="shared" si="0"/>
        <v>26</v>
      </c>
      <c r="B27" t="s">
        <v>144</v>
      </c>
      <c r="C27" s="1">
        <v>46108</v>
      </c>
      <c r="D27" t="str">
        <f>VLOOKUP(B27,Trades!A$1:N100819,3,FALSE)</f>
        <v>AGX</v>
      </c>
      <c r="E27" t="s">
        <v>61</v>
      </c>
      <c r="F27">
        <v>530.64</v>
      </c>
      <c r="G27">
        <v>2</v>
      </c>
      <c r="H27">
        <f>IF(VLOOKUP(B27,Trades!A:N,4,FALSE)="Long",(F27-VLOOKUP(B27,Trades!A:N,6,FALSE))*G27,(VLOOKUP(B27,Trades!A:N,6,FALSE)-F27)*G27)</f>
        <v>-26.839999999999918</v>
      </c>
      <c r="I27">
        <f>H27/VLOOKUP(B27,Trades!A$1:$N$100794,9,FALSE)</f>
        <v>-13.419999999999959</v>
      </c>
    </row>
    <row r="28" spans="1:9" x14ac:dyDescent="0.25">
      <c r="A28">
        <f t="shared" si="0"/>
        <v>27</v>
      </c>
      <c r="B28" t="s">
        <v>146</v>
      </c>
      <c r="C28" s="1">
        <v>46108</v>
      </c>
      <c r="D28" t="str">
        <f>VLOOKUP(B28,Trades!A$1:N100820,3,FALSE)</f>
        <v>NRT</v>
      </c>
      <c r="E28" t="s">
        <v>61</v>
      </c>
      <c r="F28">
        <v>9.14</v>
      </c>
      <c r="G28">
        <v>27</v>
      </c>
      <c r="H28">
        <f>IF(VLOOKUP(B28,Trades!A:N,4,FALSE)="Long",(F28-VLOOKUP(B28,Trades!A:N,6,FALSE))*G28,(VLOOKUP(B28,Trades!A:N,6,FALSE)-F28)*G28)</f>
        <v>4.0500000000000096</v>
      </c>
      <c r="I28">
        <f>H28/VLOOKUP(B28,Trades!A$1:$N$100794,9,FALSE)</f>
        <v>0.15000000000000036</v>
      </c>
    </row>
    <row r="29" spans="1:9" x14ac:dyDescent="0.25">
      <c r="A29">
        <f t="shared" si="0"/>
        <v>28</v>
      </c>
      <c r="B29" t="s">
        <v>148</v>
      </c>
      <c r="C29" s="1">
        <v>46111</v>
      </c>
      <c r="D29" t="str">
        <f>VLOOKUP(B29,Trades!A$1:N100821,3,FALSE)</f>
        <v>XLE</v>
      </c>
      <c r="E29" t="s">
        <v>61</v>
      </c>
      <c r="F29">
        <v>61.86</v>
      </c>
      <c r="G29">
        <v>12</v>
      </c>
      <c r="H29">
        <f>IF(VLOOKUP(B29,Trades!A:N,4,FALSE)="Long",(F29-VLOOKUP(B29,Trades!A:N,6,FALSE))*G29,(VLOOKUP(B29,Trades!A:N,6,FALSE)-F29)*G29)</f>
        <v>36.119999999999976</v>
      </c>
      <c r="I29">
        <f>H29/VLOOKUP(B29,Trades!A$1:$N$100794,9,FALSE)</f>
        <v>9.029999999999994</v>
      </c>
    </row>
    <row r="30" spans="1:9" x14ac:dyDescent="0.25">
      <c r="A30">
        <f t="shared" si="0"/>
        <v>29</v>
      </c>
      <c r="B30" t="s">
        <v>149</v>
      </c>
      <c r="C30" s="1">
        <v>46112</v>
      </c>
      <c r="D30" t="str">
        <f>VLOOKUP(B30,Trades!A$1:N100822,3,FALSE)</f>
        <v>AA</v>
      </c>
      <c r="E30" t="s">
        <v>61</v>
      </c>
      <c r="F30">
        <v>65.58</v>
      </c>
      <c r="G30">
        <v>3</v>
      </c>
      <c r="H30">
        <f>IF(VLOOKUP(B30,Trades!A:N,4,FALSE)="Long",(F30-VLOOKUP(B30,Trades!A:N,6,FALSE))*G30,(VLOOKUP(B30,Trades!A:N,6,FALSE)-F30)*G30)</f>
        <v>7.9799999999999898</v>
      </c>
      <c r="I30">
        <f>H30/VLOOKUP(B30,Trades!A$1:$N$100794,9,FALSE)</f>
        <v>2.6599999999999966</v>
      </c>
    </row>
    <row r="31" spans="1:9" x14ac:dyDescent="0.25">
      <c r="A31">
        <f t="shared" si="0"/>
        <v>30</v>
      </c>
      <c r="B31" t="s">
        <v>152</v>
      </c>
      <c r="C31" s="1">
        <v>46112</v>
      </c>
      <c r="D31" t="str">
        <f>VLOOKUP(B31,Trades!A$1:N100823,3,FALSE)</f>
        <v>CENX</v>
      </c>
      <c r="E31" t="s">
        <v>61</v>
      </c>
      <c r="F31">
        <v>57.55</v>
      </c>
      <c r="G31">
        <v>4</v>
      </c>
      <c r="H31">
        <f>IF(VLOOKUP(B31,Trades!A:N,4,FALSE)="Long",(F31-VLOOKUP(B31,Trades!A:N,6,FALSE))*G31,(VLOOKUP(B31,Trades!A:N,6,FALSE)-F31)*G31)</f>
        <v>-3.9200000000000159</v>
      </c>
      <c r="I31">
        <f>H31/VLOOKUP(B31,Trades!A$1:$N$100794,9,FALSE)</f>
        <v>-0.98000000000000398</v>
      </c>
    </row>
    <row r="32" spans="1:9" x14ac:dyDescent="0.25">
      <c r="A32">
        <f t="shared" si="0"/>
        <v>31</v>
      </c>
      <c r="B32" t="s">
        <v>155</v>
      </c>
      <c r="C32" s="1">
        <v>46113</v>
      </c>
      <c r="D32" t="str">
        <f>VLOOKUP(B32,Trades!A$1:N100824,3,FALSE)</f>
        <v>GOOG</v>
      </c>
      <c r="E32" t="s">
        <v>61</v>
      </c>
      <c r="F32">
        <v>294.67</v>
      </c>
      <c r="G32">
        <v>2</v>
      </c>
      <c r="H32">
        <f>IF(VLOOKUP(B32,Trades!A:N,4,FALSE)="Long",(F32-VLOOKUP(B32,Trades!A:N,6,FALSE))*G32,(VLOOKUP(B32,Trades!A:N,6,FALSE)-F32)*G32)</f>
        <v>4.32000000000005</v>
      </c>
      <c r="I32">
        <f>H32/VLOOKUP(B32,Trades!A$1:$N$100794,9,FALSE)</f>
        <v>2.160000000000025</v>
      </c>
    </row>
    <row r="33" spans="1:9" x14ac:dyDescent="0.25">
      <c r="A33">
        <f t="shared" si="0"/>
        <v>32</v>
      </c>
      <c r="B33" t="s">
        <v>156</v>
      </c>
      <c r="C33" s="1">
        <v>46113</v>
      </c>
      <c r="D33" t="str">
        <f>VLOOKUP(B33,Trades!A$1:N100825,3,FALSE)</f>
        <v>TSN</v>
      </c>
      <c r="E33" t="s">
        <v>61</v>
      </c>
      <c r="F33">
        <v>64.06</v>
      </c>
      <c r="G33">
        <v>3</v>
      </c>
      <c r="H33">
        <f>IF(VLOOKUP(B33,Trades!A:N,4,FALSE)="Long",(F33-VLOOKUP(B33,Trades!A:N,6,FALSE))*G33,(VLOOKUP(B33,Trades!A:N,6,FALSE)-F33)*G33)</f>
        <v>3.1500000000000128</v>
      </c>
      <c r="I33">
        <f>H33/VLOOKUP(B33,Trades!A$1:$N$100794,9,FALSE)</f>
        <v>1.0500000000000043</v>
      </c>
    </row>
    <row r="34" spans="1:9" x14ac:dyDescent="0.25">
      <c r="A34">
        <f t="shared" si="0"/>
        <v>33</v>
      </c>
      <c r="B34" t="s">
        <v>158</v>
      </c>
      <c r="C34" s="1">
        <v>46114</v>
      </c>
      <c r="D34" t="str">
        <f>VLOOKUP(B34,Trades!A$1:N100826,3,FALSE)</f>
        <v>XOM</v>
      </c>
      <c r="E34" t="s">
        <v>61</v>
      </c>
      <c r="F34">
        <v>163.58000000000001</v>
      </c>
      <c r="G34">
        <v>2</v>
      </c>
      <c r="H34">
        <f>IF(VLOOKUP(B34,Trades!A:N,4,FALSE)="Long",(F34-VLOOKUP(B34,Trades!A:N,6,FALSE))*G34,(VLOOKUP(B34,Trades!A:N,6,FALSE)-F34)*G34)</f>
        <v>-4</v>
      </c>
      <c r="I34">
        <f>H34/VLOOKUP(B34,Trades!A$1:$N$100794,9,FALSE)</f>
        <v>-2</v>
      </c>
    </row>
    <row r="35" spans="1:9" x14ac:dyDescent="0.25">
      <c r="A35">
        <f t="shared" si="0"/>
        <v>34</v>
      </c>
      <c r="B35" t="s">
        <v>160</v>
      </c>
      <c r="C35" s="1">
        <v>46118</v>
      </c>
      <c r="D35" t="str">
        <f>VLOOKUP(B35,Trades!A$1:N100827,3,FALSE)</f>
        <v>BDX</v>
      </c>
      <c r="E35" t="s">
        <v>61</v>
      </c>
      <c r="F35">
        <v>152.93</v>
      </c>
      <c r="G35">
        <v>3</v>
      </c>
      <c r="H35">
        <f>IF(VLOOKUP(B35,Trades!A:N,4,FALSE)="Long",(F35-VLOOKUP(B35,Trades!A:N,6,FALSE))*G35,(VLOOKUP(B35,Trades!A:N,6,FALSE)-F35)*G35)</f>
        <v>-11.04000000000002</v>
      </c>
      <c r="I35">
        <f>H35/VLOOKUP(B35,Trades!A$1:$N$100794,9,FALSE)</f>
        <v>-3.6800000000000068</v>
      </c>
    </row>
    <row r="36" spans="1:9" x14ac:dyDescent="0.25">
      <c r="A36">
        <f t="shared" si="0"/>
        <v>35</v>
      </c>
      <c r="B36" t="s">
        <v>162</v>
      </c>
      <c r="C36" s="1">
        <v>46118</v>
      </c>
      <c r="D36" t="str">
        <f>VLOOKUP(B36,Trades!A$1:N100828,3,FALSE)</f>
        <v>INTC</v>
      </c>
      <c r="E36" t="s">
        <v>61</v>
      </c>
      <c r="F36">
        <v>50.62</v>
      </c>
      <c r="G36">
        <v>4</v>
      </c>
      <c r="H36">
        <f>IF(VLOOKUP(B36,Trades!A:N,4,FALSE)="Long",(F36-VLOOKUP(B36,Trades!A:N,6,FALSE))*G36,(VLOOKUP(B36,Trades!A:N,6,FALSE)-F36)*G36)</f>
        <v>-4.4000000000000057</v>
      </c>
      <c r="I36">
        <f>H36/VLOOKUP(B36,Trades!A$1:$N$100794,9,FALSE)</f>
        <v>-1.1000000000000014</v>
      </c>
    </row>
    <row r="37" spans="1:9" x14ac:dyDescent="0.25">
      <c r="A37">
        <f t="shared" si="0"/>
        <v>36</v>
      </c>
      <c r="B37" t="s">
        <v>163</v>
      </c>
      <c r="C37" s="1">
        <v>46118</v>
      </c>
      <c r="D37" t="str">
        <f>VLOOKUP(B37,Trades!A$1:N100829,3,FALSE)</f>
        <v>INTC</v>
      </c>
      <c r="E37" t="s">
        <v>61</v>
      </c>
      <c r="F37">
        <v>49.98</v>
      </c>
      <c r="G37">
        <v>4</v>
      </c>
      <c r="H37">
        <f>IF(VLOOKUP(B37,Trades!A:N,4,FALSE)="Long",(F37-VLOOKUP(B37,Trades!A:N,6,FALSE))*G37,(VLOOKUP(B37,Trades!A:N,6,FALSE)-F37)*G37)</f>
        <v>-2.960000000000008</v>
      </c>
      <c r="I37">
        <f>H37/VLOOKUP(B37,Trades!A$1:$N$100794,9,FALSE)</f>
        <v>-0.74000000000000199</v>
      </c>
    </row>
    <row r="38" spans="1:9" x14ac:dyDescent="0.25">
      <c r="A38">
        <f t="shared" si="0"/>
        <v>37</v>
      </c>
      <c r="B38" t="s">
        <v>165</v>
      </c>
      <c r="C38" s="1">
        <v>46120</v>
      </c>
      <c r="D38" t="str">
        <f>VLOOKUP(B38,Trades!A$1:N100830,3,FALSE)</f>
        <v>NVDA</v>
      </c>
      <c r="E38" t="s">
        <v>61</v>
      </c>
      <c r="F38">
        <v>181.68</v>
      </c>
      <c r="G38">
        <v>3</v>
      </c>
      <c r="H38">
        <f>IF(VLOOKUP(B38,Trades!A:N,4,FALSE)="Long",(F38-VLOOKUP(B38,Trades!A:N,6,FALSE))*G38,(VLOOKUP(B38,Trades!A:N,6,FALSE)-F38)*G38)</f>
        <v>-9.0299999999999727</v>
      </c>
      <c r="I38">
        <f>H38/VLOOKUP(B38,Trades!A$1:$N$100794,9,FALSE)</f>
        <v>-3.0099999999999909</v>
      </c>
    </row>
    <row r="39" spans="1:9" x14ac:dyDescent="0.25">
      <c r="A39">
        <f t="shared" si="0"/>
        <v>38</v>
      </c>
      <c r="B39" t="s">
        <v>166</v>
      </c>
      <c r="C39" s="1">
        <v>46120</v>
      </c>
      <c r="D39" t="str">
        <f>VLOOKUP(B39,Trades!A$1:N100831,3,FALSE)</f>
        <v>NVDA</v>
      </c>
      <c r="E39" t="s">
        <v>61</v>
      </c>
      <c r="F39">
        <v>181.08</v>
      </c>
      <c r="G39">
        <v>3</v>
      </c>
      <c r="H39">
        <f>IF(VLOOKUP(B39,Trades!A:N,4,FALSE)="Long",(F39-VLOOKUP(B39,Trades!A:N,6,FALSE))*G39,(VLOOKUP(B39,Trades!A:N,6,FALSE)-F39)*G39)</f>
        <v>-3.1499999999999488</v>
      </c>
      <c r="I39">
        <f>H39/VLOOKUP(B39,Trades!A$1:$N$100794,9,FALSE)</f>
        <v>-1.0499999999999829</v>
      </c>
    </row>
    <row r="40" spans="1:9" x14ac:dyDescent="0.25">
      <c r="A40">
        <f t="shared" si="0"/>
        <v>39</v>
      </c>
      <c r="B40" t="s">
        <v>168</v>
      </c>
      <c r="C40" s="1">
        <v>46121</v>
      </c>
      <c r="D40" t="str">
        <f>VLOOKUP(B40,Trades!A$1:N100832,3,FALSE)</f>
        <v>ROST</v>
      </c>
      <c r="E40" t="s">
        <v>61</v>
      </c>
      <c r="F40">
        <v>223.51</v>
      </c>
      <c r="G40">
        <v>2</v>
      </c>
      <c r="H40">
        <f>IF(VLOOKUP(B40,Trades!A:N,4,FALSE)="Long",(F40-VLOOKUP(B40,Trades!A:N,6,FALSE))*G40,(VLOOKUP(B40,Trades!A:N,6,FALSE)-F40)*G40)</f>
        <v>15.620000000000005</v>
      </c>
      <c r="I40">
        <f>H40/VLOOKUP(B40,Trades!A$1:$N$100794,9,FALSE)</f>
        <v>7.8100000000000023</v>
      </c>
    </row>
    <row r="41" spans="1:9" x14ac:dyDescent="0.25">
      <c r="A41">
        <f t="shared" si="0"/>
        <v>40</v>
      </c>
      <c r="B41" t="s">
        <v>170</v>
      </c>
      <c r="C41" s="1">
        <v>46121</v>
      </c>
      <c r="D41" t="str">
        <f>VLOOKUP(B41,Trades!A$1:N100833,3,FALSE)</f>
        <v>NVDA</v>
      </c>
      <c r="E41" t="s">
        <v>61</v>
      </c>
      <c r="F41">
        <v>188.46</v>
      </c>
      <c r="G41">
        <v>3</v>
      </c>
      <c r="H41">
        <f>IF(VLOOKUP(B41,Trades!A:N,4,FALSE)="Long",(F41-VLOOKUP(B41,Trades!A:N,6,FALSE))*G41,(VLOOKUP(B41,Trades!A:N,6,FALSE)-F41)*G41)</f>
        <v>20.670000000000044</v>
      </c>
      <c r="I41">
        <f>H41/VLOOKUP(B41,Trades!A$1:$N$100794,9,FALSE)</f>
        <v>6.8900000000000148</v>
      </c>
    </row>
    <row r="42" spans="1:9" x14ac:dyDescent="0.25">
      <c r="A42">
        <f t="shared" si="0"/>
        <v>41</v>
      </c>
      <c r="B42" t="s">
        <v>171</v>
      </c>
      <c r="C42" s="1">
        <v>46121</v>
      </c>
      <c r="D42" t="str">
        <f>VLOOKUP(B42,Trades!A$1:N100834,3,FALSE)</f>
        <v>LEXX</v>
      </c>
      <c r="E42" t="s">
        <v>61</v>
      </c>
      <c r="F42">
        <v>0.88</v>
      </c>
      <c r="G42">
        <v>50</v>
      </c>
      <c r="H42">
        <f>IF(VLOOKUP(B42,Trades!A:N,4,FALSE)="Long",(F42-VLOOKUP(B42,Trades!A:N,6,FALSE))*G42,(VLOOKUP(B42,Trades!A:N,6,FALSE)-F42)*G42)</f>
        <v>-6</v>
      </c>
      <c r="I42">
        <f>H42/VLOOKUP(B42,Trades!A$1:$N$100794,9,FALSE)</f>
        <v>-0.12</v>
      </c>
    </row>
    <row r="43" spans="1:9" x14ac:dyDescent="0.25">
      <c r="A43">
        <f t="shared" si="0"/>
        <v>42</v>
      </c>
      <c r="B43" t="s">
        <v>172</v>
      </c>
      <c r="C43" s="1">
        <v>46125</v>
      </c>
      <c r="D43" t="str">
        <f>VLOOKUP(B43,Trades!A$1:N100835,3,FALSE)</f>
        <v>AMD</v>
      </c>
      <c r="E43" t="s">
        <v>61</v>
      </c>
      <c r="F43">
        <v>243.02</v>
      </c>
      <c r="G43">
        <v>2</v>
      </c>
      <c r="H43">
        <f>IF(VLOOKUP(B43,Trades!A:N,4,FALSE)="Long",(F43-VLOOKUP(B43,Trades!A:N,6,FALSE))*G43,(VLOOKUP(B43,Trades!A:N,6,FALSE)-F43)*G43)</f>
        <v>-6.0600000000000023</v>
      </c>
      <c r="I43">
        <f>H43/VLOOKUP(B43,Trades!A$1:$N$100794,9,FALSE)</f>
        <v>-3.0300000000000011</v>
      </c>
    </row>
    <row r="44" spans="1:9" x14ac:dyDescent="0.25">
      <c r="A44">
        <f t="shared" si="0"/>
        <v>43</v>
      </c>
      <c r="B44" t="s">
        <v>175</v>
      </c>
      <c r="C44" s="1">
        <v>46126</v>
      </c>
      <c r="D44" t="str">
        <f>VLOOKUP(B44,Trades!A$1:N100836,3,FALSE)</f>
        <v>NVDA</v>
      </c>
      <c r="E44" t="s">
        <v>61</v>
      </c>
      <c r="F44">
        <v>193.51</v>
      </c>
      <c r="G44">
        <v>2</v>
      </c>
      <c r="H44">
        <f>IF(VLOOKUP(B44,Trades!A:N,4,FALSE)="Long",(F44-VLOOKUP(B44,Trades!A:N,6,FALSE))*G44,(VLOOKUP(B44,Trades!A:N,6,FALSE)-F44)*G44)</f>
        <v>5.2799999999999727</v>
      </c>
      <c r="I44">
        <f>H44/VLOOKUP(B44,Trades!A$1:$N$100794,9,FALSE)</f>
        <v>2.6399999999999864</v>
      </c>
    </row>
    <row r="45" spans="1:9" x14ac:dyDescent="0.25">
      <c r="A45">
        <f t="shared" si="0"/>
        <v>44</v>
      </c>
      <c r="B45" t="s">
        <v>176</v>
      </c>
      <c r="C45" s="1">
        <v>46126</v>
      </c>
      <c r="D45" t="str">
        <f>VLOOKUP(B45,Trades!A$1:N100837,3,FALSE)</f>
        <v>NUE</v>
      </c>
      <c r="E45" t="s">
        <v>61</v>
      </c>
      <c r="F45">
        <v>189.82</v>
      </c>
      <c r="G45">
        <v>2</v>
      </c>
      <c r="H45">
        <f>IF(VLOOKUP(B45,Trades!A:N,4,FALSE)="Long",(F45-VLOOKUP(B45,Trades!A:N,6,FALSE))*G45,(VLOOKUP(B45,Trades!A:N,6,FALSE)-F45)*G45)</f>
        <v>45.740000000000009</v>
      </c>
      <c r="I45">
        <f>H45/VLOOKUP(B45,Trades!A$1:$N$100794,9,FALSE)</f>
        <v>22.870000000000005</v>
      </c>
    </row>
    <row r="46" spans="1:9" x14ac:dyDescent="0.25">
      <c r="A46">
        <f t="shared" si="0"/>
        <v>45</v>
      </c>
      <c r="B46" t="s">
        <v>178</v>
      </c>
      <c r="C46" s="1">
        <v>46127</v>
      </c>
      <c r="D46" t="str">
        <f>VLOOKUP(B46,Trades!A$1:N100838,3,FALSE)</f>
        <v>NVDA</v>
      </c>
      <c r="E46" t="s">
        <v>61</v>
      </c>
      <c r="F46">
        <v>196.2</v>
      </c>
      <c r="G46">
        <v>2</v>
      </c>
      <c r="H46">
        <f>IF(VLOOKUP(B46,Trades!A:N,4,FALSE)="Long",(F46-VLOOKUP(B46,Trades!A:N,6,FALSE))*G46,(VLOOKUP(B46,Trades!A:N,6,FALSE)-F46)*G46)</f>
        <v>-3.0200000000000387</v>
      </c>
      <c r="I46">
        <f>H46/VLOOKUP(B46,Trades!A$1:$N$100794,9,FALSE)</f>
        <v>-1.5100000000000193</v>
      </c>
    </row>
    <row r="47" spans="1:9" x14ac:dyDescent="0.25">
      <c r="A47">
        <f t="shared" si="0"/>
        <v>46</v>
      </c>
      <c r="B47" t="s">
        <v>180</v>
      </c>
      <c r="C47" s="1">
        <v>46128</v>
      </c>
      <c r="D47" t="str">
        <f>VLOOKUP(B47,Trades!A$1:N100839,3,FALSE)</f>
        <v>SNOW</v>
      </c>
      <c r="E47" t="s">
        <v>61</v>
      </c>
      <c r="F47">
        <v>146.69</v>
      </c>
      <c r="G47">
        <v>2</v>
      </c>
      <c r="H47">
        <f>IF(VLOOKUP(B47,Trades!A:N,4,FALSE)="Long",(F47-VLOOKUP(B47,Trades!A:N,6,FALSE))*G47,(VLOOKUP(B47,Trades!A:N,6,FALSE)-F47)*G47)</f>
        <v>-4.1999999999999886</v>
      </c>
      <c r="I47">
        <f>H47/VLOOKUP(B47,Trades!A$1:$N$100794,9,FALSE)</f>
        <v>-1.3999999999999961</v>
      </c>
    </row>
    <row r="48" spans="1:9" x14ac:dyDescent="0.25">
      <c r="A48">
        <f t="shared" si="0"/>
        <v>47</v>
      </c>
      <c r="B48" t="s">
        <v>182</v>
      </c>
      <c r="C48" s="1">
        <v>46128</v>
      </c>
      <c r="D48" t="str">
        <f>VLOOKUP(B48,Trades!A$1:N100840,3,FALSE)</f>
        <v>ATEC</v>
      </c>
      <c r="E48" t="s">
        <v>61</v>
      </c>
      <c r="F48">
        <v>11.11</v>
      </c>
      <c r="G48">
        <v>30</v>
      </c>
      <c r="H48">
        <f>IF(VLOOKUP(B48,Trades!A:N,4,FALSE)="Long",(F48-VLOOKUP(B48,Trades!A:N,6,FALSE))*G48,(VLOOKUP(B48,Trades!A:N,6,FALSE)-F48)*G48)</f>
        <v>-9.3000000000000149</v>
      </c>
      <c r="I48">
        <f>H48/VLOOKUP(B48,Trades!A$1:$N$100794,9,FALSE)</f>
        <v>-0.3100000000000005</v>
      </c>
    </row>
    <row r="49" spans="1:9" x14ac:dyDescent="0.25">
      <c r="A49">
        <f t="shared" si="0"/>
        <v>48</v>
      </c>
      <c r="B49" t="s">
        <v>183</v>
      </c>
      <c r="C49" s="1">
        <v>46128</v>
      </c>
      <c r="D49" t="str">
        <f>VLOOKUP(B49,Trades!A$1:N100841,3,FALSE)</f>
        <v>WMT</v>
      </c>
      <c r="E49" t="s">
        <v>61</v>
      </c>
      <c r="F49">
        <v>124.31</v>
      </c>
      <c r="G49">
        <v>3</v>
      </c>
      <c r="H49">
        <f>IF(VLOOKUP(B49,Trades!A:N,4,FALSE)="Long",(F49-VLOOKUP(B49,Trades!A:N,6,FALSE))*G49,(VLOOKUP(B49,Trades!A:N,6,FALSE)-F49)*G49)</f>
        <v>3.1800000000000068</v>
      </c>
      <c r="I49">
        <f>H49/VLOOKUP(B49,Trades!A$1:$N$100794,9,FALSE)</f>
        <v>1.0600000000000023</v>
      </c>
    </row>
    <row r="50" spans="1:9" x14ac:dyDescent="0.25">
      <c r="A50">
        <f t="shared" si="0"/>
        <v>49</v>
      </c>
      <c r="B50" t="s">
        <v>184</v>
      </c>
      <c r="C50" s="1">
        <v>46128</v>
      </c>
      <c r="D50" t="str">
        <f>VLOOKUP(B50,Trades!A$1:N100842,3,FALSE)</f>
        <v>UEC</v>
      </c>
      <c r="E50" t="s">
        <v>61</v>
      </c>
      <c r="F50">
        <v>15.22</v>
      </c>
      <c r="G50">
        <v>7</v>
      </c>
      <c r="H50">
        <f>IF(VLOOKUP(B50,Trades!A:N,4,FALSE)="Long",(F50-VLOOKUP(B50,Trades!A:N,6,FALSE))*G50,(VLOOKUP(B50,Trades!A:N,6,FALSE)-F50)*G50)</f>
        <v>15.050000000000002</v>
      </c>
      <c r="I50">
        <f>H50/VLOOKUP(B50,Trades!A$1:$N$100794,9,FALSE)</f>
        <v>1.0750000000000002</v>
      </c>
    </row>
    <row r="51" spans="1:9" x14ac:dyDescent="0.25">
      <c r="A51">
        <f t="shared" si="0"/>
        <v>50</v>
      </c>
      <c r="B51" t="s">
        <v>185</v>
      </c>
      <c r="C51" s="1">
        <v>46129</v>
      </c>
      <c r="D51" t="str">
        <f>VLOOKUP(B51,Trades!A$1:N100843,3,FALSE)</f>
        <v>GILD</v>
      </c>
      <c r="E51" t="s">
        <v>61</v>
      </c>
      <c r="F51">
        <v>136.91</v>
      </c>
      <c r="G51">
        <v>4</v>
      </c>
      <c r="H51">
        <f>IF(VLOOKUP(B51,Trades!A:N,4,FALSE)="Long",(F51-VLOOKUP(B51,Trades!A:N,6,FALSE))*G51,(VLOOKUP(B51,Trades!A:N,6,FALSE)-F51)*G51)</f>
        <v>-12.960000000000036</v>
      </c>
      <c r="I51">
        <f>H51/VLOOKUP(B51,Trades!A$1:$N$100794,9,FALSE)</f>
        <v>-3.2400000000000091</v>
      </c>
    </row>
    <row r="52" spans="1:9" x14ac:dyDescent="0.25">
      <c r="A52">
        <f t="shared" si="0"/>
        <v>51</v>
      </c>
      <c r="B52" t="s">
        <v>188</v>
      </c>
      <c r="C52" s="1">
        <v>46129</v>
      </c>
      <c r="D52" t="str">
        <f>VLOOKUP(B52,Trades!A$1:N100844,3,FALSE)</f>
        <v>PATH</v>
      </c>
      <c r="E52" t="s">
        <v>61</v>
      </c>
      <c r="F52">
        <v>10.39</v>
      </c>
      <c r="G52">
        <v>30</v>
      </c>
      <c r="H52">
        <f>IF(VLOOKUP(B52,Trades!A:N,4,FALSE)="Long",(F52-VLOOKUP(B52,Trades!A:N,6,FALSE))*G52,(VLOOKUP(B52,Trades!A:N,6,FALSE)-F52)*G52)</f>
        <v>-13.799999999999972</v>
      </c>
      <c r="I52">
        <f>H52/VLOOKUP(B52,Trades!A$1:$N$100794,9,FALSE)</f>
        <v>-0.45999999999999908</v>
      </c>
    </row>
    <row r="53" spans="1:9" x14ac:dyDescent="0.25">
      <c r="A53">
        <f t="shared" si="0"/>
        <v>52</v>
      </c>
      <c r="B53" t="s">
        <v>189</v>
      </c>
      <c r="C53" s="1">
        <v>46129</v>
      </c>
      <c r="D53" t="str">
        <f>VLOOKUP(B53,Trades!A$1:N100845,3,FALSE)</f>
        <v>AMZN</v>
      </c>
      <c r="E53" t="s">
        <v>61</v>
      </c>
      <c r="F53">
        <v>251.83</v>
      </c>
      <c r="G53">
        <v>4</v>
      </c>
      <c r="H53">
        <f>IF(VLOOKUP(B53,Trades!A:N,4,FALSE)="Long",(F53-VLOOKUP(B53,Trades!A:N,6,FALSE))*G53,(VLOOKUP(B53,Trades!A:N,6,FALSE)-F53)*G53)</f>
        <v>-8.6399999999999864</v>
      </c>
      <c r="I53">
        <f>H53/VLOOKUP(B53,Trades!A$1:$N$100794,9,FALSE)</f>
        <v>-2.1599999999999966</v>
      </c>
    </row>
    <row r="54" spans="1:9" x14ac:dyDescent="0.25">
      <c r="A54">
        <f t="shared" si="0"/>
        <v>53</v>
      </c>
      <c r="B54" t="s">
        <v>190</v>
      </c>
      <c r="C54" s="1">
        <v>46132</v>
      </c>
      <c r="D54" t="str">
        <f>VLOOKUP(B54,Trades!A$1:N100846,3,FALSE)</f>
        <v>CLX</v>
      </c>
      <c r="E54" t="s">
        <v>61</v>
      </c>
      <c r="F54">
        <v>102.95</v>
      </c>
      <c r="G54">
        <v>6</v>
      </c>
      <c r="H54">
        <f>IF(VLOOKUP(B54,Trades!A:N,4,FALSE)="Long",(F54-VLOOKUP(B54,Trades!A:N,6,FALSE))*G54,(VLOOKUP(B54,Trades!A:N,6,FALSE)-F54)*G54)</f>
        <v>-13.380000000000024</v>
      </c>
      <c r="I54">
        <f>H54/VLOOKUP(B54,Trades!A$1:$N$100794,9,FALSE)</f>
        <v>-2.230000000000004</v>
      </c>
    </row>
    <row r="55" spans="1:9" x14ac:dyDescent="0.25">
      <c r="A55">
        <f t="shared" si="0"/>
        <v>54</v>
      </c>
      <c r="B55" t="s">
        <v>191</v>
      </c>
      <c r="C55" s="1">
        <v>46132</v>
      </c>
      <c r="D55" t="str">
        <f>VLOOKUP(B55,Trades!A$1:N100847,3,FALSE)</f>
        <v>APPS</v>
      </c>
      <c r="E55" t="s">
        <v>61</v>
      </c>
      <c r="F55">
        <v>3.67</v>
      </c>
      <c r="G55">
        <v>30</v>
      </c>
      <c r="H55">
        <f>IF(VLOOKUP(B55,Trades!A:N,4,FALSE)="Long",(F55-VLOOKUP(B55,Trades!A:N,6,FALSE))*G55,(VLOOKUP(B55,Trades!A:N,6,FALSE)-F55)*G55)</f>
        <v>22.799999999999994</v>
      </c>
      <c r="I55">
        <f>H55/VLOOKUP(B55,Trades!A$1:$N$100794,9,FALSE)</f>
        <v>0.75999999999999979</v>
      </c>
    </row>
    <row r="56" spans="1:9" x14ac:dyDescent="0.25">
      <c r="A56">
        <f t="shared" si="0"/>
        <v>55</v>
      </c>
      <c r="B56" t="s">
        <v>192</v>
      </c>
      <c r="C56" s="1">
        <v>46132</v>
      </c>
      <c r="D56" t="str">
        <f>VLOOKUP(B56,Trades!A$1:N100848,3,FALSE)</f>
        <v>APLD</v>
      </c>
      <c r="E56" t="s">
        <v>61</v>
      </c>
      <c r="F56">
        <v>30.93</v>
      </c>
      <c r="G56">
        <v>6</v>
      </c>
      <c r="H56">
        <f>IF(VLOOKUP(B56,Trades!A:N,4,FALSE)="Long",(F56-VLOOKUP(B56,Trades!A:N,6,FALSE))*G56,(VLOOKUP(B56,Trades!A:N,6,FALSE)-F56)*G56)</f>
        <v>22.5</v>
      </c>
      <c r="I56">
        <f>H56/VLOOKUP(B56,Trades!A$1:$N$100794,9,FALSE)</f>
        <v>3.75</v>
      </c>
    </row>
    <row r="57" spans="1:9" x14ac:dyDescent="0.25">
      <c r="A57">
        <f t="shared" si="0"/>
        <v>56</v>
      </c>
      <c r="B57" t="s">
        <v>194</v>
      </c>
      <c r="C57" s="1">
        <v>46132</v>
      </c>
      <c r="D57" t="str">
        <f>VLOOKUP(B57,Trades!A$1:N100849,3,FALSE)</f>
        <v>CELH</v>
      </c>
      <c r="E57" t="s">
        <v>61</v>
      </c>
      <c r="F57">
        <v>33.299999999999997</v>
      </c>
      <c r="G57">
        <v>3</v>
      </c>
      <c r="H57">
        <f>IF(VLOOKUP(B57,Trades!A:N,4,FALSE)="Long",(F57-VLOOKUP(B57,Trades!A:N,6,FALSE))*G57,(VLOOKUP(B57,Trades!A:N,6,FALSE)-F57)*G57)</f>
        <v>-5.6400000000000077</v>
      </c>
      <c r="I57">
        <f>H57/VLOOKUP(B57,Trades!A$1:$N$100794,9,FALSE)</f>
        <v>-1.8800000000000026</v>
      </c>
    </row>
    <row r="58" spans="1:9" x14ac:dyDescent="0.25">
      <c r="A58">
        <f t="shared" si="0"/>
        <v>57</v>
      </c>
      <c r="B58" t="s">
        <v>195</v>
      </c>
      <c r="C58" s="1">
        <v>46132</v>
      </c>
      <c r="D58" t="str">
        <f>VLOOKUP(B58,Trades!A$1:N100850,3,FALSE)</f>
        <v>MRVL</v>
      </c>
      <c r="E58" t="s">
        <v>61</v>
      </c>
      <c r="F58">
        <v>144.76</v>
      </c>
      <c r="G58">
        <v>6</v>
      </c>
      <c r="H58">
        <f>IF(VLOOKUP(B58,Trades!A:N,4,FALSE)="Long",(F58-VLOOKUP(B58,Trades!A:N,6,FALSE))*G58,(VLOOKUP(B58,Trades!A:N,6,FALSE)-F58)*G58)</f>
        <v>-6.6600000000000819</v>
      </c>
      <c r="I58">
        <f>H58/VLOOKUP(B58,Trades!A$1:$N$100794,9,FALSE)</f>
        <v>-1.1100000000000136</v>
      </c>
    </row>
    <row r="59" spans="1:9" x14ac:dyDescent="0.25">
      <c r="A59">
        <f t="shared" si="0"/>
        <v>58</v>
      </c>
      <c r="B59" t="s">
        <v>184</v>
      </c>
      <c r="C59" s="1">
        <v>46132</v>
      </c>
      <c r="D59" t="str">
        <f>VLOOKUP(B59,Trades!A$1:N100851,3,FALSE)</f>
        <v>UEC</v>
      </c>
      <c r="E59" t="s">
        <v>61</v>
      </c>
      <c r="F59">
        <v>14.91</v>
      </c>
      <c r="G59">
        <v>7</v>
      </c>
      <c r="H59">
        <f>IF(VLOOKUP(B59,Trades!A:N,4,FALSE)="Long",(F59-VLOOKUP(B59,Trades!A:N,6,FALSE))*G59,(VLOOKUP(B59,Trades!A:N,6,FALSE)-F59)*G59)</f>
        <v>12.879999999999999</v>
      </c>
      <c r="I59">
        <f>H59/VLOOKUP(B59,Trades!A$1:$N$100794,9,FALSE)</f>
        <v>0.91999999999999993</v>
      </c>
    </row>
    <row r="60" spans="1:9" x14ac:dyDescent="0.25">
      <c r="A60">
        <f t="shared" si="0"/>
        <v>59</v>
      </c>
      <c r="B60" t="s">
        <v>196</v>
      </c>
      <c r="C60" s="1">
        <v>46132</v>
      </c>
      <c r="D60" t="str">
        <f>VLOOKUP(B60,Trades!A$1:N100852,3,FALSE)</f>
        <v>MRVL</v>
      </c>
      <c r="E60" t="s">
        <v>61</v>
      </c>
      <c r="F60">
        <v>144.35</v>
      </c>
      <c r="G60">
        <v>6</v>
      </c>
      <c r="H60">
        <f>IF(VLOOKUP(B60,Trades!A:N,4,FALSE)="Long",(F60-VLOOKUP(B60,Trades!A:N,6,FALSE))*G60,(VLOOKUP(B60,Trades!A:N,6,FALSE)-F60)*G60)</f>
        <v>-7.2000000000001023</v>
      </c>
      <c r="I60">
        <f>H60/VLOOKUP(B60,Trades!A$1:$N$100794,9,FALSE)</f>
        <v>-1.2000000000000171</v>
      </c>
    </row>
    <row r="61" spans="1:9" x14ac:dyDescent="0.25">
      <c r="A61">
        <f t="shared" si="0"/>
        <v>60</v>
      </c>
      <c r="B61" t="s">
        <v>199</v>
      </c>
      <c r="C61" s="1">
        <v>46132</v>
      </c>
      <c r="D61" t="str">
        <f>VLOOKUP(B61,Trades!A$1:N100853,3,FALSE)</f>
        <v>MDT</v>
      </c>
      <c r="E61" t="s">
        <v>61</v>
      </c>
      <c r="F61">
        <v>85.18</v>
      </c>
      <c r="G61">
        <v>6</v>
      </c>
      <c r="H61">
        <f>IF(VLOOKUP(B61,Trades!A:N,4,FALSE)="Long",(F61-VLOOKUP(B61,Trades!A:N,6,FALSE))*G61,(VLOOKUP(B61,Trades!A:N,6,FALSE)-F61)*G61)</f>
        <v>-8.9399999999999693</v>
      </c>
      <c r="I61">
        <f>H61/VLOOKUP(B61,Trades!A$1:$N$100794,9,FALSE)</f>
        <v>-1.4899999999999949</v>
      </c>
    </row>
    <row r="62" spans="1:9" x14ac:dyDescent="0.25">
      <c r="A62">
        <f t="shared" si="0"/>
        <v>61</v>
      </c>
      <c r="B62" t="s">
        <v>203</v>
      </c>
      <c r="C62" s="1">
        <v>46133</v>
      </c>
      <c r="D62" t="str">
        <f>VLOOKUP(B62,Trades!A$1:N100854,3,FALSE)</f>
        <v>KO</v>
      </c>
      <c r="E62" t="s">
        <v>61</v>
      </c>
      <c r="F62">
        <v>74.989999999999995</v>
      </c>
      <c r="G62">
        <v>10</v>
      </c>
      <c r="H62">
        <f>IF(VLOOKUP(B62,Trades!A:N,4,FALSE)="Long",(F62-VLOOKUP(B62,Trades!A:N,6,FALSE))*G62,(VLOOKUP(B62,Trades!A:N,6,FALSE)-F62)*G62)</f>
        <v>-6.9000000000001194</v>
      </c>
      <c r="I62">
        <f>H62/VLOOKUP(B62,Trades!A$1:$N$100794,9,FALSE)</f>
        <v>-0.69000000000001194</v>
      </c>
    </row>
    <row r="63" spans="1:9" x14ac:dyDescent="0.25">
      <c r="A63">
        <f t="shared" si="0"/>
        <v>62</v>
      </c>
      <c r="B63" t="s">
        <v>204</v>
      </c>
      <c r="C63" s="1">
        <v>46133</v>
      </c>
      <c r="D63" t="str">
        <f>VLOOKUP(B63,Trades!A$1:N100855,3,FALSE)</f>
        <v>SOUN</v>
      </c>
      <c r="E63" t="s">
        <v>61</v>
      </c>
      <c r="F63">
        <v>8.07</v>
      </c>
      <c r="G63">
        <v>10</v>
      </c>
      <c r="H63">
        <f>IF(VLOOKUP(B63,Trades!A:N,4,FALSE)="Long",(F63-VLOOKUP(B63,Trades!A:N,6,FALSE))*G63,(VLOOKUP(B63,Trades!A:N,6,FALSE)-F63)*G63)</f>
        <v>-7.0999999999999908</v>
      </c>
      <c r="I63">
        <f>H63/VLOOKUP(B63,Trades!A$1:$N$100794,9,FALSE)</f>
        <v>-0.70999999999999908</v>
      </c>
    </row>
    <row r="64" spans="1:9" x14ac:dyDescent="0.25">
      <c r="A64">
        <f t="shared" si="0"/>
        <v>63</v>
      </c>
      <c r="B64" t="s">
        <v>205</v>
      </c>
      <c r="C64" s="1">
        <v>46133</v>
      </c>
      <c r="D64" t="str">
        <f>VLOOKUP(B64,Trades!A$1:N100856,3,FALSE)</f>
        <v>ATEC</v>
      </c>
      <c r="E64" t="s">
        <v>61</v>
      </c>
      <c r="F64">
        <v>10.81</v>
      </c>
      <c r="G64">
        <v>10</v>
      </c>
      <c r="H64">
        <f>IF(VLOOKUP(B64,Trades!A:N,4,FALSE)="Long",(F64-VLOOKUP(B64,Trades!A:N,6,FALSE))*G64,(VLOOKUP(B64,Trades!A:N,6,FALSE)-F64)*G64)</f>
        <v>-7.5999999999999979</v>
      </c>
      <c r="I64">
        <f>H64/VLOOKUP(B64,Trades!A$1:$N$100794,9,FALSE)</f>
        <v>-0.75999999999999979</v>
      </c>
    </row>
    <row r="65" spans="1:9" x14ac:dyDescent="0.25">
      <c r="A65">
        <f t="shared" si="0"/>
        <v>64</v>
      </c>
      <c r="B65" t="s">
        <v>208</v>
      </c>
      <c r="C65" s="1">
        <v>46134</v>
      </c>
      <c r="D65" t="str">
        <f>VLOOKUP(B65,Trades!A$1:N100857,3,FALSE)</f>
        <v>AMD</v>
      </c>
      <c r="E65" t="s">
        <v>61</v>
      </c>
      <c r="F65">
        <v>296.07</v>
      </c>
      <c r="G65">
        <v>2</v>
      </c>
      <c r="H65">
        <f>IF(VLOOKUP(B65,Trades!A:N,4,FALSE)="Long",(F65-VLOOKUP(B65,Trades!A:N,6,FALSE))*G65,(VLOOKUP(B65,Trades!A:N,6,FALSE)-F65)*G65)</f>
        <v>15.159999999999968</v>
      </c>
      <c r="I65">
        <f>H65/VLOOKUP(B65,Trades!A$1:$N$100794,9,FALSE)</f>
        <v>7.5799999999999841</v>
      </c>
    </row>
    <row r="66" spans="1:9" x14ac:dyDescent="0.25">
      <c r="A66">
        <f t="shared" si="0"/>
        <v>65</v>
      </c>
      <c r="B66" t="s">
        <v>209</v>
      </c>
      <c r="C66" s="1">
        <v>46134</v>
      </c>
      <c r="D66" t="str">
        <f>VLOOKUP(B66,Trades!A$1:N100858,3,FALSE)</f>
        <v>PLTR</v>
      </c>
      <c r="E66" t="s">
        <v>61</v>
      </c>
      <c r="F66">
        <v>151.35</v>
      </c>
      <c r="G66">
        <v>1</v>
      </c>
      <c r="H66">
        <f>IF(VLOOKUP(B66,Trades!A:N,4,FALSE)="Long",(F66-VLOOKUP(B66,Trades!A:N,6,FALSE))*G66,(VLOOKUP(B66,Trades!A:N,6,FALSE)-F66)*G66)</f>
        <v>18.849999999999994</v>
      </c>
      <c r="I66">
        <f>H66/VLOOKUP(B66,Trades!A$1:$N$100794,9,FALSE)</f>
        <v>9.4249999999999972</v>
      </c>
    </row>
    <row r="67" spans="1:9" x14ac:dyDescent="0.25">
      <c r="A67">
        <f t="shared" si="0"/>
        <v>66</v>
      </c>
      <c r="B67" t="s">
        <v>212</v>
      </c>
      <c r="C67" s="1">
        <v>46135</v>
      </c>
      <c r="D67" t="str">
        <f>VLOOKUP(B67,Trades!A$1:N100859,3,FALSE)</f>
        <v>SMCI</v>
      </c>
      <c r="E67" t="s">
        <v>61</v>
      </c>
      <c r="F67">
        <v>26.5</v>
      </c>
      <c r="G67">
        <v>10</v>
      </c>
      <c r="H67">
        <f>IF(VLOOKUP(B67,Trades!A:N,4,FALSE)="Long",(F67-VLOOKUP(B67,Trades!A:N,6,FALSE))*G67,(VLOOKUP(B67,Trades!A:N,6,FALSE)-F67)*G67)</f>
        <v>-26.499999999999986</v>
      </c>
      <c r="I67">
        <f>H67/VLOOKUP(B67,Trades!A$1:$N$100794,9,FALSE)</f>
        <v>-2.6499999999999986</v>
      </c>
    </row>
    <row r="68" spans="1:9" x14ac:dyDescent="0.25">
      <c r="A68">
        <f t="shared" si="0"/>
        <v>67</v>
      </c>
      <c r="B68" t="s">
        <v>214</v>
      </c>
      <c r="C68" s="1">
        <v>46135</v>
      </c>
      <c r="D68" t="str">
        <f>VLOOKUP(B68,Trades!A$1:N100860,3,FALSE)</f>
        <v>PATH</v>
      </c>
      <c r="E68" t="s">
        <v>61</v>
      </c>
      <c r="F68">
        <v>10.15</v>
      </c>
      <c r="G68">
        <v>10</v>
      </c>
      <c r="H68">
        <f>IF(VLOOKUP(B68,Trades!A:N,4,FALSE)="Long",(F68-VLOOKUP(B68,Trades!A:N,6,FALSE))*G68,(VLOOKUP(B68,Trades!A:N,6,FALSE)-F68)*G68)</f>
        <v>-4.2999999999999972</v>
      </c>
      <c r="I68">
        <f>H68/VLOOKUP(B68,Trades!A$1:$N$100794,9,FALSE)</f>
        <v>-0.42999999999999972</v>
      </c>
    </row>
    <row r="69" spans="1:9" x14ac:dyDescent="0.25">
      <c r="A69">
        <f t="shared" si="0"/>
        <v>68</v>
      </c>
      <c r="B69" t="s">
        <v>215</v>
      </c>
      <c r="C69" s="1">
        <v>46135</v>
      </c>
      <c r="D69" t="str">
        <f>VLOOKUP(B69,Trades!A$1:N100861,3,FALSE)</f>
        <v>ONDS</v>
      </c>
      <c r="E69" t="s">
        <v>61</v>
      </c>
      <c r="F69">
        <v>10.45</v>
      </c>
      <c r="G69">
        <v>10</v>
      </c>
      <c r="H69">
        <f>IF(VLOOKUP(B69,Trades!A:N,4,FALSE)="Long",(F69-VLOOKUP(B69,Trades!A:N,6,FALSE))*G69,(VLOOKUP(B69,Trades!A:N,6,FALSE)-F69)*G69)</f>
        <v>8.0999999999999872</v>
      </c>
      <c r="I69">
        <f>H69/VLOOKUP(B69,Trades!A$1:$N$100794,9,FALSE)</f>
        <v>0.80999999999999872</v>
      </c>
    </row>
    <row r="70" spans="1:9" x14ac:dyDescent="0.25">
      <c r="A70">
        <f t="shared" si="0"/>
        <v>69</v>
      </c>
      <c r="B70" t="s">
        <v>216</v>
      </c>
      <c r="C70" s="1">
        <v>46135</v>
      </c>
      <c r="D70" t="str">
        <f>VLOOKUP(B70,Trades!A$1:N100862,3,FALSE)</f>
        <v>RCAT</v>
      </c>
      <c r="E70" t="s">
        <v>61</v>
      </c>
      <c r="F70">
        <v>12.782</v>
      </c>
      <c r="G70">
        <v>10</v>
      </c>
      <c r="H70">
        <f>IF(VLOOKUP(B70,Trades!A:N,4,FALSE)="Long",(F70-VLOOKUP(B70,Trades!A:N,6,FALSE))*G70,(VLOOKUP(B70,Trades!A:N,6,FALSE)-F70)*G70)</f>
        <v>-6.8800000000000061</v>
      </c>
      <c r="I70">
        <f>H70/VLOOKUP(B70,Trades!A$1:$N$100794,9,FALSE)</f>
        <v>-0.68800000000000061</v>
      </c>
    </row>
    <row r="71" spans="1:9" x14ac:dyDescent="0.25">
      <c r="A71">
        <f t="shared" si="0"/>
        <v>70</v>
      </c>
      <c r="B71" t="s">
        <v>209</v>
      </c>
      <c r="C71" s="1">
        <v>46135</v>
      </c>
      <c r="D71" t="str">
        <f>VLOOKUP(B71,Trades!A$1:N100863,3,FALSE)</f>
        <v>PLTR</v>
      </c>
      <c r="E71" t="s">
        <v>61</v>
      </c>
      <c r="F71">
        <v>142.31</v>
      </c>
      <c r="G71">
        <v>2</v>
      </c>
      <c r="H71">
        <f>IF(VLOOKUP(B71,Trades!A:N,4,FALSE)="Long",(F71-VLOOKUP(B71,Trades!A:N,6,FALSE))*G71,(VLOOKUP(B71,Trades!A:N,6,FALSE)-F71)*G71)</f>
        <v>19.620000000000005</v>
      </c>
      <c r="I71">
        <f>H71/VLOOKUP(B71,Trades!A$1:$N$100794,9,FALSE)</f>
        <v>9.8100000000000023</v>
      </c>
    </row>
    <row r="72" spans="1:9" x14ac:dyDescent="0.25">
      <c r="A72">
        <f t="shared" si="0"/>
        <v>71</v>
      </c>
      <c r="B72" t="s">
        <v>217</v>
      </c>
      <c r="C72" s="1">
        <v>46135</v>
      </c>
      <c r="D72" t="str">
        <f>VLOOKUP(B72,Trades!A$1:N100864,3,FALSE)</f>
        <v>QS</v>
      </c>
      <c r="E72" t="s">
        <v>61</v>
      </c>
      <c r="F72">
        <v>7.77</v>
      </c>
      <c r="G72">
        <v>3</v>
      </c>
      <c r="H72">
        <f>IF(VLOOKUP(B72,Trades!A:N,4,FALSE)="Long",(F72-VLOOKUP(B72,Trades!A:N,6,FALSE))*G72,(VLOOKUP(B72,Trades!A:N,6,FALSE)-F72)*G72)</f>
        <v>-3</v>
      </c>
      <c r="I72">
        <f>H72/VLOOKUP(B72,Trades!A$1:$N$100794,9,FALSE)</f>
        <v>-0.75</v>
      </c>
    </row>
    <row r="73" spans="1:9" x14ac:dyDescent="0.25">
      <c r="A73">
        <f t="shared" ref="A73:A78" si="1">ROW()-1</f>
        <v>72</v>
      </c>
      <c r="B73" t="s">
        <v>218</v>
      </c>
      <c r="C73" s="1">
        <v>46135</v>
      </c>
      <c r="D73" t="str">
        <f>VLOOKUP(B73,Trades!A$1:N100865,3,FALSE)</f>
        <v>AMD</v>
      </c>
      <c r="E73" t="s">
        <v>61</v>
      </c>
      <c r="F73">
        <v>303.02</v>
      </c>
      <c r="G73">
        <v>3</v>
      </c>
      <c r="H73">
        <f>IF(VLOOKUP(B73,Trades!A:N,4,FALSE)="Long",(F73-VLOOKUP(B73,Trades!A:N,6,FALSE))*G73,(VLOOKUP(B73,Trades!A:N,6,FALSE)-F73)*G73)</f>
        <v>-9.7799999999999727</v>
      </c>
      <c r="I73">
        <f>H73/VLOOKUP(B73,Trades!A$1:$N$100794,9,FALSE)</f>
        <v>-3.2599999999999909</v>
      </c>
    </row>
    <row r="74" spans="1:9" x14ac:dyDescent="0.25">
      <c r="A74">
        <f t="shared" si="1"/>
        <v>73</v>
      </c>
      <c r="B74" t="s">
        <v>219</v>
      </c>
      <c r="C74" s="1">
        <v>46136</v>
      </c>
      <c r="D74" t="str">
        <f>VLOOKUP(B74,Trades!A$1:N100866,3,FALSE)</f>
        <v>APPS</v>
      </c>
      <c r="E74" t="s">
        <v>61</v>
      </c>
      <c r="F74">
        <v>3.39</v>
      </c>
      <c r="G74">
        <v>20</v>
      </c>
      <c r="H74">
        <f>IF(VLOOKUP(B74,Trades!A:N,4,FALSE)="Long",(F74-VLOOKUP(B74,Trades!A:N,6,FALSE))*G74,(VLOOKUP(B74,Trades!A:N,6,FALSE)-F74)*G74)</f>
        <v>-8.3999999999999986</v>
      </c>
      <c r="I74">
        <f>H74/VLOOKUP(B74,Trades!A$1:$N$100794,9,FALSE)</f>
        <v>-0.41999999999999993</v>
      </c>
    </row>
    <row r="75" spans="1:9" x14ac:dyDescent="0.25">
      <c r="A75">
        <f t="shared" si="1"/>
        <v>74</v>
      </c>
      <c r="B75" t="s">
        <v>220</v>
      </c>
      <c r="C75" s="1">
        <v>46136</v>
      </c>
      <c r="D75" t="str">
        <f>VLOOKUP(B75,Trades!A$1:N100867,3,FALSE)</f>
        <v>ARM</v>
      </c>
      <c r="E75" t="s">
        <v>61</v>
      </c>
      <c r="F75">
        <v>230.45</v>
      </c>
      <c r="G75">
        <v>4</v>
      </c>
      <c r="H75">
        <f>IF(VLOOKUP(B75,Trades!A:N,4,FALSE)="Long",(F75-VLOOKUP(B75,Trades!A:N,6,FALSE))*G75,(VLOOKUP(B75,Trades!A:N,6,FALSE)-F75)*G75)</f>
        <v>10.759999999999991</v>
      </c>
      <c r="I75">
        <f>H75/VLOOKUP(B75,Trades!A$1:$N$100794,9,FALSE)</f>
        <v>2.6899999999999977</v>
      </c>
    </row>
    <row r="76" spans="1:9" x14ac:dyDescent="0.25">
      <c r="A76">
        <f t="shared" si="1"/>
        <v>75</v>
      </c>
      <c r="B76" t="s">
        <v>221</v>
      </c>
      <c r="C76" s="1">
        <v>46136</v>
      </c>
      <c r="D76" t="str">
        <f>VLOOKUP(B76,Trades!A$1:N100868,3,FALSE)</f>
        <v>MNST</v>
      </c>
      <c r="E76" t="s">
        <v>61</v>
      </c>
      <c r="F76">
        <v>77.66</v>
      </c>
      <c r="G76">
        <v>2</v>
      </c>
      <c r="H76">
        <f>IF(VLOOKUP(B76,Trades!A:N,4,FALSE)="Long",(F76-VLOOKUP(B76,Trades!A:N,6,FALSE))*G76,(VLOOKUP(B76,Trades!A:N,6,FALSE)-F76)*G76)</f>
        <v>10.95999999999998</v>
      </c>
      <c r="I76">
        <f>H76/VLOOKUP(B76,Trades!A$1:$N$100794,9,FALSE)</f>
        <v>1.8266666666666633</v>
      </c>
    </row>
    <row r="77" spans="1:9" x14ac:dyDescent="0.25">
      <c r="A77">
        <f t="shared" si="1"/>
        <v>76</v>
      </c>
      <c r="B77" t="s">
        <v>222</v>
      </c>
      <c r="C77" s="1">
        <v>46136</v>
      </c>
      <c r="D77" t="str">
        <f>VLOOKUP(B77,Trades!A$1:N100869,3,FALSE)</f>
        <v>INTC</v>
      </c>
      <c r="E77" t="s">
        <v>61</v>
      </c>
      <c r="F77">
        <v>82.48</v>
      </c>
      <c r="G77">
        <v>1</v>
      </c>
      <c r="H77">
        <f>IF(VLOOKUP(B77,Trades!A:N,4,FALSE)="Long",(F77-VLOOKUP(B77,Trades!A:N,6,FALSE))*G77,(VLOOKUP(B77,Trades!A:N,6,FALSE)-F77)*G77)</f>
        <v>15.469999999999999</v>
      </c>
      <c r="I77">
        <f>H77/VLOOKUP(B77,Trades!A$1:$N$100794,9,FALSE)</f>
        <v>5.1566666666666663</v>
      </c>
    </row>
    <row r="78" spans="1:9" x14ac:dyDescent="0.25">
      <c r="A78">
        <f t="shared" si="1"/>
        <v>77</v>
      </c>
      <c r="B78" t="s">
        <v>224</v>
      </c>
      <c r="C78" s="1">
        <v>46136</v>
      </c>
      <c r="D78" t="str">
        <f>VLOOKUP(B78,Trades!A$1:N100870,3,FALSE)</f>
        <v>BDX</v>
      </c>
      <c r="E78" t="s">
        <v>61</v>
      </c>
      <c r="F78">
        <v>152.47</v>
      </c>
      <c r="G78">
        <v>2</v>
      </c>
      <c r="H78">
        <f>IF(VLOOKUP(B78,Trades!A:N,4,FALSE)="Long",(F78-VLOOKUP(B78,Trades!A:N,6,FALSE))*G78,(VLOOKUP(B78,Trades!A:N,6,FALSE)-F78)*G78)</f>
        <v>-4</v>
      </c>
      <c r="I78">
        <f>H78/VLOOKUP(B78,Trades!A$1:$N$100794,9,FALSE)</f>
        <v>-2</v>
      </c>
    </row>
    <row r="79" spans="1:9" x14ac:dyDescent="0.25">
      <c r="A79">
        <f t="shared" ref="A79:A85" si="2">ROW()-1</f>
        <v>78</v>
      </c>
      <c r="B79" t="s">
        <v>226</v>
      </c>
      <c r="C79" s="1">
        <v>46139</v>
      </c>
      <c r="D79" t="str">
        <f>VLOOKUP(B79,Trades!A$1:N100871,3,FALSE)</f>
        <v>QCOM</v>
      </c>
      <c r="E79" t="s">
        <v>61</v>
      </c>
      <c r="F79">
        <v>151.94</v>
      </c>
      <c r="G79">
        <v>4</v>
      </c>
      <c r="H79">
        <f>IF(VLOOKUP(B79,Trades!A:N,4,FALSE)="Long",(F79-VLOOKUP(B79,Trades!A:N,6,FALSE))*G79,(VLOOKUP(B79,Trades!A:N,6,FALSE)-F79)*G79)</f>
        <v>-16</v>
      </c>
      <c r="I79">
        <f>H79/VLOOKUP(B79,Trades!A$1:$N$100794,9,FALSE)</f>
        <v>-4</v>
      </c>
    </row>
    <row r="80" spans="1:9" x14ac:dyDescent="0.25">
      <c r="A80">
        <f t="shared" si="2"/>
        <v>79</v>
      </c>
      <c r="B80" t="s">
        <v>227</v>
      </c>
      <c r="C80" s="1">
        <v>46139</v>
      </c>
      <c r="D80" t="str">
        <f>VLOOKUP(B80,Trades!A$1:N100872,3,FALSE)</f>
        <v>QCOM</v>
      </c>
      <c r="E80" t="s">
        <v>61</v>
      </c>
      <c r="F80">
        <v>151.32</v>
      </c>
      <c r="G80">
        <v>4</v>
      </c>
      <c r="H80">
        <f>IF(VLOOKUP(B80,Trades!A:N,4,FALSE)="Long",(F80-VLOOKUP(B80,Trades!A:N,6,FALSE))*G80,(VLOOKUP(B80,Trades!A:N,6,FALSE)-F80)*G80)</f>
        <v>-3.4800000000000182</v>
      </c>
      <c r="I80">
        <f>H80/VLOOKUP(B80,Trades!A$1:$N$100794,9,FALSE)</f>
        <v>-0.87000000000000455</v>
      </c>
    </row>
    <row r="81" spans="1:9" x14ac:dyDescent="0.25">
      <c r="A81">
        <f t="shared" si="2"/>
        <v>80</v>
      </c>
      <c r="B81" t="s">
        <v>228</v>
      </c>
      <c r="C81" s="1">
        <v>46139</v>
      </c>
      <c r="D81" t="str">
        <f>VLOOKUP(B81,Trades!A$1:N100873,3,FALSE)</f>
        <v>NVDA</v>
      </c>
      <c r="E81" t="s">
        <v>61</v>
      </c>
      <c r="F81">
        <v>208.22</v>
      </c>
      <c r="G81">
        <v>3</v>
      </c>
      <c r="H81">
        <f>IF(VLOOKUP(B81,Trades!A:N,4,FALSE)="Long",(F81-VLOOKUP(B81,Trades!A:N,6,FALSE))*G81,(VLOOKUP(B81,Trades!A:N,6,FALSE)-F81)*G81)</f>
        <v>-3.6899999999999693</v>
      </c>
      <c r="I81">
        <f>H81/VLOOKUP(B81,Trades!A$1:$N$100794,9,FALSE)</f>
        <v>-1.2299999999999898</v>
      </c>
    </row>
    <row r="82" spans="1:9" x14ac:dyDescent="0.25">
      <c r="A82">
        <f t="shared" si="2"/>
        <v>81</v>
      </c>
      <c r="B82" t="s">
        <v>229</v>
      </c>
      <c r="C82" s="1">
        <v>46139</v>
      </c>
      <c r="D82" t="str">
        <f>VLOOKUP(B82,Trades!A$1:N100874,3,FALSE)</f>
        <v>QCOM</v>
      </c>
      <c r="E82" t="s">
        <v>61</v>
      </c>
      <c r="F82">
        <v>147.75</v>
      </c>
      <c r="G82">
        <v>4</v>
      </c>
      <c r="H82">
        <f>IF(VLOOKUP(B82,Trades!A:N,4,FALSE)="Long",(F82-VLOOKUP(B82,Trades!A:N,6,FALSE))*G82,(VLOOKUP(B82,Trades!A:N,6,FALSE)-F82)*G82)</f>
        <v>-3.9199999999999591</v>
      </c>
      <c r="I82">
        <f>H82/VLOOKUP(B82,Trades!A$1:$N$100794,9,FALSE)</f>
        <v>-0.97999999999998977</v>
      </c>
    </row>
    <row r="83" spans="1:9" x14ac:dyDescent="0.25">
      <c r="A83">
        <f t="shared" si="2"/>
        <v>82</v>
      </c>
      <c r="B83" t="s">
        <v>230</v>
      </c>
      <c r="C83" s="1">
        <v>46139</v>
      </c>
      <c r="D83" t="str">
        <f>VLOOKUP(B83,Trades!A$1:N100875,3,FALSE)</f>
        <v>SMCI</v>
      </c>
      <c r="E83" t="s">
        <v>61</v>
      </c>
      <c r="F83">
        <v>27.63</v>
      </c>
      <c r="G83">
        <v>4</v>
      </c>
      <c r="H83">
        <f>IF(VLOOKUP(B83,Trades!A:N,4,FALSE)="Long",(F83-VLOOKUP(B83,Trades!A:N,6,FALSE))*G83,(VLOOKUP(B83,Trades!A:N,6,FALSE)-F83)*G83)</f>
        <v>-4.960000000000008</v>
      </c>
      <c r="I83">
        <f>H83/VLOOKUP(B83,Trades!A$1:$N$100794,9,FALSE)</f>
        <v>-1.240000000000002</v>
      </c>
    </row>
    <row r="84" spans="1:9" x14ac:dyDescent="0.25">
      <c r="A84">
        <f t="shared" si="2"/>
        <v>83</v>
      </c>
      <c r="B84" t="s">
        <v>231</v>
      </c>
      <c r="C84" s="1">
        <v>46139</v>
      </c>
      <c r="D84" t="str">
        <f>VLOOKUP(B84,Trades!A$1:N100876,3,FALSE)</f>
        <v>PZG</v>
      </c>
      <c r="E84" t="s">
        <v>61</v>
      </c>
      <c r="F84">
        <v>1.58</v>
      </c>
      <c r="G84">
        <v>100</v>
      </c>
      <c r="H84">
        <f>IF(VLOOKUP(B84,Trades!A:N,4,FALSE)="Long",(F84-VLOOKUP(B84,Trades!A:N,6,FALSE))*G84,(VLOOKUP(B84,Trades!A:N,6,FALSE)-F84)*G84)</f>
        <v>-10.999999999999988</v>
      </c>
      <c r="I84">
        <f>H84/VLOOKUP(B84,Trades!A$1:$N$100794,9,FALSE)</f>
        <v>-0.10999999999999988</v>
      </c>
    </row>
    <row r="85" spans="1:9" x14ac:dyDescent="0.25">
      <c r="A85">
        <f t="shared" si="2"/>
        <v>84</v>
      </c>
      <c r="B85" t="s">
        <v>232</v>
      </c>
      <c r="C85" s="1">
        <v>46139</v>
      </c>
      <c r="D85" t="str">
        <f>VLOOKUP(B85,Trades!A$1:N100877,3,FALSE)</f>
        <v>CLX</v>
      </c>
      <c r="E85" t="s">
        <v>61</v>
      </c>
      <c r="F85">
        <v>96.45</v>
      </c>
      <c r="G85">
        <v>4</v>
      </c>
      <c r="H85">
        <f>IF(VLOOKUP(B85,Trades!A:N,4,FALSE)="Long",(F85-VLOOKUP(B85,Trades!A:N,6,FALSE))*G85,(VLOOKUP(B85,Trades!A:N,6,FALSE)-F85)*G85)</f>
        <v>-8.5600000000000023</v>
      </c>
      <c r="I85">
        <f>H85/VLOOKUP(B85,Trades!A$1:$N$100794,9,FALSE)</f>
        <v>-2.1400000000000006</v>
      </c>
    </row>
    <row r="86" spans="1:9" x14ac:dyDescent="0.25">
      <c r="A86">
        <f t="shared" ref="A86:A95" si="3">ROW()-1</f>
        <v>85</v>
      </c>
      <c r="B86" t="s">
        <v>237</v>
      </c>
      <c r="C86" s="1">
        <v>46140</v>
      </c>
      <c r="D86" t="str">
        <f>VLOOKUP(B86,Trades!A$1:N100878,3,FALSE)</f>
        <v>SANM</v>
      </c>
      <c r="E86" t="s">
        <v>61</v>
      </c>
      <c r="F86">
        <v>205.029</v>
      </c>
      <c r="G86">
        <v>4</v>
      </c>
      <c r="H86">
        <f>IF(VLOOKUP(B86,Trades!A:N,4,FALSE)="Long",(F86-VLOOKUP(B86,Trades!A:N,6,FALSE))*G86,(VLOOKUP(B86,Trades!A:N,6,FALSE)-F86)*G86)</f>
        <v>-10.644000000000005</v>
      </c>
      <c r="I86">
        <f>H86/VLOOKUP(B86,Trades!A$1:$N$100794,9,FALSE)</f>
        <v>-2.6610000000000014</v>
      </c>
    </row>
    <row r="87" spans="1:9" x14ac:dyDescent="0.25">
      <c r="A87">
        <f t="shared" si="3"/>
        <v>86</v>
      </c>
      <c r="B87" t="s">
        <v>238</v>
      </c>
      <c r="C87" s="1">
        <v>46140</v>
      </c>
      <c r="D87" t="str">
        <f>VLOOKUP(B87,Trades!A$1:N100879,3,FALSE)</f>
        <v>ATEC</v>
      </c>
      <c r="E87" t="s">
        <v>61</v>
      </c>
      <c r="F87">
        <v>10.02</v>
      </c>
      <c r="G87">
        <v>8</v>
      </c>
      <c r="H87">
        <f>IF(VLOOKUP(B87,Trades!A:N,4,FALSE)="Long",(F87-VLOOKUP(B87,Trades!A:N,6,FALSE))*G87,(VLOOKUP(B87,Trades!A:N,6,FALSE)-F87)*G87)</f>
        <v>-5.7600000000000051</v>
      </c>
      <c r="I87">
        <f>H87/VLOOKUP(B87,Trades!A$1:$N$100794,9,FALSE)</f>
        <v>-0.72000000000000064</v>
      </c>
    </row>
    <row r="88" spans="1:9" x14ac:dyDescent="0.25">
      <c r="A88">
        <f t="shared" si="3"/>
        <v>87</v>
      </c>
      <c r="B88" t="s">
        <v>236</v>
      </c>
      <c r="C88" s="1">
        <v>46140</v>
      </c>
      <c r="D88" t="str">
        <f>VLOOKUP(B88,Trades!A$1:N100880,3,FALSE)</f>
        <v>ASTS</v>
      </c>
      <c r="E88" t="s">
        <v>61</v>
      </c>
      <c r="F88">
        <v>71</v>
      </c>
      <c r="G88">
        <v>2</v>
      </c>
      <c r="H88">
        <f>IF(VLOOKUP(B88,Trades!A:N,4,FALSE)="Long",(F88-VLOOKUP(B88,Trades!A:N,6,FALSE))*G88,(VLOOKUP(B88,Trades!A:N,6,FALSE)-F88)*G88)</f>
        <v>-8</v>
      </c>
      <c r="I88">
        <f>H88/VLOOKUP(B88,Trades!A$1:$N$100794,9,FALSE)</f>
        <v>-4</v>
      </c>
    </row>
    <row r="89" spans="1:9" x14ac:dyDescent="0.25">
      <c r="A89">
        <f t="shared" si="3"/>
        <v>88</v>
      </c>
      <c r="B89" t="s">
        <v>240</v>
      </c>
      <c r="C89" s="1">
        <v>46140</v>
      </c>
      <c r="D89" t="str">
        <f>VLOOKUP(B89,Trades!A$1:N100881,3,FALSE)</f>
        <v>SEI</v>
      </c>
      <c r="E89" t="s">
        <v>61</v>
      </c>
      <c r="F89">
        <v>73.930000000000007</v>
      </c>
      <c r="G89">
        <v>6</v>
      </c>
      <c r="H89">
        <f>IF(VLOOKUP(B89,Trades!A:N,4,FALSE)="Long",(F89-VLOOKUP(B89,Trades!A:N,6,FALSE))*G89,(VLOOKUP(B89,Trades!A:N,6,FALSE)-F89)*G89)</f>
        <v>4.9200000000000443</v>
      </c>
      <c r="I89">
        <f>H89/VLOOKUP(B89,Trades!A$1:$N$100794,9,FALSE)</f>
        <v>0.82000000000000739</v>
      </c>
    </row>
    <row r="90" spans="1:9" x14ac:dyDescent="0.25">
      <c r="A90">
        <f t="shared" si="3"/>
        <v>89</v>
      </c>
      <c r="B90" t="s">
        <v>241</v>
      </c>
      <c r="C90" s="1">
        <v>46141</v>
      </c>
      <c r="D90" t="str">
        <f>VLOOKUP(B90,Trades!A$1:N100882,3,FALSE)</f>
        <v>PLTR</v>
      </c>
      <c r="E90" t="s">
        <v>61</v>
      </c>
      <c r="F90">
        <v>137.38</v>
      </c>
      <c r="G90">
        <v>3</v>
      </c>
      <c r="H90">
        <f>IF(VLOOKUP(B90,Trades!A:N,4,FALSE)="Long",(F90-VLOOKUP(B90,Trades!A:N,6,FALSE))*G90,(VLOOKUP(B90,Trades!A:N,6,FALSE)-F90)*G90)</f>
        <v>-10.049999999999983</v>
      </c>
      <c r="I90">
        <f>H90/VLOOKUP(B90,Trades!A$1:$N$100794,9,FALSE)</f>
        <v>-3.3499999999999943</v>
      </c>
    </row>
    <row r="91" spans="1:9" x14ac:dyDescent="0.25">
      <c r="A91">
        <f t="shared" si="3"/>
        <v>90</v>
      </c>
      <c r="B91" t="s">
        <v>244</v>
      </c>
      <c r="C91" s="1">
        <v>46141</v>
      </c>
      <c r="D91" t="str">
        <f>VLOOKUP(B91,Trades!A$1:N100883,3,FALSE)</f>
        <v>KOPN</v>
      </c>
      <c r="E91" t="s">
        <v>61</v>
      </c>
      <c r="F91">
        <v>3.8</v>
      </c>
      <c r="G91">
        <v>6</v>
      </c>
      <c r="H91">
        <f>IF(VLOOKUP(B91,Trades!A:N,4,FALSE)="Long",(F91-VLOOKUP(B91,Trades!A:N,6,FALSE))*G91,(VLOOKUP(B91,Trades!A:N,6,FALSE)-F91)*G91)</f>
        <v>-2.76</v>
      </c>
      <c r="I91">
        <f>H91/VLOOKUP(B91,Trades!A$1:$N$100794,9,FALSE)</f>
        <v>-0.45999999999999996</v>
      </c>
    </row>
    <row r="92" spans="1:9" x14ac:dyDescent="0.25">
      <c r="A92">
        <f t="shared" si="3"/>
        <v>91</v>
      </c>
      <c r="B92" t="s">
        <v>246</v>
      </c>
      <c r="C92" s="1">
        <v>46141</v>
      </c>
      <c r="D92" t="str">
        <f>VLOOKUP(B92,Trades!A$1:N100884,3,FALSE)</f>
        <v>STX</v>
      </c>
      <c r="E92" t="s">
        <v>61</v>
      </c>
      <c r="F92">
        <v>660.09</v>
      </c>
      <c r="G92">
        <v>1</v>
      </c>
      <c r="H92">
        <f>IF(VLOOKUP(B92,Trades!A:N,4,FALSE)="Long",(F92-VLOOKUP(B92,Trades!A:N,6,FALSE))*G92,(VLOOKUP(B92,Trades!A:N,6,FALSE)-F92)*G92)</f>
        <v>-7.2999999999999545</v>
      </c>
      <c r="I92">
        <f>H92/VLOOKUP(B92,Trades!A$1:$N$100794,9,FALSE)</f>
        <v>-7.2999999999999545</v>
      </c>
    </row>
    <row r="93" spans="1:9" x14ac:dyDescent="0.25">
      <c r="A93">
        <f t="shared" si="3"/>
        <v>92</v>
      </c>
      <c r="B93" t="s">
        <v>247</v>
      </c>
      <c r="C93" s="1">
        <v>46141</v>
      </c>
      <c r="D93" t="str">
        <f>VLOOKUP(B93,Trades!A$1:N100885,3,FALSE)</f>
        <v>STX</v>
      </c>
      <c r="E93" t="s">
        <v>61</v>
      </c>
      <c r="F93">
        <v>658.36</v>
      </c>
      <c r="G93">
        <v>2</v>
      </c>
      <c r="H93">
        <f>IF(VLOOKUP(B93,Trades!A:N,4,FALSE)="Long",(F93-VLOOKUP(B93,Trades!A:N,6,FALSE))*G93,(VLOOKUP(B93,Trades!A:N,6,FALSE)-F93)*G93)</f>
        <v>-10.899999999999864</v>
      </c>
      <c r="I93">
        <f>H93/VLOOKUP(B93,Trades!A$1:$N$100794,9,FALSE)</f>
        <v>-5.4499999999999318</v>
      </c>
    </row>
    <row r="94" spans="1:9" x14ac:dyDescent="0.25">
      <c r="A94">
        <f t="shared" si="3"/>
        <v>93</v>
      </c>
      <c r="B94" t="s">
        <v>248</v>
      </c>
      <c r="C94" s="1">
        <v>46141</v>
      </c>
      <c r="D94" t="str">
        <f>VLOOKUP(B94,Trades!A$1:N100886,3,FALSE)</f>
        <v>STX</v>
      </c>
      <c r="E94" t="s">
        <v>61</v>
      </c>
      <c r="F94">
        <v>652.32000000000005</v>
      </c>
      <c r="G94">
        <v>2</v>
      </c>
      <c r="H94">
        <f>IF(VLOOKUP(B94,Trades!A:N,4,FALSE)="Long",(F94-VLOOKUP(B94,Trades!A:N,6,FALSE))*G94,(VLOOKUP(B94,Trades!A:N,6,FALSE)-F94)*G94)</f>
        <v>-6.1999999999998181</v>
      </c>
      <c r="I94">
        <f>H94/VLOOKUP(B94,Trades!A$1:$N$100794,9,FALSE)</f>
        <v>-3.0999999999999091</v>
      </c>
    </row>
    <row r="95" spans="1:9" x14ac:dyDescent="0.25">
      <c r="A95">
        <f t="shared" si="3"/>
        <v>94</v>
      </c>
      <c r="B95" t="s">
        <v>249</v>
      </c>
      <c r="C95" s="1">
        <v>46141</v>
      </c>
      <c r="D95" t="str">
        <f>VLOOKUP(B95,Trades!A$1:N100887,3,FALSE)</f>
        <v>STX</v>
      </c>
      <c r="E95" t="s">
        <v>61</v>
      </c>
      <c r="F95">
        <v>634.12</v>
      </c>
      <c r="G95">
        <v>1</v>
      </c>
      <c r="H95">
        <f>IF(VLOOKUP(B95,Trades!A:N,4,FALSE)="Long",(F95-VLOOKUP(B95,Trades!A:N,6,FALSE))*G95,(VLOOKUP(B95,Trades!A:N,6,FALSE)-F95)*G95)</f>
        <v>-4.8099999999999454</v>
      </c>
      <c r="I95">
        <f>H95/VLOOKUP(B95,Trades!A$1:$N$100794,9,FALSE)</f>
        <v>-4.8099999999999454</v>
      </c>
    </row>
    <row r="96" spans="1:9" x14ac:dyDescent="0.25">
      <c r="A96">
        <f t="shared" ref="A96:A104" si="4">ROW()-1</f>
        <v>95</v>
      </c>
      <c r="B96" t="s">
        <v>250</v>
      </c>
      <c r="C96" s="1">
        <v>46142</v>
      </c>
      <c r="D96" t="str">
        <f>VLOOKUP(B96,Trades!A$1:N100888,3,FALSE)</f>
        <v>MSFT</v>
      </c>
      <c r="E96" t="s">
        <v>61</v>
      </c>
      <c r="F96">
        <v>410.39</v>
      </c>
      <c r="G96">
        <v>1</v>
      </c>
      <c r="H96">
        <f>IF(VLOOKUP(B96,Trades!A:N,4,FALSE)="Long",(F96-VLOOKUP(B96,Trades!A:N,6,FALSE))*G96,(VLOOKUP(B96,Trades!A:N,6,FALSE)-F96)*G96)</f>
        <v>-14.54000000000002</v>
      </c>
      <c r="I96">
        <f>H96/VLOOKUP(B96,Trades!A$1:$N$100794,9,FALSE)</f>
        <v>-14.54000000000002</v>
      </c>
    </row>
    <row r="97" spans="1:9" x14ac:dyDescent="0.25">
      <c r="A97">
        <f t="shared" si="4"/>
        <v>96</v>
      </c>
      <c r="B97" t="s">
        <v>251</v>
      </c>
      <c r="C97" s="1">
        <v>46142</v>
      </c>
      <c r="D97" t="str">
        <f>VLOOKUP(B97,Trades!A$1:N100889,3,FALSE)</f>
        <v>V</v>
      </c>
      <c r="E97" t="s">
        <v>61</v>
      </c>
      <c r="F97">
        <v>331.48</v>
      </c>
      <c r="G97">
        <v>2</v>
      </c>
      <c r="H97">
        <f>IF(VLOOKUP(B97,Trades!A:N,4,FALSE)="Long",(F97-VLOOKUP(B97,Trades!A:N,6,FALSE))*G97,(VLOOKUP(B97,Trades!A:N,6,FALSE)-F97)*G97)</f>
        <v>-7.67999999999995</v>
      </c>
      <c r="I97">
        <f>H97/VLOOKUP(B97,Trades!A$1:$N$100794,9,FALSE)</f>
        <v>-3.839999999999975</v>
      </c>
    </row>
    <row r="98" spans="1:9" x14ac:dyDescent="0.25">
      <c r="A98">
        <f t="shared" si="4"/>
        <v>97</v>
      </c>
      <c r="B98" t="s">
        <v>252</v>
      </c>
      <c r="C98" s="1">
        <v>46142</v>
      </c>
      <c r="D98" t="str">
        <f>VLOOKUP(B98,Trades!A$1:N100890,3,FALSE)</f>
        <v>AMZN</v>
      </c>
      <c r="E98" t="s">
        <v>61</v>
      </c>
      <c r="F98">
        <v>256.27999999999997</v>
      </c>
      <c r="G98">
        <v>8</v>
      </c>
      <c r="H98">
        <f>IF(VLOOKUP(B98,Trades!A:N,4,FALSE)="Long",(F98-VLOOKUP(B98,Trades!A:N,6,FALSE))*G98,(VLOOKUP(B98,Trades!A:N,6,FALSE)-F98)*G98)</f>
        <v>-80.5600000000004</v>
      </c>
      <c r="I98">
        <f>H98/VLOOKUP(B98,Trades!A$1:$N$100794,9,FALSE)</f>
        <v>-10.07000000000005</v>
      </c>
    </row>
    <row r="99" spans="1:9" x14ac:dyDescent="0.25">
      <c r="A99">
        <f t="shared" si="4"/>
        <v>98</v>
      </c>
      <c r="B99" t="s">
        <v>253</v>
      </c>
      <c r="C99" s="1">
        <v>46142</v>
      </c>
      <c r="D99" t="str">
        <f>VLOOKUP(B99,Trades!A$1:N100891,3,FALSE)</f>
        <v>GOOG</v>
      </c>
      <c r="E99" t="s">
        <v>61</v>
      </c>
      <c r="F99">
        <v>380.04</v>
      </c>
      <c r="G99">
        <v>3</v>
      </c>
      <c r="H99">
        <f>IF(VLOOKUP(B99,Trades!A:N,4,FALSE)="Long",(F99-VLOOKUP(B99,Trades!A:N,6,FALSE))*G99,(VLOOKUP(B99,Trades!A:N,6,FALSE)-F99)*G99)</f>
        <v>27.180000000000007</v>
      </c>
      <c r="I99">
        <f>H99/VLOOKUP(B99,Trades!A$1:$N$100794,9,FALSE)</f>
        <v>9.0600000000000023</v>
      </c>
    </row>
    <row r="100" spans="1:9" x14ac:dyDescent="0.25">
      <c r="A100">
        <f t="shared" si="4"/>
        <v>99</v>
      </c>
      <c r="B100" t="s">
        <v>257</v>
      </c>
      <c r="C100" s="1">
        <v>46143</v>
      </c>
      <c r="D100" t="str">
        <f>VLOOKUP(B100,Trades!A$1:N100892,3,FALSE)</f>
        <v>ROKU</v>
      </c>
      <c r="E100" t="s">
        <v>61</v>
      </c>
      <c r="F100">
        <v>125.33</v>
      </c>
      <c r="G100">
        <v>4</v>
      </c>
      <c r="H100">
        <f>IF(VLOOKUP(B100,Trades!A:N,4,FALSE)="Long",(F100-VLOOKUP(B100,Trades!A:N,6,FALSE))*G100,(VLOOKUP(B100,Trades!A:N,6,FALSE)-F100)*G100)</f>
        <v>-5.8799999999999955</v>
      </c>
      <c r="I100">
        <f>H100/VLOOKUP(B100,Trades!A$1:$N$100794,9,FALSE)</f>
        <v>-1.4699999999999989</v>
      </c>
    </row>
    <row r="101" spans="1:9" x14ac:dyDescent="0.25">
      <c r="A101">
        <f t="shared" si="4"/>
        <v>100</v>
      </c>
      <c r="B101" t="s">
        <v>258</v>
      </c>
      <c r="C101" s="1">
        <v>46143</v>
      </c>
      <c r="D101" t="str">
        <f>VLOOKUP(B101,Trades!A$1:N100893,3,FALSE)</f>
        <v>EL</v>
      </c>
      <c r="E101" t="s">
        <v>61</v>
      </c>
      <c r="F101">
        <v>82.94</v>
      </c>
      <c r="G101">
        <v>10</v>
      </c>
      <c r="H101">
        <f>IF(VLOOKUP(B101,Trades!A:N,4,FALSE)="Long",(F101-VLOOKUP(B101,Trades!A:N,6,FALSE))*G101,(VLOOKUP(B101,Trades!A:N,6,FALSE)-F101)*G101)</f>
        <v>-10.600000000000023</v>
      </c>
      <c r="I101">
        <f>H101/VLOOKUP(B101,Trades!A$1:$N$100794,9,FALSE)</f>
        <v>-10.600000000000023</v>
      </c>
    </row>
    <row r="102" spans="1:9" x14ac:dyDescent="0.25">
      <c r="A102">
        <f t="shared" si="4"/>
        <v>101</v>
      </c>
      <c r="B102" t="s">
        <v>259</v>
      </c>
      <c r="C102" s="1">
        <v>46143</v>
      </c>
      <c r="D102" t="str">
        <f>VLOOKUP(B102,Trades!A$1:N100894,3,FALSE)</f>
        <v>AAPL</v>
      </c>
      <c r="E102" t="s">
        <v>61</v>
      </c>
      <c r="F102">
        <v>284.10000000000002</v>
      </c>
      <c r="G102">
        <v>4</v>
      </c>
      <c r="H102">
        <f>IF(VLOOKUP(B102,Trades!A:N,4,FALSE)="Long",(F102-VLOOKUP(B102,Trades!A:N,6,FALSE))*G102,(VLOOKUP(B102,Trades!A:N,6,FALSE)-F102)*G102)</f>
        <v>20.400000000000091</v>
      </c>
      <c r="I102">
        <f>H102/VLOOKUP(B102,Trades!A$1:$N$100794,9,FALSE)</f>
        <v>5.1000000000000227</v>
      </c>
    </row>
    <row r="103" spans="1:9" x14ac:dyDescent="0.25">
      <c r="A103">
        <f t="shared" si="4"/>
        <v>102</v>
      </c>
      <c r="B103" t="s">
        <v>260</v>
      </c>
      <c r="C103" s="1">
        <v>46143</v>
      </c>
      <c r="D103" t="str">
        <f>VLOOKUP(B103,Trades!A$1:N100895,3,FALSE)</f>
        <v>GOOG</v>
      </c>
      <c r="E103" t="s">
        <v>61</v>
      </c>
      <c r="F103">
        <v>382.5</v>
      </c>
      <c r="G103">
        <v>2</v>
      </c>
      <c r="H103">
        <f>IF(VLOOKUP(B103,Trades!A:N,4,FALSE)="Long",(F103-VLOOKUP(B103,Trades!A:N,6,FALSE))*G103,(VLOOKUP(B103,Trades!A:N,6,FALSE)-F103)*G103)</f>
        <v>10.720000000000027</v>
      </c>
      <c r="I103">
        <f>H103/VLOOKUP(B103,Trades!A$1:$N$100794,9,FALSE)</f>
        <v>2.6800000000000068</v>
      </c>
    </row>
    <row r="104" spans="1:9" x14ac:dyDescent="0.25">
      <c r="A104">
        <f t="shared" si="4"/>
        <v>103</v>
      </c>
      <c r="B104" t="s">
        <v>260</v>
      </c>
      <c r="C104" s="1">
        <v>46143</v>
      </c>
      <c r="D104" t="str">
        <f>VLOOKUP(B104,Trades!A$1:N100896,3,FALSE)</f>
        <v>GOOG</v>
      </c>
      <c r="E104" t="s">
        <v>61</v>
      </c>
      <c r="F104">
        <v>379.03</v>
      </c>
      <c r="G104">
        <v>2</v>
      </c>
      <c r="H104">
        <f>IF(VLOOKUP(B104,Trades!A:N,4,FALSE)="Long",(F104-VLOOKUP(B104,Trades!A:N,6,FALSE))*G104,(VLOOKUP(B104,Trades!A:N,6,FALSE)-F104)*G104)</f>
        <v>3.7799999999999727</v>
      </c>
      <c r="I104">
        <f>H104/VLOOKUP(B104,Trades!A$1:$N$100794,9,FALSE)</f>
        <v>0.94499999999999318</v>
      </c>
    </row>
    <row r="105" spans="1:9" x14ac:dyDescent="0.25">
      <c r="A105">
        <f t="shared" ref="A105:A111" si="5">ROW()-1</f>
        <v>104</v>
      </c>
      <c r="B105" t="s">
        <v>221</v>
      </c>
      <c r="C105" s="1">
        <v>46146</v>
      </c>
      <c r="D105" t="str">
        <f>VLOOKUP(B105,Trades!A$1:N100897,3,FALSE)</f>
        <v>MNST</v>
      </c>
      <c r="E105" t="s">
        <v>61</v>
      </c>
      <c r="F105">
        <v>75.09</v>
      </c>
      <c r="G105">
        <v>4</v>
      </c>
      <c r="H105">
        <f>IF(VLOOKUP(B105,Trades!A:N,4,FALSE)="Long",(F105-VLOOKUP(B105,Trades!A:N,6,FALSE))*G105,(VLOOKUP(B105,Trades!A:N,6,FALSE)-F105)*G105)</f>
        <v>11.639999999999986</v>
      </c>
      <c r="I105">
        <f>H105/VLOOKUP(B105,Trades!A$1:$N$100794,9,FALSE)</f>
        <v>1.9399999999999977</v>
      </c>
    </row>
    <row r="106" spans="1:9" x14ac:dyDescent="0.25">
      <c r="A106">
        <f t="shared" si="5"/>
        <v>105</v>
      </c>
      <c r="B106" t="s">
        <v>263</v>
      </c>
      <c r="C106" s="1">
        <v>46146</v>
      </c>
      <c r="D106" t="str">
        <f>VLOOKUP(B106,Trades!A$1:N100898,3,FALSE)</f>
        <v>MSFT</v>
      </c>
      <c r="E106" t="s">
        <v>61</v>
      </c>
      <c r="F106">
        <v>416.92</v>
      </c>
      <c r="G106">
        <v>2</v>
      </c>
      <c r="H106">
        <f>IF(VLOOKUP(B106,Trades!A:N,4,FALSE)="Long",(F106-VLOOKUP(B106,Trades!A:N,6,FALSE))*G106,(VLOOKUP(B106,Trades!A:N,6,FALSE)-F106)*G106)</f>
        <v>10.960000000000036</v>
      </c>
      <c r="I106">
        <f>H106/VLOOKUP(B106,Trades!A$1:$N$100794,9,FALSE)</f>
        <v>5.4800000000000182</v>
      </c>
    </row>
    <row r="107" spans="1:9" x14ac:dyDescent="0.25">
      <c r="A107">
        <f t="shared" si="5"/>
        <v>106</v>
      </c>
      <c r="B107" t="s">
        <v>265</v>
      </c>
      <c r="C107" s="1">
        <v>46146</v>
      </c>
      <c r="D107" t="str">
        <f>VLOOKUP(B107,Trades!A$1:N100899,3,FALSE)</f>
        <v>EBAY</v>
      </c>
      <c r="E107" t="s">
        <v>61</v>
      </c>
      <c r="F107">
        <v>111.2</v>
      </c>
      <c r="G107">
        <v>4</v>
      </c>
      <c r="H107">
        <f>IF(VLOOKUP(B107,Trades!A:N,4,FALSE)="Long",(F107-VLOOKUP(B107,Trades!A:N,6,FALSE))*G107,(VLOOKUP(B107,Trades!A:N,6,FALSE)-F107)*G107)</f>
        <v>10.360000000000014</v>
      </c>
      <c r="I107">
        <f>H107/VLOOKUP(B107,Trades!A$1:$N$100794,9,FALSE)</f>
        <v>2.5900000000000034</v>
      </c>
    </row>
    <row r="108" spans="1:9" x14ac:dyDescent="0.25">
      <c r="A108">
        <f t="shared" si="5"/>
        <v>107</v>
      </c>
      <c r="B108" t="s">
        <v>266</v>
      </c>
      <c r="C108" s="1">
        <v>46146</v>
      </c>
      <c r="D108" t="str">
        <f>VLOOKUP(B108,Trades!A$1:N100900,3,FALSE)</f>
        <v>NVDA</v>
      </c>
      <c r="E108" t="s">
        <v>61</v>
      </c>
      <c r="F108">
        <v>195.48</v>
      </c>
      <c r="G108">
        <v>3</v>
      </c>
      <c r="H108">
        <f>IF(VLOOKUP(B108,Trades!A:N,4,FALSE)="Long",(F108-VLOOKUP(B108,Trades!A:N,6,FALSE))*G108,(VLOOKUP(B108,Trades!A:N,6,FALSE)-F108)*G108)</f>
        <v>-11.100000000000051</v>
      </c>
      <c r="I108">
        <f>H108/VLOOKUP(B108,Trades!A$1:$N$100794,9,FALSE)</f>
        <v>-3.7000000000000171</v>
      </c>
    </row>
    <row r="109" spans="1:9" x14ac:dyDescent="0.25">
      <c r="A109">
        <f t="shared" si="5"/>
        <v>108</v>
      </c>
      <c r="B109" t="s">
        <v>267</v>
      </c>
      <c r="C109" s="1">
        <v>46146</v>
      </c>
      <c r="D109" t="str">
        <f>VLOOKUP(B109,Trades!A$1:N100901,3,FALSE)</f>
        <v>SCHD</v>
      </c>
      <c r="E109" t="s">
        <v>61</v>
      </c>
      <c r="F109">
        <v>31.63</v>
      </c>
      <c r="G109">
        <v>10</v>
      </c>
      <c r="H109">
        <f>IF(VLOOKUP(B109,Trades!A:N,4,FALSE)="Long",(F109-VLOOKUP(B109,Trades!A:N,6,FALSE))*G109,(VLOOKUP(B109,Trades!A:N,6,FALSE)-F109)*G109)</f>
        <v>8.0999999999999872</v>
      </c>
      <c r="I109">
        <f>H109/VLOOKUP(B109,Trades!A$1:$N$100794,9,FALSE)</f>
        <v>0.20249999999999968</v>
      </c>
    </row>
    <row r="110" spans="1:9" x14ac:dyDescent="0.25">
      <c r="A110">
        <f t="shared" si="5"/>
        <v>109</v>
      </c>
      <c r="B110" t="s">
        <v>268</v>
      </c>
      <c r="C110" s="1">
        <v>46146</v>
      </c>
      <c r="D110" t="str">
        <f>VLOOKUP(B110,Trades!A$1:N100902,3,FALSE)</f>
        <v>KO</v>
      </c>
      <c r="E110" t="s">
        <v>61</v>
      </c>
      <c r="F110">
        <v>78.48</v>
      </c>
      <c r="G110">
        <v>4</v>
      </c>
      <c r="H110">
        <f>IF(VLOOKUP(B110,Trades!A:N,4,FALSE)="Long",(F110-VLOOKUP(B110,Trades!A:N,6,FALSE))*G110,(VLOOKUP(B110,Trades!A:N,6,FALSE)-F110)*G110)</f>
        <v>10.120000000000005</v>
      </c>
      <c r="I110">
        <f>H110/VLOOKUP(B110,Trades!A$1:$N$100794,9,FALSE)</f>
        <v>2.5300000000000011</v>
      </c>
    </row>
    <row r="111" spans="1:9" x14ac:dyDescent="0.25">
      <c r="A111">
        <f t="shared" si="5"/>
        <v>110</v>
      </c>
      <c r="B111" t="s">
        <v>270</v>
      </c>
      <c r="C111" s="1">
        <v>46146</v>
      </c>
      <c r="D111" t="str">
        <f>VLOOKUP(B111,Trades!A$1:N100903,3,FALSE)</f>
        <v>PLTR</v>
      </c>
      <c r="E111" t="s">
        <v>61</v>
      </c>
      <c r="F111">
        <v>146.76</v>
      </c>
      <c r="G111">
        <v>4</v>
      </c>
      <c r="H111">
        <f>IF(VLOOKUP(B111,Trades!A:N,4,FALSE)="Long",(F111-VLOOKUP(B111,Trades!A:N,6,FALSE))*G111,(VLOOKUP(B111,Trades!A:N,6,FALSE)-F111)*G111)</f>
        <v>4.7199999999999136</v>
      </c>
      <c r="I111">
        <f>H111/VLOOKUP(B111,Trades!A$1:$N$100794,9,FALSE)</f>
        <v>1.1799999999999784</v>
      </c>
    </row>
    <row r="112" spans="1:9" x14ac:dyDescent="0.25">
      <c r="A112">
        <f t="shared" ref="A112:A120" si="6">ROW()-1</f>
        <v>111</v>
      </c>
      <c r="B112" t="s">
        <v>272</v>
      </c>
      <c r="C112" s="1">
        <v>46147</v>
      </c>
      <c r="D112" t="str">
        <f>VLOOKUP(B112,Trades!A$1:N100904,3,FALSE)</f>
        <v>AMAT</v>
      </c>
      <c r="E112" t="s">
        <v>61</v>
      </c>
      <c r="F112">
        <v>401.8</v>
      </c>
      <c r="G112">
        <v>3</v>
      </c>
      <c r="H112">
        <f>IF(VLOOKUP(B112,Trades!A:N,4,FALSE)="Long",(F112-VLOOKUP(B112,Trades!A:N,6,FALSE))*G112,(VLOOKUP(B112,Trades!A:N,6,FALSE)-F112)*G112)</f>
        <v>-5.25</v>
      </c>
      <c r="I112">
        <f>H112/VLOOKUP(B112,Trades!A$1:$N$100794,9,FALSE)</f>
        <v>-1.75</v>
      </c>
    </row>
    <row r="113" spans="1:9" x14ac:dyDescent="0.25">
      <c r="A113">
        <f t="shared" si="6"/>
        <v>112</v>
      </c>
      <c r="B113" t="s">
        <v>273</v>
      </c>
      <c r="C113" s="1">
        <v>46147</v>
      </c>
      <c r="D113" t="str">
        <f>VLOOKUP(B113,Trades!A$1:N100905,3,FALSE)</f>
        <v>MSFT</v>
      </c>
      <c r="E113" t="s">
        <v>61</v>
      </c>
      <c r="F113">
        <v>411.69</v>
      </c>
      <c r="G113">
        <v>3</v>
      </c>
      <c r="H113">
        <f>IF(VLOOKUP(B113,Trades!A:N,4,FALSE)="Long",(F113-VLOOKUP(B113,Trades!A:N,6,FALSE))*G113,(VLOOKUP(B113,Trades!A:N,6,FALSE)-F113)*G113)</f>
        <v>-10.470000000000027</v>
      </c>
      <c r="I113">
        <f>H113/VLOOKUP(B113,Trades!A$1:$N$100794,9,FALSE)</f>
        <v>-3.4900000000000091</v>
      </c>
    </row>
    <row r="114" spans="1:9" x14ac:dyDescent="0.25">
      <c r="A114">
        <f t="shared" si="6"/>
        <v>113</v>
      </c>
      <c r="B114" t="s">
        <v>274</v>
      </c>
      <c r="C114" s="1">
        <v>46147</v>
      </c>
      <c r="D114" t="str">
        <f>VLOOKUP(B114,Trades!A$1:N100906,3,FALSE)</f>
        <v>PLTR</v>
      </c>
      <c r="E114" t="s">
        <v>61</v>
      </c>
      <c r="F114">
        <v>138.08000000000001</v>
      </c>
      <c r="G114">
        <v>6</v>
      </c>
      <c r="H114">
        <f>IF(VLOOKUP(B114,Trades!A:N,4,FALSE)="Long",(F114-VLOOKUP(B114,Trades!A:N,6,FALSE))*G114,(VLOOKUP(B114,Trades!A:N,6,FALSE)-F114)*G114)</f>
        <v>-6.1800000000000068</v>
      </c>
      <c r="I114">
        <f>H114/VLOOKUP(B114,Trades!A$1:$N$100794,9,FALSE)</f>
        <v>-1.0300000000000011</v>
      </c>
    </row>
    <row r="115" spans="1:9" x14ac:dyDescent="0.25">
      <c r="A115">
        <f t="shared" si="6"/>
        <v>114</v>
      </c>
      <c r="B115" t="s">
        <v>275</v>
      </c>
      <c r="C115" s="1">
        <v>46147</v>
      </c>
      <c r="D115" t="str">
        <f>VLOOKUP(B115,Trades!A$1:N100907,3,FALSE)</f>
        <v>RCAT</v>
      </c>
      <c r="E115" t="s">
        <v>61</v>
      </c>
      <c r="F115">
        <v>10.51</v>
      </c>
      <c r="G115">
        <v>10</v>
      </c>
      <c r="H115">
        <f>IF(VLOOKUP(B115,Trades!A:N,4,FALSE)="Long",(F115-VLOOKUP(B115,Trades!A:N,6,FALSE))*G115,(VLOOKUP(B115,Trades!A:N,6,FALSE)-F115)*G115)</f>
        <v>-11.099999999999994</v>
      </c>
      <c r="I115">
        <f>H115/VLOOKUP(B115,Trades!A$1:$N$100794,9,FALSE)</f>
        <v>-1.1099999999999994</v>
      </c>
    </row>
    <row r="116" spans="1:9" x14ac:dyDescent="0.25">
      <c r="A116">
        <f t="shared" si="6"/>
        <v>115</v>
      </c>
      <c r="B116" t="s">
        <v>276</v>
      </c>
      <c r="C116" s="1">
        <v>46147</v>
      </c>
      <c r="D116" t="str">
        <f>VLOOKUP(B116,Trades!A$1:N100908,3,FALSE)</f>
        <v>PLTR</v>
      </c>
      <c r="E116" t="s">
        <v>61</v>
      </c>
      <c r="F116">
        <v>137.31</v>
      </c>
      <c r="G116">
        <v>4</v>
      </c>
      <c r="H116">
        <f>IF(VLOOKUP(B116,Trades!A:N,4,FALSE)="Long",(F116-VLOOKUP(B116,Trades!A:N,6,FALSE))*G116,(VLOOKUP(B116,Trades!A:N,6,FALSE)-F116)*G116)</f>
        <v>-4.1599999999999682</v>
      </c>
      <c r="I116">
        <f>H116/VLOOKUP(B116,Trades!A$1:$N$100794,9,FALSE)</f>
        <v>-1.039999999999992</v>
      </c>
    </row>
    <row r="117" spans="1:9" x14ac:dyDescent="0.25">
      <c r="A117">
        <f t="shared" si="6"/>
        <v>116</v>
      </c>
      <c r="B117" t="s">
        <v>267</v>
      </c>
      <c r="C117" s="1">
        <v>46147</v>
      </c>
      <c r="D117" t="str">
        <f>VLOOKUP(B117,Trades!A$1:N100909,3,FALSE)</f>
        <v>SCHD</v>
      </c>
      <c r="E117" t="s">
        <v>61</v>
      </c>
      <c r="F117">
        <v>31.5</v>
      </c>
      <c r="G117">
        <v>30</v>
      </c>
      <c r="H117">
        <f>IF(VLOOKUP(B117,Trades!A:N,4,FALSE)="Long",(F117-VLOOKUP(B117,Trades!A:N,6,FALSE))*G117,(VLOOKUP(B117,Trades!A:N,6,FALSE)-F117)*G117)</f>
        <v>20.399999999999991</v>
      </c>
      <c r="I117">
        <f>H117/VLOOKUP(B117,Trades!A$1:$N$100794,9,FALSE)</f>
        <v>0.50999999999999979</v>
      </c>
    </row>
    <row r="118" spans="1:9" x14ac:dyDescent="0.25">
      <c r="A118">
        <f t="shared" si="6"/>
        <v>117</v>
      </c>
      <c r="B118" t="s">
        <v>222</v>
      </c>
      <c r="C118" s="1">
        <v>46147</v>
      </c>
      <c r="D118" t="str">
        <f>VLOOKUP(B118,Trades!A$1:N100910,3,FALSE)</f>
        <v>INTC</v>
      </c>
      <c r="E118" t="s">
        <v>61</v>
      </c>
      <c r="F118">
        <v>108.87</v>
      </c>
      <c r="G118">
        <v>1</v>
      </c>
      <c r="H118">
        <f>IF(VLOOKUP(B118,Trades!A:N,4,FALSE)="Long",(F118-VLOOKUP(B118,Trades!A:N,6,FALSE))*G118,(VLOOKUP(B118,Trades!A:N,6,FALSE)-F118)*G118)</f>
        <v>41.86</v>
      </c>
      <c r="I118">
        <f>H118/VLOOKUP(B118,Trades!A$1:$N$100794,9,FALSE)</f>
        <v>13.953333333333333</v>
      </c>
    </row>
    <row r="119" spans="1:9" x14ac:dyDescent="0.25">
      <c r="A119">
        <f t="shared" si="6"/>
        <v>118</v>
      </c>
      <c r="B119" t="s">
        <v>277</v>
      </c>
      <c r="C119" s="1">
        <v>46147</v>
      </c>
      <c r="D119" t="str">
        <f>VLOOKUP(B119,Trades!A$1:N100911,3,FALSE)</f>
        <v>AMZN</v>
      </c>
      <c r="E119" t="s">
        <v>61</v>
      </c>
      <c r="F119">
        <v>276.17</v>
      </c>
      <c r="G119">
        <v>2</v>
      </c>
      <c r="H119">
        <f>IF(VLOOKUP(B119,Trades!A:N,4,FALSE)="Long",(F119-VLOOKUP(B119,Trades!A:N,6,FALSE))*G119,(VLOOKUP(B119,Trades!A:N,6,FALSE)-F119)*G119)</f>
        <v>33.399999999999977</v>
      </c>
      <c r="I119">
        <f>H119/VLOOKUP(B119,Trades!A$1:$N$100794,9,FALSE)</f>
        <v>8.3499999999999943</v>
      </c>
    </row>
    <row r="120" spans="1:9" x14ac:dyDescent="0.25">
      <c r="A120">
        <f t="shared" si="6"/>
        <v>119</v>
      </c>
      <c r="B120" t="s">
        <v>278</v>
      </c>
      <c r="C120" s="1">
        <v>46147</v>
      </c>
      <c r="D120" t="str">
        <f>VLOOKUP(B120,Trades!A$1:N100912,3,FALSE)</f>
        <v>MSFT</v>
      </c>
      <c r="E120" t="s">
        <v>61</v>
      </c>
      <c r="F120">
        <v>409.04</v>
      </c>
      <c r="G120">
        <v>3</v>
      </c>
      <c r="H120">
        <f>IF(VLOOKUP(B120,Trades!A:N,4,FALSE)="Long",(F120-VLOOKUP(B120,Trades!A:N,6,FALSE))*G120,(VLOOKUP(B120,Trades!A:N,6,FALSE)-F120)*G120)</f>
        <v>-3.2099999999999795</v>
      </c>
      <c r="I120">
        <f>H120/VLOOKUP(B120,Trades!A$1:$N$100794,9,FALSE)</f>
        <v>-1.0699999999999932</v>
      </c>
    </row>
    <row r="121" spans="1:9" x14ac:dyDescent="0.25">
      <c r="A121">
        <f t="shared" ref="A121:A127" si="7">ROW()-1</f>
        <v>120</v>
      </c>
      <c r="B121" t="s">
        <v>280</v>
      </c>
      <c r="C121" s="1">
        <v>46148</v>
      </c>
      <c r="D121" t="str">
        <f>VLOOKUP(B121,Trades!A$1:N100913,3,FALSE)</f>
        <v>MU</v>
      </c>
      <c r="E121" t="s">
        <v>61</v>
      </c>
      <c r="F121">
        <v>657.11</v>
      </c>
      <c r="G121">
        <v>2</v>
      </c>
      <c r="H121">
        <f>IF(VLOOKUP(B121,Trades!A:N,4,FALSE)="Long",(F121-VLOOKUP(B121,Trades!A:N,6,FALSE))*G121,(VLOOKUP(B121,Trades!A:N,6,FALSE)-F121)*G121)</f>
        <v>-7.0199999999999818</v>
      </c>
      <c r="I121">
        <f>H121/VLOOKUP(B121,Trades!A$1:$N$100794,9,FALSE)</f>
        <v>-3.5099999999999909</v>
      </c>
    </row>
    <row r="122" spans="1:9" x14ac:dyDescent="0.25">
      <c r="A122">
        <f t="shared" si="7"/>
        <v>121</v>
      </c>
      <c r="B122" t="s">
        <v>281</v>
      </c>
      <c r="C122" s="1">
        <v>46148</v>
      </c>
      <c r="D122" t="str">
        <f>VLOOKUP(B122,Trades!A$1:N100914,3,FALSE)</f>
        <v>ARM</v>
      </c>
      <c r="E122" t="s">
        <v>61</v>
      </c>
      <c r="F122">
        <v>227.5</v>
      </c>
      <c r="G122">
        <v>4</v>
      </c>
      <c r="H122">
        <f>IF(VLOOKUP(B122,Trades!A:N,4,FALSE)="Long",(F122-VLOOKUP(B122,Trades!A:N,6,FALSE))*G122,(VLOOKUP(B122,Trades!A:N,6,FALSE)-F122)*G122)</f>
        <v>-8</v>
      </c>
      <c r="I122">
        <f>H122/VLOOKUP(B122,Trades!A$1:$N$100794,9,FALSE)</f>
        <v>-2</v>
      </c>
    </row>
    <row r="123" spans="1:9" x14ac:dyDescent="0.25">
      <c r="A123">
        <f t="shared" si="7"/>
        <v>122</v>
      </c>
      <c r="B123" t="s">
        <v>282</v>
      </c>
      <c r="C123" s="1">
        <v>46148</v>
      </c>
      <c r="D123" t="str">
        <f>VLOOKUP(B123,Trades!A$1:N100915,3,FALSE)</f>
        <v>AMD</v>
      </c>
      <c r="E123" t="s">
        <v>61</v>
      </c>
      <c r="F123">
        <v>422.69</v>
      </c>
      <c r="G123">
        <v>2</v>
      </c>
      <c r="H123">
        <f>IF(VLOOKUP(B123,Trades!A:N,4,FALSE)="Long",(F123-VLOOKUP(B123,Trades!A:N,6,FALSE))*G123,(VLOOKUP(B123,Trades!A:N,6,FALSE)-F123)*G123)</f>
        <v>33.980000000000018</v>
      </c>
      <c r="I123">
        <f>H123/VLOOKUP(B123,Trades!A$1:$N$100794,9,FALSE)</f>
        <v>16.990000000000009</v>
      </c>
    </row>
    <row r="124" spans="1:9" x14ac:dyDescent="0.25">
      <c r="A124">
        <f t="shared" si="7"/>
        <v>123</v>
      </c>
      <c r="B124" t="s">
        <v>283</v>
      </c>
      <c r="C124" s="1">
        <v>46148</v>
      </c>
      <c r="D124" t="str">
        <f>VLOOKUP(B124,Trades!A$1:N100916,3,FALSE)</f>
        <v>GOOG</v>
      </c>
      <c r="E124" t="s">
        <v>61</v>
      </c>
      <c r="F124">
        <v>387.32</v>
      </c>
      <c r="G124">
        <v>2</v>
      </c>
      <c r="H124">
        <f>IF(VLOOKUP(B124,Trades!A:N,4,FALSE)="Long",(F124-VLOOKUP(B124,Trades!A:N,6,FALSE))*G124,(VLOOKUP(B124,Trades!A:N,6,FALSE)-F124)*G124)</f>
        <v>-3.9600000000000364</v>
      </c>
      <c r="I124">
        <f>H124/VLOOKUP(B124,Trades!A$1:$N$100794,9,FALSE)</f>
        <v>-1.9800000000000182</v>
      </c>
    </row>
    <row r="125" spans="1:9" x14ac:dyDescent="0.25">
      <c r="A125">
        <f t="shared" si="7"/>
        <v>124</v>
      </c>
      <c r="B125" t="s">
        <v>284</v>
      </c>
      <c r="C125" s="1">
        <v>46148</v>
      </c>
      <c r="D125" t="str">
        <f>VLOOKUP(B125,Trades!A$1:N100917,3,FALSE)</f>
        <v>MU</v>
      </c>
      <c r="E125" t="s">
        <v>61</v>
      </c>
      <c r="F125">
        <v>656.1</v>
      </c>
      <c r="G125">
        <v>2</v>
      </c>
      <c r="H125">
        <f>IF(VLOOKUP(B125,Trades!A:N,4,FALSE)="Long",(F125-VLOOKUP(B125,Trades!A:N,6,FALSE))*G125,(VLOOKUP(B125,Trades!A:N,6,FALSE)-F125)*G125)</f>
        <v>11.319999999999936</v>
      </c>
      <c r="I125">
        <f>H125/VLOOKUP(B125,Trades!A$1:$N$100794,9,FALSE)</f>
        <v>5.6599999999999682</v>
      </c>
    </row>
    <row r="126" spans="1:9" x14ac:dyDescent="0.25">
      <c r="A126">
        <f t="shared" si="7"/>
        <v>125</v>
      </c>
      <c r="B126" t="s">
        <v>285</v>
      </c>
      <c r="C126" s="1">
        <v>46148</v>
      </c>
      <c r="D126" t="str">
        <f>VLOOKUP(B126,Trades!A$1:N100918,3,FALSE)</f>
        <v>MU</v>
      </c>
      <c r="E126" t="s">
        <v>61</v>
      </c>
      <c r="F126">
        <v>656.1</v>
      </c>
      <c r="G126">
        <v>2</v>
      </c>
      <c r="H126">
        <f>IF(VLOOKUP(B126,Trades!A:N,4,FALSE)="Long",(F126-VLOOKUP(B126,Trades!A:N,6,FALSE))*G126,(VLOOKUP(B126,Trades!A:N,6,FALSE)-F126)*G126)</f>
        <v>53.559999999999945</v>
      </c>
      <c r="I126">
        <f>H126/VLOOKUP(B126,Trades!A$1:$N$100794,9,FALSE)</f>
        <v>26.779999999999973</v>
      </c>
    </row>
    <row r="127" spans="1:9" x14ac:dyDescent="0.25">
      <c r="A127">
        <f t="shared" si="7"/>
        <v>126</v>
      </c>
      <c r="B127" t="s">
        <v>286</v>
      </c>
      <c r="C127" s="1">
        <v>46148</v>
      </c>
      <c r="D127" t="str">
        <f>VLOOKUP(B127,Trades!A$1:N100919,3,FALSE)</f>
        <v>AMPY</v>
      </c>
      <c r="E127" t="s">
        <v>61</v>
      </c>
      <c r="F127">
        <v>5.7</v>
      </c>
      <c r="G127">
        <v>10</v>
      </c>
      <c r="H127">
        <f>IF(VLOOKUP(B127,Trades!A:N,4,FALSE)="Long",(F127-VLOOKUP(B127,Trades!A:N,6,FALSE))*G127,(VLOOKUP(B127,Trades!A:N,6,FALSE)-F127)*G127)</f>
        <v>1.5000000000000036</v>
      </c>
      <c r="I127">
        <f>H127/VLOOKUP(B127,Trades!A$1:$N$100794,9,FALSE)</f>
        <v>0.15000000000000036</v>
      </c>
    </row>
    <row r="128" spans="1:9" x14ac:dyDescent="0.25">
      <c r="A128">
        <f t="shared" ref="A128:A138" si="8">ROW()-1</f>
        <v>127</v>
      </c>
      <c r="B128" t="s">
        <v>288</v>
      </c>
      <c r="C128" s="1">
        <v>46149</v>
      </c>
      <c r="D128" t="str">
        <f>VLOOKUP(B128,Trades!A$1:N100920,3,FALSE)</f>
        <v>NRDS</v>
      </c>
      <c r="E128" t="s">
        <v>61</v>
      </c>
      <c r="F128">
        <v>9.3699999999999992</v>
      </c>
      <c r="G128">
        <v>20</v>
      </c>
      <c r="H128">
        <f>IF(VLOOKUP(B128,Trades!A:N,4,FALSE)="Long",(F128-VLOOKUP(B128,Trades!A:N,6,FALSE))*G128,(VLOOKUP(B128,Trades!A:N,6,FALSE)-F128)*G128)</f>
        <v>-25.800000000000018</v>
      </c>
      <c r="I128">
        <f>H128/VLOOKUP(B128,Trades!A$1:$N$100794,9,FALSE)</f>
        <v>-1.2900000000000009</v>
      </c>
    </row>
    <row r="129" spans="1:9" x14ac:dyDescent="0.25">
      <c r="A129">
        <f t="shared" si="8"/>
        <v>128</v>
      </c>
      <c r="B129" t="s">
        <v>289</v>
      </c>
      <c r="C129" s="1">
        <v>46149</v>
      </c>
      <c r="D129" t="str">
        <f>VLOOKUP(B129,Trades!A$1:N100921,3,FALSE)</f>
        <v>FSLY</v>
      </c>
      <c r="E129" t="s">
        <v>61</v>
      </c>
      <c r="F129">
        <v>22.29</v>
      </c>
      <c r="G129">
        <v>4</v>
      </c>
      <c r="H129">
        <f>IF(VLOOKUP(B129,Trades!A:N,4,FALSE)="Long",(F129-VLOOKUP(B129,Trades!A:N,6,FALSE))*G129,(VLOOKUP(B129,Trades!A:N,6,FALSE)-F129)*G129)</f>
        <v>-10.64</v>
      </c>
      <c r="I129">
        <f>H129/VLOOKUP(B129,Trades!A$1:$N$100794,9,FALSE)</f>
        <v>-1.7733333333333334</v>
      </c>
    </row>
    <row r="130" spans="1:9" x14ac:dyDescent="0.25">
      <c r="A130">
        <f t="shared" si="8"/>
        <v>129</v>
      </c>
      <c r="B130" t="s">
        <v>291</v>
      </c>
      <c r="C130" s="1">
        <v>46149</v>
      </c>
      <c r="D130" t="str">
        <f>VLOOKUP(B130,Trades!A$1:N100922,3,FALSE)</f>
        <v>NET</v>
      </c>
      <c r="E130" t="s">
        <v>61</v>
      </c>
      <c r="F130">
        <v>253.14</v>
      </c>
      <c r="G130">
        <v>4</v>
      </c>
      <c r="H130">
        <f>IF(VLOOKUP(B130,Trades!A:N,4,FALSE)="Long",(F130-VLOOKUP(B130,Trades!A:N,6,FALSE))*G130,(VLOOKUP(B130,Trades!A:N,6,FALSE)-F130)*G130)</f>
        <v>0.55999999999994543</v>
      </c>
      <c r="I130">
        <f>H130/VLOOKUP(B130,Trades!A$1:$N$100794,9,FALSE)</f>
        <v>0.13999999999998636</v>
      </c>
    </row>
    <row r="131" spans="1:9" x14ac:dyDescent="0.25">
      <c r="A131">
        <f t="shared" si="8"/>
        <v>130</v>
      </c>
      <c r="B131" t="s">
        <v>292</v>
      </c>
      <c r="C131" s="1">
        <v>46149</v>
      </c>
      <c r="D131" t="str">
        <f>VLOOKUP(B131,Trades!A$1:N100923,3,FALSE)</f>
        <v>NET</v>
      </c>
      <c r="E131" t="s">
        <v>61</v>
      </c>
      <c r="F131">
        <v>256.60000000000002</v>
      </c>
      <c r="G131">
        <v>4</v>
      </c>
      <c r="H131">
        <f>IF(VLOOKUP(B131,Trades!A:N,4,FALSE)="Long",(F131-VLOOKUP(B131,Trades!A:N,6,FALSE))*G131,(VLOOKUP(B131,Trades!A:N,6,FALSE)-F131)*G131)</f>
        <v>25.960000000000036</v>
      </c>
      <c r="I131">
        <f>H131/VLOOKUP(B131,Trades!A$1:$N$100794,9,FALSE)</f>
        <v>6.4900000000000091</v>
      </c>
    </row>
    <row r="132" spans="1:9" x14ac:dyDescent="0.25">
      <c r="A132">
        <f t="shared" si="8"/>
        <v>131</v>
      </c>
      <c r="B132" t="s">
        <v>293</v>
      </c>
      <c r="C132" s="1">
        <v>46149</v>
      </c>
      <c r="D132" t="str">
        <f>VLOOKUP(B132,Trades!A$1:N100924,3,FALSE)</f>
        <v>MU</v>
      </c>
      <c r="E132" t="s">
        <v>61</v>
      </c>
      <c r="F132">
        <v>657.82</v>
      </c>
      <c r="G132">
        <v>2</v>
      </c>
      <c r="H132">
        <f>IF(VLOOKUP(B132,Trades!A:N,4,FALSE)="Long",(F132-VLOOKUP(B132,Trades!A:N,6,FALSE))*G132,(VLOOKUP(B132,Trades!A:N,6,FALSE)-F132)*G132)</f>
        <v>-6.0199999999999818</v>
      </c>
      <c r="I132">
        <f>H132/VLOOKUP(B132,Trades!A$1:$N$100794,9,FALSE)</f>
        <v>-3.0099999999999909</v>
      </c>
    </row>
    <row r="133" spans="1:9" x14ac:dyDescent="0.25">
      <c r="A133">
        <f t="shared" si="8"/>
        <v>132</v>
      </c>
      <c r="B133" t="s">
        <v>295</v>
      </c>
      <c r="C133" s="1">
        <v>46149</v>
      </c>
      <c r="D133" t="str">
        <f>VLOOKUP(B133,Trades!A$1:N100925,3,FALSE)</f>
        <v>ABTC</v>
      </c>
      <c r="E133" t="s">
        <v>61</v>
      </c>
      <c r="F133">
        <v>1.1499999999999999</v>
      </c>
      <c r="G133">
        <v>30</v>
      </c>
      <c r="H133">
        <f>IF(VLOOKUP(B133,Trades!A:N,4,FALSE)="Long",(F133-VLOOKUP(B133,Trades!A:N,6,FALSE))*G133,(VLOOKUP(B133,Trades!A:N,6,FALSE)-F133)*G133)</f>
        <v>-1.5000000000000013</v>
      </c>
      <c r="I133">
        <f>H133/VLOOKUP(B133,Trades!A$1:$N$100794,9,FALSE)</f>
        <v>-5.0000000000000044E-2</v>
      </c>
    </row>
    <row r="134" spans="1:9" x14ac:dyDescent="0.25">
      <c r="A134">
        <f t="shared" si="8"/>
        <v>133</v>
      </c>
      <c r="B134" t="s">
        <v>296</v>
      </c>
      <c r="C134" s="1">
        <v>46149</v>
      </c>
      <c r="D134" t="str">
        <f>VLOOKUP(B134,Trades!A$1:N100926,3,FALSE)</f>
        <v>RKT</v>
      </c>
      <c r="E134" t="s">
        <v>61</v>
      </c>
      <c r="F134">
        <v>14.37</v>
      </c>
      <c r="G134">
        <v>6</v>
      </c>
      <c r="H134">
        <f>IF(VLOOKUP(B134,Trades!A:N,4,FALSE)="Long",(F134-VLOOKUP(B134,Trades!A:N,6,FALSE))*G134,(VLOOKUP(B134,Trades!A:N,6,FALSE)-F134)*G134)</f>
        <v>-3.0600000000000094</v>
      </c>
      <c r="I134">
        <f>H134/VLOOKUP(B134,Trades!A$1:$N$100794,9,FALSE)</f>
        <v>-0.51000000000000156</v>
      </c>
    </row>
    <row r="135" spans="1:9" x14ac:dyDescent="0.25">
      <c r="A135">
        <f t="shared" si="8"/>
        <v>134</v>
      </c>
      <c r="B135" t="s">
        <v>297</v>
      </c>
      <c r="C135" s="1">
        <v>46149</v>
      </c>
      <c r="D135" t="str">
        <f>VLOOKUP(B135,Trades!A$1:N100927,3,FALSE)</f>
        <v>MSFT</v>
      </c>
      <c r="E135" t="s">
        <v>61</v>
      </c>
      <c r="F135">
        <v>423.97</v>
      </c>
      <c r="G135">
        <v>3</v>
      </c>
      <c r="H135">
        <f>IF(VLOOKUP(B135,Trades!A:N,4,FALSE)="Long",(F135-VLOOKUP(B135,Trades!A:N,6,FALSE))*G135,(VLOOKUP(B135,Trades!A:N,6,FALSE)-F135)*G135)</f>
        <v>14.910000000000082</v>
      </c>
      <c r="I135">
        <f>H135/VLOOKUP(B135,Trades!A$1:$N$100794,9,FALSE)</f>
        <v>4.9700000000000273</v>
      </c>
    </row>
    <row r="136" spans="1:9" x14ac:dyDescent="0.25">
      <c r="A136">
        <f t="shared" si="8"/>
        <v>135</v>
      </c>
      <c r="B136" t="s">
        <v>298</v>
      </c>
      <c r="C136" s="1">
        <v>46149</v>
      </c>
      <c r="D136" t="str">
        <f>VLOOKUP(B136,Trades!A$1:N100928,3,FALSE)</f>
        <v>ORCL</v>
      </c>
      <c r="E136" t="s">
        <v>61</v>
      </c>
      <c r="F136">
        <v>193.08</v>
      </c>
      <c r="G136">
        <v>4</v>
      </c>
      <c r="H136">
        <f>IF(VLOOKUP(B136,Trades!A:N,4,FALSE)="Long",(F136-VLOOKUP(B136,Trades!A:N,6,FALSE))*G136,(VLOOKUP(B136,Trades!A:N,6,FALSE)-F136)*G136)</f>
        <v>-5.3199999999999363</v>
      </c>
      <c r="I136">
        <f>H136/VLOOKUP(B136,Trades!A$1:$N$100794,9,FALSE)</f>
        <v>-1.3299999999999841</v>
      </c>
    </row>
    <row r="137" spans="1:9" x14ac:dyDescent="0.25">
      <c r="A137">
        <f t="shared" si="8"/>
        <v>136</v>
      </c>
      <c r="B137" t="s">
        <v>299</v>
      </c>
      <c r="C137" s="1">
        <v>46149</v>
      </c>
      <c r="D137" t="str">
        <f>VLOOKUP(B137,Trades!A$1:N100929,3,FALSE)</f>
        <v>QCOM</v>
      </c>
      <c r="E137" t="s">
        <v>61</v>
      </c>
      <c r="F137">
        <v>205.92</v>
      </c>
      <c r="G137">
        <v>3</v>
      </c>
      <c r="H137">
        <f>IF(VLOOKUP(B137,Trades!A:N,4,FALSE)="Long",(F137-VLOOKUP(B137,Trades!A:N,6,FALSE))*G137,(VLOOKUP(B137,Trades!A:N,6,FALSE)-F137)*G137)</f>
        <v>-1.5900000000000034</v>
      </c>
      <c r="I137">
        <f>H137/VLOOKUP(B137,Trades!A$1:$N$100794,9,FALSE)</f>
        <v>-0.53000000000000114</v>
      </c>
    </row>
    <row r="138" spans="1:9" x14ac:dyDescent="0.25">
      <c r="A138">
        <f t="shared" si="8"/>
        <v>137</v>
      </c>
      <c r="B138" t="s">
        <v>301</v>
      </c>
      <c r="C138" s="1">
        <v>46149</v>
      </c>
      <c r="D138" t="str">
        <f>VLOOKUP(B138,Trades!A$1:N100930,3,FALSE)</f>
        <v>DDOG</v>
      </c>
      <c r="E138" t="s">
        <v>61</v>
      </c>
      <c r="F138">
        <v>180.02</v>
      </c>
      <c r="G138">
        <v>3</v>
      </c>
      <c r="H138">
        <f>IF(VLOOKUP(B138,Trades!A:N,4,FALSE)="Long",(F138-VLOOKUP(B138,Trades!A:N,6,FALSE))*G138,(VLOOKUP(B138,Trades!A:N,6,FALSE)-F138)*G138)</f>
        <v>-2.1899999999999693</v>
      </c>
      <c r="I138">
        <f>H138/VLOOKUP(B138,Trades!A$1:$N$100794,9,FALSE)</f>
        <v>-0.72999999999998977</v>
      </c>
    </row>
    <row r="139" spans="1:9" x14ac:dyDescent="0.25">
      <c r="A139">
        <f t="shared" ref="A139:A148" si="9">ROW()-1</f>
        <v>138</v>
      </c>
      <c r="B139" t="s">
        <v>304</v>
      </c>
      <c r="C139" s="1">
        <v>46150</v>
      </c>
      <c r="D139" t="str">
        <f>VLOOKUP(B139,Trades!A$1:N100931,3,FALSE)</f>
        <v>MNST</v>
      </c>
      <c r="E139" t="s">
        <v>61</v>
      </c>
      <c r="F139">
        <v>83.45</v>
      </c>
      <c r="G139">
        <v>4</v>
      </c>
      <c r="H139">
        <f>IF(VLOOKUP(B139,Trades!A:N,4,FALSE)="Long",(F139-VLOOKUP(B139,Trades!A:N,6,FALSE))*G139,(VLOOKUP(B139,Trades!A:N,6,FALSE)-F139)*G139)</f>
        <v>-2.839999999999975</v>
      </c>
      <c r="I139">
        <f>H139/VLOOKUP(B139,Trades!A$1:$N$100794,9,FALSE)</f>
        <v>-0.70999999999999375</v>
      </c>
    </row>
    <row r="140" spans="1:9" x14ac:dyDescent="0.25">
      <c r="A140">
        <f t="shared" si="9"/>
        <v>139</v>
      </c>
      <c r="B140" t="s">
        <v>305</v>
      </c>
      <c r="C140" s="1">
        <v>46150</v>
      </c>
      <c r="D140" t="str">
        <f>VLOOKUP(B140,Trades!A$1:N100932,3,FALSE)</f>
        <v>ASAN</v>
      </c>
      <c r="E140" t="s">
        <v>61</v>
      </c>
      <c r="F140">
        <v>6.66</v>
      </c>
      <c r="G140">
        <v>13</v>
      </c>
      <c r="H140">
        <f>IF(VLOOKUP(B140,Trades!A:N,4,FALSE)="Long",(F140-VLOOKUP(B140,Trades!A:N,6,FALSE))*G140,(VLOOKUP(B140,Trades!A:N,6,FALSE)-F140)*G140)</f>
        <v>-9.3599999999999959</v>
      </c>
      <c r="I140">
        <f>H140/VLOOKUP(B140,Trades!A$1:$N$100794,9,FALSE)</f>
        <v>-0.71999999999999964</v>
      </c>
    </row>
    <row r="141" spans="1:9" x14ac:dyDescent="0.25">
      <c r="A141">
        <f t="shared" si="9"/>
        <v>140</v>
      </c>
      <c r="B141" t="s">
        <v>306</v>
      </c>
      <c r="C141" s="1">
        <v>46150</v>
      </c>
      <c r="D141" t="str">
        <f>VLOOKUP(B141,Trades!A$1:N100933,3,FALSE)</f>
        <v>NVDA</v>
      </c>
      <c r="E141" t="s">
        <v>61</v>
      </c>
      <c r="F141">
        <v>215.78</v>
      </c>
      <c r="G141">
        <v>4</v>
      </c>
      <c r="H141">
        <f>IF(VLOOKUP(B141,Trades!A:N,4,FALSE)="Long",(F141-VLOOKUP(B141,Trades!A:N,6,FALSE))*G141,(VLOOKUP(B141,Trades!A:N,6,FALSE)-F141)*G141)</f>
        <v>10.159999999999968</v>
      </c>
      <c r="I141">
        <f>H141/VLOOKUP(B141,Trades!A$1:$N$100794,9,FALSE)</f>
        <v>2.539999999999992</v>
      </c>
    </row>
    <row r="142" spans="1:9" x14ac:dyDescent="0.25">
      <c r="A142">
        <f t="shared" si="9"/>
        <v>141</v>
      </c>
      <c r="B142" t="s">
        <v>307</v>
      </c>
      <c r="C142" s="1">
        <v>46150</v>
      </c>
      <c r="D142" t="str">
        <f>VLOOKUP(B142,Trades!A$1:N100934,3,FALSE)</f>
        <v>NVDA</v>
      </c>
      <c r="E142" t="s">
        <v>61</v>
      </c>
      <c r="F142">
        <v>215.08</v>
      </c>
      <c r="G142">
        <v>4</v>
      </c>
      <c r="H142">
        <f>IF(VLOOKUP(B142,Trades!A:N,4,FALSE)="Long",(F142-VLOOKUP(B142,Trades!A:N,6,FALSE))*G142,(VLOOKUP(B142,Trades!A:N,6,FALSE)-F142)*G142)</f>
        <v>-4</v>
      </c>
      <c r="I142">
        <f>H142/VLOOKUP(B142,Trades!A$1:$N$100794,9,FALSE)</f>
        <v>-1</v>
      </c>
    </row>
    <row r="143" spans="1:9" x14ac:dyDescent="0.25">
      <c r="A143">
        <f t="shared" si="9"/>
        <v>142</v>
      </c>
      <c r="B143" t="s">
        <v>277</v>
      </c>
      <c r="C143" s="1">
        <v>46150</v>
      </c>
      <c r="D143" t="str">
        <f>VLOOKUP(B143,Trades!A$1:N100935,3,FALSE)</f>
        <v>AMZN</v>
      </c>
      <c r="E143" t="s">
        <v>61</v>
      </c>
      <c r="F143">
        <v>272.82</v>
      </c>
      <c r="G143">
        <v>2</v>
      </c>
      <c r="H143">
        <f>IF(VLOOKUP(B143,Trades!A:N,4,FALSE)="Long",(F143-VLOOKUP(B143,Trades!A:N,6,FALSE))*G143,(VLOOKUP(B143,Trades!A:N,6,FALSE)-F143)*G143)</f>
        <v>26.699999999999932</v>
      </c>
      <c r="I143">
        <f>H143/VLOOKUP(B143,Trades!A$1:$N$100794,9,FALSE)</f>
        <v>6.6749999999999829</v>
      </c>
    </row>
    <row r="144" spans="1:9" x14ac:dyDescent="0.25">
      <c r="A144">
        <f t="shared" si="9"/>
        <v>143</v>
      </c>
      <c r="B144" t="s">
        <v>308</v>
      </c>
      <c r="C144" s="1">
        <v>46150</v>
      </c>
      <c r="D144" t="str">
        <f>VLOOKUP(B144,Trades!A$1:N100936,3,FALSE)</f>
        <v>FROG</v>
      </c>
      <c r="E144" t="s">
        <v>61</v>
      </c>
      <c r="F144">
        <v>67</v>
      </c>
      <c r="G144">
        <v>2</v>
      </c>
      <c r="H144">
        <f>IF(VLOOKUP(B144,Trades!A:N,4,FALSE)="Long",(F144-VLOOKUP(B144,Trades!A:N,6,FALSE))*G144,(VLOOKUP(B144,Trades!A:N,6,FALSE)-F144)*G144)</f>
        <v>23</v>
      </c>
      <c r="I144">
        <f>H144/VLOOKUP(B144,Trades!A$1:$N$100794,9,FALSE)</f>
        <v>5.75</v>
      </c>
    </row>
    <row r="145" spans="1:9" x14ac:dyDescent="0.25">
      <c r="A145">
        <f t="shared" si="9"/>
        <v>144</v>
      </c>
      <c r="B145" t="s">
        <v>309</v>
      </c>
      <c r="C145" s="1">
        <v>46150</v>
      </c>
      <c r="D145" t="str">
        <f>VLOOKUP(B145,Trades!A$1:N100937,3,FALSE)</f>
        <v>AMD</v>
      </c>
      <c r="E145" t="s">
        <v>61</v>
      </c>
      <c r="F145">
        <v>438.79</v>
      </c>
      <c r="G145">
        <v>3</v>
      </c>
      <c r="H145">
        <f>IF(VLOOKUP(B145,Trades!A:N,4,FALSE)="Long",(F145-VLOOKUP(B145,Trades!A:N,6,FALSE))*G145,(VLOOKUP(B145,Trades!A:N,6,FALSE)-F145)*G145)</f>
        <v>14.130000000000109</v>
      </c>
      <c r="I145">
        <f>H145/VLOOKUP(B145,Trades!A$1:$N$100794,9,FALSE)</f>
        <v>4.7100000000000364</v>
      </c>
    </row>
    <row r="146" spans="1:9" x14ac:dyDescent="0.25">
      <c r="A146">
        <f t="shared" si="9"/>
        <v>145</v>
      </c>
      <c r="B146" t="s">
        <v>310</v>
      </c>
      <c r="C146" s="1">
        <v>46150</v>
      </c>
      <c r="D146" t="str">
        <f>VLOOKUP(B146,Trades!A$1:N100938,3,FALSE)</f>
        <v>QCOM</v>
      </c>
      <c r="E146" t="s">
        <v>61</v>
      </c>
      <c r="F146">
        <v>217.92</v>
      </c>
      <c r="G146">
        <v>4</v>
      </c>
      <c r="H146">
        <f>IF(VLOOKUP(B146,Trades!A:N,4,FALSE)="Long",(F146-VLOOKUP(B146,Trades!A:N,6,FALSE))*G146,(VLOOKUP(B146,Trades!A:N,6,FALSE)-F146)*G146)</f>
        <v>-6.8799999999999955</v>
      </c>
      <c r="I146">
        <f>H146/VLOOKUP(B146,Trades!A$1:$N$100794,9,FALSE)</f>
        <v>-1.7199999999999989</v>
      </c>
    </row>
    <row r="147" spans="1:9" x14ac:dyDescent="0.25">
      <c r="A147">
        <f t="shared" si="9"/>
        <v>146</v>
      </c>
      <c r="B147" t="s">
        <v>311</v>
      </c>
      <c r="C147" s="1">
        <v>46150</v>
      </c>
      <c r="D147" t="str">
        <f>VLOOKUP(B147,Trades!A$1:N100939,3,FALSE)</f>
        <v>QCOM</v>
      </c>
      <c r="E147" t="s">
        <v>61</v>
      </c>
      <c r="F147">
        <v>217</v>
      </c>
      <c r="G147">
        <v>4</v>
      </c>
      <c r="H147">
        <f>IF(VLOOKUP(B147,Trades!A:N,4,FALSE)="Long",(F147-VLOOKUP(B147,Trades!A:N,6,FALSE))*G147,(VLOOKUP(B147,Trades!A:N,6,FALSE)-F147)*G147)</f>
        <v>-5.2000000000000455</v>
      </c>
      <c r="I147">
        <f>H147/VLOOKUP(B147,Trades!A$1:$N$100794,9,FALSE)</f>
        <v>-1.3000000000000114</v>
      </c>
    </row>
    <row r="148" spans="1:9" x14ac:dyDescent="0.25">
      <c r="A148">
        <f t="shared" si="9"/>
        <v>147</v>
      </c>
      <c r="B148" t="s">
        <v>312</v>
      </c>
      <c r="C148" s="1">
        <v>46150</v>
      </c>
      <c r="D148" t="str">
        <f>VLOOKUP(B148,Trades!A$1:N100940,3,FALSE)</f>
        <v>QCOM</v>
      </c>
      <c r="E148" t="s">
        <v>61</v>
      </c>
      <c r="F148">
        <v>217.8</v>
      </c>
      <c r="G148">
        <v>4</v>
      </c>
      <c r="H148">
        <f>IF(VLOOKUP(B148,Trades!A:N,4,FALSE)="Long",(F148-VLOOKUP(B148,Trades!A:N,6,FALSE))*G148,(VLOOKUP(B148,Trades!A:N,6,FALSE)-F148)*G148)</f>
        <v>-4.4799999999999045</v>
      </c>
      <c r="I148">
        <f>H148/VLOOKUP(B148,Trades!A$1:$N$100794,9,FALSE)</f>
        <v>-1.1199999999999761</v>
      </c>
    </row>
    <row r="149" spans="1:9" x14ac:dyDescent="0.25">
      <c r="A149">
        <f t="shared" ref="A149:A158" si="10">ROW()-1</f>
        <v>148</v>
      </c>
      <c r="B149" t="s">
        <v>313</v>
      </c>
      <c r="C149" s="1">
        <v>46150</v>
      </c>
      <c r="D149" t="str">
        <f>VLOOKUP(B149,Trades!A$1:N100941,3,FALSE)</f>
        <v>SMCI</v>
      </c>
      <c r="E149" t="s">
        <v>61</v>
      </c>
      <c r="F149">
        <v>34.979999999999997</v>
      </c>
      <c r="G149">
        <v>2</v>
      </c>
      <c r="H149">
        <f>IF(VLOOKUP(B149,Trades!A:N,4,FALSE)="Long",(F149-VLOOKUP(B149,Trades!A:N,6,FALSE))*G149,(VLOOKUP(B149,Trades!A:N,6,FALSE)-F149)*G149)</f>
        <v>14.819999999999993</v>
      </c>
      <c r="I149">
        <f>H149/VLOOKUP(B149,Trades!A$1:$N$100794,9,FALSE)</f>
        <v>3.7049999999999983</v>
      </c>
    </row>
    <row r="150" spans="1:9" x14ac:dyDescent="0.25">
      <c r="A150">
        <f t="shared" si="10"/>
        <v>149</v>
      </c>
      <c r="B150" t="s">
        <v>314</v>
      </c>
      <c r="C150" s="1">
        <v>46153</v>
      </c>
      <c r="D150" t="str">
        <f>VLOOKUP(B150,Trades!A$1:N100942,3,FALSE)</f>
        <v>CELH</v>
      </c>
      <c r="E150" t="s">
        <v>61</v>
      </c>
      <c r="F150">
        <v>31</v>
      </c>
      <c r="G150">
        <v>4</v>
      </c>
      <c r="H150">
        <f>IF(VLOOKUP(B150,Trades!A:N,4,FALSE)="Long",(F150-VLOOKUP(B150,Trades!A:N,6,FALSE))*G150,(VLOOKUP(B150,Trades!A:N,6,FALSE)-F150)*G150)</f>
        <v>-9.6399999999999864</v>
      </c>
      <c r="I150">
        <f>H150/VLOOKUP(B150,Trades!A$1:$N$100794,9,FALSE)</f>
        <v>-2.4099999999999966</v>
      </c>
    </row>
    <row r="151" spans="1:9" x14ac:dyDescent="0.25">
      <c r="A151">
        <f t="shared" si="10"/>
        <v>150</v>
      </c>
      <c r="B151" t="s">
        <v>315</v>
      </c>
      <c r="C151" s="1">
        <v>46153</v>
      </c>
      <c r="D151" t="str">
        <f>VLOOKUP(B151,Trades!A$1:N100943,3,FALSE)</f>
        <v>QCOM</v>
      </c>
      <c r="E151" t="s">
        <v>61</v>
      </c>
      <c r="F151">
        <v>238.64</v>
      </c>
      <c r="G151">
        <v>4</v>
      </c>
      <c r="H151">
        <f>IF(VLOOKUP(B151,Trades!A:N,4,FALSE)="Long",(F151-VLOOKUP(B151,Trades!A:N,6,FALSE))*G151,(VLOOKUP(B151,Trades!A:N,6,FALSE)-F151)*G151)</f>
        <v>26.559999999999945</v>
      </c>
      <c r="I151">
        <f>H151/VLOOKUP(B151,Trades!A$1:$N$100794,9,FALSE)</f>
        <v>6.6399999999999864</v>
      </c>
    </row>
    <row r="152" spans="1:9" x14ac:dyDescent="0.25">
      <c r="A152">
        <f t="shared" si="10"/>
        <v>151</v>
      </c>
      <c r="B152" t="s">
        <v>316</v>
      </c>
      <c r="C152" s="1">
        <v>46153</v>
      </c>
      <c r="D152" t="str">
        <f>VLOOKUP(B152,Trades!A$1:N100944,3,FALSE)</f>
        <v>QCOM</v>
      </c>
      <c r="E152" t="s">
        <v>61</v>
      </c>
      <c r="F152">
        <v>238.39</v>
      </c>
      <c r="G152">
        <v>4</v>
      </c>
      <c r="H152">
        <f>IF(VLOOKUP(B152,Trades!A:N,4,FALSE)="Long",(F152-VLOOKUP(B152,Trades!A:N,6,FALSE))*G152,(VLOOKUP(B152,Trades!A:N,6,FALSE)-F152)*G152)</f>
        <v>-8.5600000000000591</v>
      </c>
      <c r="I152">
        <f>H152/VLOOKUP(B152,Trades!A$1:$N$100794,9,FALSE)</f>
        <v>-2.1400000000000148</v>
      </c>
    </row>
    <row r="153" spans="1:9" x14ac:dyDescent="0.25">
      <c r="A153">
        <f t="shared" si="10"/>
        <v>152</v>
      </c>
      <c r="B153" t="s">
        <v>318</v>
      </c>
      <c r="C153" s="1">
        <v>46153</v>
      </c>
      <c r="D153" t="str">
        <f>VLOOKUP(B153,Trades!A$1:N100945,3,FALSE)</f>
        <v>MARA</v>
      </c>
      <c r="E153" t="s">
        <v>61</v>
      </c>
      <c r="F153">
        <v>13.07</v>
      </c>
      <c r="G153">
        <v>10</v>
      </c>
      <c r="H153">
        <f>IF(VLOOKUP(B153,Trades!A:N,4,FALSE)="Long",(F153-VLOOKUP(B153,Trades!A:N,6,FALSE))*G153,(VLOOKUP(B153,Trades!A:N,6,FALSE)-F153)*G153)</f>
        <v>5.0999999999999979</v>
      </c>
      <c r="I153">
        <f>H153/VLOOKUP(B153,Trades!A$1:$N$100794,9,FALSE)</f>
        <v>0.50999999999999979</v>
      </c>
    </row>
    <row r="154" spans="1:9" x14ac:dyDescent="0.25">
      <c r="A154">
        <f t="shared" si="10"/>
        <v>153</v>
      </c>
      <c r="B154" t="s">
        <v>319</v>
      </c>
      <c r="C154" s="1">
        <v>46153</v>
      </c>
      <c r="D154" t="str">
        <f>VLOOKUP(B154,Trades!A$1:N100946,3,FALSE)</f>
        <v>MU</v>
      </c>
      <c r="E154" t="s">
        <v>61</v>
      </c>
      <c r="F154">
        <v>774.26</v>
      </c>
      <c r="G154">
        <v>2</v>
      </c>
      <c r="H154">
        <f>IF(VLOOKUP(B154,Trades!A:N,4,FALSE)="Long",(F154-VLOOKUP(B154,Trades!A:N,6,FALSE))*G154,(VLOOKUP(B154,Trades!A:N,6,FALSE)-F154)*G154)</f>
        <v>7.9000000000000909</v>
      </c>
      <c r="I154">
        <f>H154/VLOOKUP(B154,Trades!A$1:$N$100794,9,FALSE)</f>
        <v>3.9500000000000455</v>
      </c>
    </row>
    <row r="155" spans="1:9" x14ac:dyDescent="0.25">
      <c r="A155">
        <f t="shared" si="10"/>
        <v>154</v>
      </c>
      <c r="B155" t="s">
        <v>320</v>
      </c>
      <c r="C155" s="1">
        <v>46153</v>
      </c>
      <c r="D155" t="str">
        <f>VLOOKUP(B155,Trades!A$1:N100947,3,FALSE)</f>
        <v>MU</v>
      </c>
      <c r="E155" t="s">
        <v>61</v>
      </c>
      <c r="F155">
        <v>784.03</v>
      </c>
      <c r="G155">
        <v>2</v>
      </c>
      <c r="H155">
        <f>IF(VLOOKUP(B155,Trades!A:N,4,FALSE)="Long",(F155-VLOOKUP(B155,Trades!A:N,6,FALSE))*G155,(VLOOKUP(B155,Trades!A:N,6,FALSE)-F155)*G155)</f>
        <v>-6.0800000000001546</v>
      </c>
      <c r="I155">
        <f>H155/VLOOKUP(B155,Trades!A$1:$N$100794,9,FALSE)</f>
        <v>-3.0400000000000773</v>
      </c>
    </row>
    <row r="156" spans="1:9" x14ac:dyDescent="0.25">
      <c r="A156">
        <f t="shared" si="10"/>
        <v>155</v>
      </c>
      <c r="B156" t="s">
        <v>321</v>
      </c>
      <c r="C156" s="1">
        <v>46153</v>
      </c>
      <c r="D156" t="str">
        <f>VLOOKUP(B156,Trades!A$1:N100948,3,FALSE)</f>
        <v>MRNA</v>
      </c>
      <c r="E156" t="s">
        <v>61</v>
      </c>
      <c r="F156">
        <v>55.12</v>
      </c>
      <c r="G156">
        <v>5</v>
      </c>
      <c r="H156">
        <f>IF(VLOOKUP(B156,Trades!A:N,4,FALSE)="Long",(F156-VLOOKUP(B156,Trades!A:N,6,FALSE))*G156,(VLOOKUP(B156,Trades!A:N,6,FALSE)-F156)*G156)</f>
        <v>-6.25</v>
      </c>
      <c r="I156">
        <f>H156/VLOOKUP(B156,Trades!A$1:$N$100794,9,FALSE)</f>
        <v>-1.25</v>
      </c>
    </row>
    <row r="157" spans="1:9" x14ac:dyDescent="0.25">
      <c r="A157">
        <f t="shared" si="10"/>
        <v>156</v>
      </c>
      <c r="B157" t="s">
        <v>322</v>
      </c>
      <c r="C157" s="1">
        <v>46153</v>
      </c>
      <c r="D157" t="str">
        <f>VLOOKUP(B157,Trades!A$1:N100949,3,FALSE)</f>
        <v>QCOM</v>
      </c>
      <c r="E157" t="s">
        <v>61</v>
      </c>
      <c r="F157">
        <v>231.72</v>
      </c>
      <c r="G157">
        <v>2</v>
      </c>
      <c r="H157">
        <f>IF(VLOOKUP(B157,Trades!A:N,4,FALSE)="Long",(F157-VLOOKUP(B157,Trades!A:N,6,FALSE))*G157,(VLOOKUP(B157,Trades!A:N,6,FALSE)-F157)*G157)</f>
        <v>-8.1999999999999886</v>
      </c>
      <c r="I157">
        <f>H157/VLOOKUP(B157,Trades!A$1:$N$100794,9,FALSE)</f>
        <v>-4.0999999999999943</v>
      </c>
    </row>
    <row r="158" spans="1:9" x14ac:dyDescent="0.25">
      <c r="A158">
        <f t="shared" si="10"/>
        <v>157</v>
      </c>
      <c r="B158" t="s">
        <v>324</v>
      </c>
      <c r="C158" s="1">
        <v>46153</v>
      </c>
      <c r="D158" t="str">
        <f>VLOOKUP(B158,Trades!A$1:N100950,3,FALSE)</f>
        <v>CTMX</v>
      </c>
      <c r="E158" t="s">
        <v>61</v>
      </c>
      <c r="F158">
        <v>3.84</v>
      </c>
      <c r="G158">
        <v>20</v>
      </c>
      <c r="H158">
        <f>IF(VLOOKUP(B158,Trades!A:N,4,FALSE)="Long",(F158-VLOOKUP(B158,Trades!A:N,6,FALSE))*G158,(VLOOKUP(B158,Trades!A:N,6,FALSE)-F158)*G158)</f>
        <v>-3.3999999999999986</v>
      </c>
      <c r="I158">
        <f>H158/VLOOKUP(B158,Trades!A$1:$N$100794,9,FALSE)</f>
        <v>-0.16999999999999993</v>
      </c>
    </row>
    <row r="159" spans="1:9" x14ac:dyDescent="0.25">
      <c r="A159">
        <f t="shared" ref="A159:A166" si="11">ROW()-1</f>
        <v>158</v>
      </c>
      <c r="B159" t="s">
        <v>329</v>
      </c>
      <c r="C159" s="1">
        <v>46154</v>
      </c>
      <c r="D159" t="str">
        <f>VLOOKUP(B159,Trades!A$1:N100951,3,FALSE)</f>
        <v>CSCO</v>
      </c>
      <c r="E159" t="s">
        <v>61</v>
      </c>
      <c r="F159">
        <v>98.68</v>
      </c>
      <c r="G159">
        <v>4</v>
      </c>
      <c r="H159">
        <f>IF(VLOOKUP(B159,Trades!A:N,4,FALSE)="Long",(F159-VLOOKUP(B159,Trades!A:N,6,FALSE))*G159,(VLOOKUP(B159,Trades!A:N,6,FALSE)-F159)*G159)</f>
        <v>-4.0399999999999636</v>
      </c>
      <c r="I159">
        <f>H159/VLOOKUP(B159,Trades!A$1:$N$100794,9,FALSE)</f>
        <v>-1.0099999999999909</v>
      </c>
    </row>
    <row r="160" spans="1:9" x14ac:dyDescent="0.25">
      <c r="A160">
        <f t="shared" si="11"/>
        <v>159</v>
      </c>
      <c r="B160" t="s">
        <v>331</v>
      </c>
      <c r="C160" s="1">
        <v>46154</v>
      </c>
      <c r="D160" t="str">
        <f>VLOOKUP(B160,Trades!A$1:N100952,3,FALSE)</f>
        <v>ZBRA</v>
      </c>
      <c r="E160" t="s">
        <v>61</v>
      </c>
      <c r="F160">
        <v>243.59</v>
      </c>
      <c r="G160">
        <v>4</v>
      </c>
      <c r="H160">
        <f>IF(VLOOKUP(B160,Trades!A:N,4,FALSE)="Long",(F160-VLOOKUP(B160,Trades!A:N,6,FALSE))*G160,(VLOOKUP(B160,Trades!A:N,6,FALSE)-F160)*G160)</f>
        <v>-7.6399999999999864</v>
      </c>
      <c r="I160">
        <f>H160/VLOOKUP(B160,Trades!A$1:$N$100794,9,FALSE)</f>
        <v>-1.9099999999999966</v>
      </c>
    </row>
    <row r="161" spans="1:9" x14ac:dyDescent="0.25">
      <c r="A161">
        <f t="shared" si="11"/>
        <v>160</v>
      </c>
      <c r="B161" t="s">
        <v>330</v>
      </c>
      <c r="C161" s="1">
        <v>46154</v>
      </c>
      <c r="D161" t="str">
        <f>VLOOKUP(B161,Trades!A$1:N100953,3,FALSE)</f>
        <v>QUBT</v>
      </c>
      <c r="E161" t="s">
        <v>61</v>
      </c>
      <c r="F161">
        <v>12.64</v>
      </c>
      <c r="G161">
        <v>20</v>
      </c>
      <c r="H161">
        <f>IF(VLOOKUP(B161,Trades!A:N,4,FALSE)="Long",(F161-VLOOKUP(B161,Trades!A:N,6,FALSE))*G161,(VLOOKUP(B161,Trades!A:N,6,FALSE)-F161)*G161)</f>
        <v>-1.6000000000000014</v>
      </c>
      <c r="I161">
        <f>H161/VLOOKUP(B161,Trades!A$1:$N$100794,9,FALSE)</f>
        <v>-8.0000000000000071E-2</v>
      </c>
    </row>
    <row r="162" spans="1:9" x14ac:dyDescent="0.25">
      <c r="A162">
        <f t="shared" si="11"/>
        <v>161</v>
      </c>
      <c r="B162" t="s">
        <v>332</v>
      </c>
      <c r="C162" s="1">
        <v>46154</v>
      </c>
      <c r="D162" t="str">
        <f>VLOOKUP(B162,Trades!A$1:N100954,3,FALSE)</f>
        <v>MU</v>
      </c>
      <c r="E162" t="s">
        <v>61</v>
      </c>
      <c r="F162">
        <v>767.62</v>
      </c>
      <c r="G162">
        <v>2</v>
      </c>
      <c r="H162">
        <f>IF(VLOOKUP(B162,Trades!A:N,4,FALSE)="Long",(F162-VLOOKUP(B162,Trades!A:N,6,FALSE))*G162,(VLOOKUP(B162,Trades!A:N,6,FALSE)-F162)*G162)</f>
        <v>-11.740000000000009</v>
      </c>
      <c r="I162">
        <f>H162/VLOOKUP(B162,Trades!A$1:$N$100794,9,FALSE)</f>
        <v>-5.8700000000000045</v>
      </c>
    </row>
    <row r="163" spans="1:9" x14ac:dyDescent="0.25">
      <c r="A163">
        <f t="shared" si="11"/>
        <v>162</v>
      </c>
      <c r="B163" t="s">
        <v>333</v>
      </c>
      <c r="C163" s="1">
        <v>46154</v>
      </c>
      <c r="D163" t="str">
        <f>VLOOKUP(B163,Trades!A$1:N100955,3,FALSE)</f>
        <v>MU</v>
      </c>
      <c r="E163" t="s">
        <v>61</v>
      </c>
      <c r="F163">
        <v>760.75</v>
      </c>
      <c r="G163">
        <v>2</v>
      </c>
      <c r="H163">
        <f>IF(VLOOKUP(B163,Trades!A:N,4,FALSE)="Long",(F163-VLOOKUP(B163,Trades!A:N,6,FALSE))*G163,(VLOOKUP(B163,Trades!A:N,6,FALSE)-F163)*G163)</f>
        <v>-8.2400000000000091</v>
      </c>
      <c r="I163">
        <f>H163/VLOOKUP(B163,Trades!A$1:$N$100794,9,FALSE)</f>
        <v>-4.1200000000000045</v>
      </c>
    </row>
    <row r="164" spans="1:9" x14ac:dyDescent="0.25">
      <c r="A164">
        <f t="shared" si="11"/>
        <v>163</v>
      </c>
      <c r="B164" t="s">
        <v>334</v>
      </c>
      <c r="C164" s="1">
        <v>46154</v>
      </c>
      <c r="D164" t="str">
        <f>VLOOKUP(B164,Trades!A$1:N100956,3,FALSE)</f>
        <v>MU</v>
      </c>
      <c r="E164" t="s">
        <v>61</v>
      </c>
      <c r="F164">
        <v>758.2</v>
      </c>
      <c r="G164">
        <v>2</v>
      </c>
      <c r="H164">
        <f>IF(VLOOKUP(B164,Trades!A:N,4,FALSE)="Long",(F164-VLOOKUP(B164,Trades!A:N,6,FALSE))*G164,(VLOOKUP(B164,Trades!A:N,6,FALSE)-F164)*G164)</f>
        <v>-14</v>
      </c>
      <c r="I164">
        <f>H164/VLOOKUP(B164,Trades!A$1:$N$100794,9,FALSE)</f>
        <v>-7</v>
      </c>
    </row>
    <row r="165" spans="1:9" x14ac:dyDescent="0.25">
      <c r="A165">
        <f t="shared" si="11"/>
        <v>164</v>
      </c>
      <c r="B165" t="s">
        <v>335</v>
      </c>
      <c r="C165" s="1">
        <v>46154</v>
      </c>
      <c r="D165" t="str">
        <f>VLOOKUP(B165,Trades!A$1:N100957,3,FALSE)</f>
        <v>ZBRA</v>
      </c>
      <c r="E165" t="s">
        <v>61</v>
      </c>
      <c r="F165">
        <v>258.69</v>
      </c>
      <c r="G165">
        <v>4</v>
      </c>
      <c r="H165">
        <f>IF(VLOOKUP(B165,Trades!A:N,4,FALSE)="Long",(F165-VLOOKUP(B165,Trades!A:N,6,FALSE))*G165,(VLOOKUP(B165,Trades!A:N,6,FALSE)-F165)*G165)</f>
        <v>52.840000000000032</v>
      </c>
      <c r="I165">
        <f>H165/VLOOKUP(B165,Trades!A$1:$N$100794,9,FALSE)</f>
        <v>13.210000000000008</v>
      </c>
    </row>
    <row r="166" spans="1:9" x14ac:dyDescent="0.25">
      <c r="A166">
        <f t="shared" si="11"/>
        <v>165</v>
      </c>
      <c r="B166" t="s">
        <v>336</v>
      </c>
      <c r="C166" s="1">
        <v>46154</v>
      </c>
      <c r="D166" t="str">
        <f>VLOOKUP(B166,Trades!A$1:N100958,3,FALSE)</f>
        <v>VIPS</v>
      </c>
      <c r="E166" t="s">
        <v>61</v>
      </c>
      <c r="F166">
        <v>14.24</v>
      </c>
      <c r="G166">
        <v>10</v>
      </c>
      <c r="H166">
        <f>IF(VLOOKUP(B166,Trades!A:N,4,FALSE)="Long",(F166-VLOOKUP(B166,Trades!A:N,6,FALSE))*G166,(VLOOKUP(B166,Trades!A:N,6,FALSE)-F166)*G166)</f>
        <v>-4.0000000000000036</v>
      </c>
      <c r="I166">
        <f>H166/VLOOKUP(B166,Trades!A$1:$N$100794,9,FALSE)</f>
        <v>-0.40000000000000036</v>
      </c>
    </row>
    <row r="167" spans="1:9" x14ac:dyDescent="0.25">
      <c r="A167">
        <f t="shared" ref="A167:A174" si="12">ROW()-1</f>
        <v>166</v>
      </c>
      <c r="B167" t="s">
        <v>337</v>
      </c>
      <c r="C167" s="1">
        <v>46155</v>
      </c>
      <c r="D167" t="str">
        <f>VLOOKUP(B167,Trades!A$1:N100959,3,FALSE)</f>
        <v>PATH</v>
      </c>
      <c r="E167" t="s">
        <v>61</v>
      </c>
      <c r="F167">
        <v>9.83</v>
      </c>
      <c r="G167">
        <v>10</v>
      </c>
      <c r="H167">
        <f>IF(VLOOKUP(B167,Trades!A:N,4,FALSE)="Long",(F167-VLOOKUP(B167,Trades!A:N,6,FALSE))*G167,(VLOOKUP(B167,Trades!A:N,6,FALSE)-F167)*G167)</f>
        <v>-4.9000000000000021</v>
      </c>
      <c r="I167">
        <f>H167/VLOOKUP(B167,Trades!A$1:$N$100794,9,FALSE)</f>
        <v>-0.49000000000000021</v>
      </c>
    </row>
    <row r="168" spans="1:9" x14ac:dyDescent="0.25">
      <c r="A168">
        <f t="shared" si="12"/>
        <v>167</v>
      </c>
      <c r="B168" t="s">
        <v>338</v>
      </c>
      <c r="C168" s="1">
        <v>46155</v>
      </c>
      <c r="D168" t="str">
        <f>VLOOKUP(B168,Trades!A$1:N100960,3,FALSE)</f>
        <v>MU</v>
      </c>
      <c r="E168" t="s">
        <v>61</v>
      </c>
      <c r="F168">
        <v>802</v>
      </c>
      <c r="G168">
        <v>2</v>
      </c>
      <c r="H168">
        <f>IF(VLOOKUP(B168,Trades!A:N,4,FALSE)="Long",(F168-VLOOKUP(B168,Trades!A:N,6,FALSE))*G168,(VLOOKUP(B168,Trades!A:N,6,FALSE)-F168)*G168)</f>
        <v>-6</v>
      </c>
      <c r="I168">
        <f>H168/VLOOKUP(B168,Trades!A$1:$N$100794,9,FALSE)</f>
        <v>-3</v>
      </c>
    </row>
    <row r="169" spans="1:9" x14ac:dyDescent="0.25">
      <c r="A169">
        <f t="shared" si="12"/>
        <v>168</v>
      </c>
      <c r="B169" t="s">
        <v>339</v>
      </c>
      <c r="C169" s="1">
        <v>46155</v>
      </c>
      <c r="D169" t="str">
        <f>VLOOKUP(B169,Trades!A$1:N100961,3,FALSE)</f>
        <v>NVDA</v>
      </c>
      <c r="E169" t="s">
        <v>61</v>
      </c>
      <c r="F169">
        <v>223.84</v>
      </c>
      <c r="G169">
        <v>4</v>
      </c>
      <c r="H169">
        <f>IF(VLOOKUP(B169,Trades!A:N,4,FALSE)="Long",(F169-VLOOKUP(B169,Trades!A:N,6,FALSE))*G169,(VLOOKUP(B169,Trades!A:N,6,FALSE)-F169)*G169)</f>
        <v>-4</v>
      </c>
      <c r="I169">
        <f>H169/VLOOKUP(B169,Trades!A$1:$N$100794,9,FALSE)</f>
        <v>-1</v>
      </c>
    </row>
    <row r="170" spans="1:9" x14ac:dyDescent="0.25">
      <c r="A170">
        <f t="shared" si="12"/>
        <v>169</v>
      </c>
      <c r="B170" t="s">
        <v>340</v>
      </c>
      <c r="C170" s="1">
        <v>46155</v>
      </c>
      <c r="D170" t="str">
        <f>VLOOKUP(B170,Trades!A$1:N100962,3,FALSE)</f>
        <v>QUBT</v>
      </c>
      <c r="E170" t="s">
        <v>61</v>
      </c>
      <c r="F170">
        <v>11.08</v>
      </c>
      <c r="G170">
        <v>8</v>
      </c>
      <c r="H170">
        <f>IF(VLOOKUP(B170,Trades!A:N,4,FALSE)="Long",(F170-VLOOKUP(B170,Trades!A:N,6,FALSE))*G170,(VLOOKUP(B170,Trades!A:N,6,FALSE)-F170)*G170)</f>
        <v>-4.1599999999999966</v>
      </c>
      <c r="I170">
        <f>H170/VLOOKUP(B170,Trades!A$1:$N$100794,9,FALSE)</f>
        <v>-0.51999999999999957</v>
      </c>
    </row>
    <row r="171" spans="1:9" x14ac:dyDescent="0.25">
      <c r="A171">
        <f t="shared" si="12"/>
        <v>170</v>
      </c>
      <c r="B171" t="s">
        <v>342</v>
      </c>
      <c r="C171" s="1">
        <v>46155</v>
      </c>
      <c r="D171" t="str">
        <f>VLOOKUP(B171,Trades!A$1:N100963,3,FALSE)</f>
        <v>TXN</v>
      </c>
      <c r="E171" t="s">
        <v>61</v>
      </c>
      <c r="F171">
        <v>308.42</v>
      </c>
      <c r="G171">
        <v>3</v>
      </c>
      <c r="H171">
        <f>IF(VLOOKUP(B171,Trades!A:N,4,FALSE)="Long",(F171-VLOOKUP(B171,Trades!A:N,6,FALSE))*G171,(VLOOKUP(B171,Trades!A:N,6,FALSE)-F171)*G171)</f>
        <v>8.310000000000116</v>
      </c>
      <c r="I171">
        <f>H171/VLOOKUP(B171,Trades!A$1:$N$100794,9,FALSE)</f>
        <v>2.7700000000000387</v>
      </c>
    </row>
    <row r="172" spans="1:9" x14ac:dyDescent="0.25">
      <c r="A172">
        <f t="shared" si="12"/>
        <v>171</v>
      </c>
      <c r="B172" t="s">
        <v>343</v>
      </c>
      <c r="C172" s="1">
        <v>46155</v>
      </c>
      <c r="D172" t="str">
        <f>VLOOKUP(B172,Trades!A$1:N100964,3,FALSE)</f>
        <v>RKT</v>
      </c>
      <c r="E172" t="s">
        <v>61</v>
      </c>
      <c r="F172">
        <v>13.88</v>
      </c>
      <c r="G172">
        <v>6</v>
      </c>
      <c r="H172">
        <f>IF(VLOOKUP(B172,Trades!A:N,4,FALSE)="Long",(F172-VLOOKUP(B172,Trades!A:N,6,FALSE))*G172,(VLOOKUP(B172,Trades!A:N,6,FALSE)-F172)*G172)</f>
        <v>-4.9800000000000004</v>
      </c>
      <c r="I172">
        <f>H172/VLOOKUP(B172,Trades!A$1:$N$100794,9,FALSE)</f>
        <v>-0.83000000000000007</v>
      </c>
    </row>
    <row r="173" spans="1:9" x14ac:dyDescent="0.25">
      <c r="A173">
        <f t="shared" si="12"/>
        <v>172</v>
      </c>
      <c r="B173" t="s">
        <v>344</v>
      </c>
      <c r="C173" s="1">
        <v>46155</v>
      </c>
      <c r="D173" t="str">
        <f>VLOOKUP(B173,Trades!A$1:N100965,3,FALSE)</f>
        <v>MU</v>
      </c>
      <c r="E173" t="s">
        <v>61</v>
      </c>
      <c r="F173">
        <v>809.41</v>
      </c>
      <c r="G173">
        <v>3</v>
      </c>
      <c r="H173">
        <f>IF(VLOOKUP(B173,Trades!A:N,4,FALSE)="Long",(F173-VLOOKUP(B173,Trades!A:N,6,FALSE))*G173,(VLOOKUP(B173,Trades!A:N,6,FALSE)-F173)*G173)</f>
        <v>32.550000000000068</v>
      </c>
      <c r="I173">
        <f>H173/VLOOKUP(B173,Trades!A$1:$N$100794,9,FALSE)</f>
        <v>8.1375000000000171</v>
      </c>
    </row>
    <row r="174" spans="1:9" x14ac:dyDescent="0.25">
      <c r="A174">
        <f t="shared" si="12"/>
        <v>173</v>
      </c>
      <c r="B174" t="s">
        <v>344</v>
      </c>
      <c r="C174" s="1">
        <v>46155</v>
      </c>
      <c r="D174" t="str">
        <f>VLOOKUP(B174,Trades!A$1:N100966,3,FALSE)</f>
        <v>MU</v>
      </c>
      <c r="E174" t="s">
        <v>61</v>
      </c>
      <c r="F174">
        <v>806.88</v>
      </c>
      <c r="G174">
        <v>1</v>
      </c>
      <c r="H174">
        <f>IF(VLOOKUP(B174,Trades!A:N,4,FALSE)="Long",(F174-VLOOKUP(B174,Trades!A:N,6,FALSE))*G174,(VLOOKUP(B174,Trades!A:N,6,FALSE)-F174)*G174)</f>
        <v>8.32000000000005</v>
      </c>
      <c r="I174">
        <f>H174/VLOOKUP(B174,Trades!A$1:$N$100794,9,FALSE)</f>
        <v>2.0800000000000125</v>
      </c>
    </row>
    <row r="175" spans="1:9" x14ac:dyDescent="0.25">
      <c r="A175">
        <f t="shared" ref="A175:A181" si="13">ROW()-1</f>
        <v>174</v>
      </c>
      <c r="B175" t="s">
        <v>346</v>
      </c>
      <c r="C175" s="1">
        <v>46156</v>
      </c>
      <c r="D175" t="str">
        <f>VLOOKUP(B175,Trades!A$1:N100967,3,FALSE)</f>
        <v>MU</v>
      </c>
      <c r="E175" t="s">
        <v>61</v>
      </c>
      <c r="F175">
        <v>786.5</v>
      </c>
      <c r="G175">
        <v>2</v>
      </c>
      <c r="H175">
        <f>IF(VLOOKUP(B175,Trades!A:N,4,FALSE)="Long",(F175-VLOOKUP(B175,Trades!A:N,6,FALSE))*G175,(VLOOKUP(B175,Trades!A:N,6,FALSE)-F175)*G175)</f>
        <v>-2.4400000000000546</v>
      </c>
      <c r="I175">
        <f>H175/VLOOKUP(B175,Trades!A$1:$N$100794,9,FALSE)</f>
        <v>-1.2200000000000273</v>
      </c>
    </row>
    <row r="176" spans="1:9" x14ac:dyDescent="0.25">
      <c r="A176">
        <f t="shared" si="13"/>
        <v>175</v>
      </c>
      <c r="B176" t="s">
        <v>347</v>
      </c>
      <c r="C176" s="1">
        <v>46156</v>
      </c>
      <c r="D176" t="str">
        <f>VLOOKUP(B176,Trades!A$1:N100968,3,FALSE)</f>
        <v>ON</v>
      </c>
      <c r="E176" t="s">
        <v>61</v>
      </c>
      <c r="F176">
        <v>113.34</v>
      </c>
      <c r="G176">
        <v>3</v>
      </c>
      <c r="H176">
        <f>IF(VLOOKUP(B176,Trades!A:N,4,FALSE)="Long",(F176-VLOOKUP(B176,Trades!A:N,6,FALSE))*G176,(VLOOKUP(B176,Trades!A:N,6,FALSE)-F176)*G176)</f>
        <v>-4.9799999999999898</v>
      </c>
      <c r="I176">
        <f>H176/VLOOKUP(B176,Trades!A$1:$N$100794,9,FALSE)</f>
        <v>-1.6599999999999966</v>
      </c>
    </row>
    <row r="177" spans="1:9" x14ac:dyDescent="0.25">
      <c r="A177">
        <f t="shared" si="13"/>
        <v>176</v>
      </c>
      <c r="B177" t="s">
        <v>349</v>
      </c>
      <c r="C177" s="1">
        <v>46156</v>
      </c>
      <c r="D177" t="str">
        <f>VLOOKUP(B177,Trades!A$1:N100969,3,FALSE)</f>
        <v>MU</v>
      </c>
      <c r="E177" t="s">
        <v>61</v>
      </c>
      <c r="F177">
        <v>801.79</v>
      </c>
      <c r="G177">
        <v>2</v>
      </c>
      <c r="H177">
        <f>IF(VLOOKUP(B177,Trades!A:N,4,FALSE)="Long",(F177-VLOOKUP(B177,Trades!A:N,6,FALSE))*G177,(VLOOKUP(B177,Trades!A:N,6,FALSE)-F177)*G177)</f>
        <v>-4</v>
      </c>
      <c r="I177">
        <f>H177/VLOOKUP(B177,Trades!A$1:$N$100794,9,FALSE)</f>
        <v>-2</v>
      </c>
    </row>
    <row r="178" spans="1:9" x14ac:dyDescent="0.25">
      <c r="A178">
        <f t="shared" si="13"/>
        <v>177</v>
      </c>
      <c r="B178" t="s">
        <v>350</v>
      </c>
      <c r="C178" s="1">
        <v>46156</v>
      </c>
      <c r="D178" t="str">
        <f>VLOOKUP(B178,Trades!A$1:N100970,3,FALSE)</f>
        <v>GOOG</v>
      </c>
      <c r="E178" t="s">
        <v>61</v>
      </c>
      <c r="F178">
        <v>393.59</v>
      </c>
      <c r="G178">
        <v>3</v>
      </c>
      <c r="H178">
        <f>IF(VLOOKUP(B178,Trades!A:N,4,FALSE)="Long",(F178-VLOOKUP(B178,Trades!A:N,6,FALSE))*G178,(VLOOKUP(B178,Trades!A:N,6,FALSE)-F178)*G178)</f>
        <v>-3.0900000000000887</v>
      </c>
      <c r="I178">
        <f>H178/VLOOKUP(B178,Trades!A$1:$N$100794,9,FALSE)</f>
        <v>-1.0300000000000296</v>
      </c>
    </row>
    <row r="179" spans="1:9" x14ac:dyDescent="0.25">
      <c r="A179">
        <f t="shared" si="13"/>
        <v>178</v>
      </c>
      <c r="B179" t="s">
        <v>351</v>
      </c>
      <c r="C179" s="1">
        <v>46156</v>
      </c>
      <c r="D179" t="str">
        <f>VLOOKUP(B179,Trades!A$1:N100971,3,FALSE)</f>
        <v>MU</v>
      </c>
      <c r="E179" t="s">
        <v>61</v>
      </c>
      <c r="F179">
        <v>783.41</v>
      </c>
      <c r="G179">
        <v>2</v>
      </c>
      <c r="H179">
        <f>IF(VLOOKUP(B179,Trades!A:N,4,FALSE)="Long",(F179-VLOOKUP(B179,Trades!A:N,6,FALSE))*G179,(VLOOKUP(B179,Trades!A:N,6,FALSE)-F179)*G179)</f>
        <v>-10.680000000000064</v>
      </c>
      <c r="I179">
        <f>H179/VLOOKUP(B179,Trades!A$1:$N$100794,9,FALSE)</f>
        <v>-5.3400000000000318</v>
      </c>
    </row>
    <row r="180" spans="1:9" x14ac:dyDescent="0.25">
      <c r="A180">
        <f t="shared" si="13"/>
        <v>179</v>
      </c>
      <c r="B180" t="s">
        <v>352</v>
      </c>
      <c r="C180" s="1">
        <v>46156</v>
      </c>
      <c r="D180" t="str">
        <f>VLOOKUP(B180,Trades!A$1:N100972,3,FALSE)</f>
        <v>NVDA</v>
      </c>
      <c r="E180" t="s">
        <v>61</v>
      </c>
      <c r="F180">
        <v>235.06</v>
      </c>
      <c r="G180">
        <v>4</v>
      </c>
      <c r="H180">
        <f>IF(VLOOKUP(B180,Trades!A:N,4,FALSE)="Long",(F180-VLOOKUP(B180,Trades!A:N,6,FALSE))*G180,(VLOOKUP(B180,Trades!A:N,6,FALSE)-F180)*G180)</f>
        <v>20.240000000000009</v>
      </c>
      <c r="I180">
        <f>H180/VLOOKUP(B180,Trades!A$1:$N$100794,9,FALSE)</f>
        <v>5.0600000000000023</v>
      </c>
    </row>
    <row r="181" spans="1:9" x14ac:dyDescent="0.25">
      <c r="A181">
        <f t="shared" si="13"/>
        <v>180</v>
      </c>
      <c r="B181" t="s">
        <v>353</v>
      </c>
      <c r="C181" s="1">
        <v>46156</v>
      </c>
      <c r="D181" t="str">
        <f>VLOOKUP(B181,Trades!A$1:N100973,3,FALSE)</f>
        <v>MU</v>
      </c>
      <c r="E181" t="s">
        <v>61</v>
      </c>
      <c r="F181">
        <v>787.2</v>
      </c>
      <c r="G181">
        <v>2</v>
      </c>
      <c r="H181">
        <f>IF(VLOOKUP(B181,Trades!A:N,4,FALSE)="Long",(F181-VLOOKUP(B181,Trades!A:N,6,FALSE))*G181,(VLOOKUP(B181,Trades!A:N,6,FALSE)-F181)*G181)</f>
        <v>-8</v>
      </c>
      <c r="I181">
        <f>H181/VLOOKUP(B181,Trades!A$1:$N$100794,9,FALSE)</f>
        <v>-4</v>
      </c>
    </row>
    <row r="182" spans="1:9" x14ac:dyDescent="0.25">
      <c r="A182">
        <f t="shared" ref="A182:A192" si="14">ROW()-1</f>
        <v>181</v>
      </c>
      <c r="B182" t="s">
        <v>354</v>
      </c>
      <c r="C182" s="1">
        <v>46157</v>
      </c>
      <c r="D182" t="str">
        <f>VLOOKUP(B182,Trades!A$1:N100974,3,FALSE)</f>
        <v>ASM</v>
      </c>
      <c r="E182" t="s">
        <v>61</v>
      </c>
      <c r="F182">
        <v>7.02</v>
      </c>
      <c r="G182">
        <v>14</v>
      </c>
      <c r="H182">
        <f>IF(VLOOKUP(B182,Trades!A:N,4,FALSE)="Long",(F182-VLOOKUP(B182,Trades!A:N,6,FALSE))*G182,(VLOOKUP(B182,Trades!A:N,6,FALSE)-F182)*G182)</f>
        <v>8.1199999999999886</v>
      </c>
      <c r="I182">
        <f>H182/VLOOKUP(B182,Trades!A$1:$N$100794,9,FALSE)</f>
        <v>0.57999999999999918</v>
      </c>
    </row>
    <row r="183" spans="1:9" x14ac:dyDescent="0.25">
      <c r="A183">
        <f t="shared" si="14"/>
        <v>182</v>
      </c>
      <c r="B183" t="s">
        <v>222</v>
      </c>
      <c r="C183" s="1">
        <v>46157</v>
      </c>
      <c r="D183" t="str">
        <f>VLOOKUP(B183,Trades!A$1:N100975,3,FALSE)</f>
        <v>INTC</v>
      </c>
      <c r="E183" t="s">
        <v>61</v>
      </c>
      <c r="F183">
        <v>108.04</v>
      </c>
      <c r="G183">
        <v>1</v>
      </c>
      <c r="H183">
        <f>IF(VLOOKUP(B183,Trades!A:N,4,FALSE)="Long",(F183-VLOOKUP(B183,Trades!A:N,6,FALSE))*G183,(VLOOKUP(B183,Trades!A:N,6,FALSE)-F183)*G183)</f>
        <v>41.03</v>
      </c>
      <c r="I183">
        <f>H183/VLOOKUP(B183,Trades!A$1:$N$100794,9,FALSE)</f>
        <v>13.676666666666668</v>
      </c>
    </row>
    <row r="184" spans="1:9" x14ac:dyDescent="0.25">
      <c r="A184">
        <f t="shared" si="14"/>
        <v>183</v>
      </c>
      <c r="B184" t="s">
        <v>355</v>
      </c>
      <c r="C184" s="1">
        <v>46157</v>
      </c>
      <c r="D184" t="str">
        <f>VLOOKUP(B184,Trades!A$1:N100976,3,FALSE)</f>
        <v>NG</v>
      </c>
      <c r="E184" t="s">
        <v>61</v>
      </c>
      <c r="F184">
        <v>8.1999999999999993</v>
      </c>
      <c r="G184">
        <v>10</v>
      </c>
      <c r="H184">
        <f>IF(VLOOKUP(B184,Trades!A:N,4,FALSE)="Long",(F184-VLOOKUP(B184,Trades!A:N,6,FALSE))*G184,(VLOOKUP(B184,Trades!A:N,6,FALSE)-F184)*G184)</f>
        <v>3.3999999999999897</v>
      </c>
      <c r="I184">
        <f>H184/VLOOKUP(B184,Trades!A$1:$N$100794,9,FALSE)</f>
        <v>0.33999999999999897</v>
      </c>
    </row>
    <row r="185" spans="1:9" x14ac:dyDescent="0.25">
      <c r="A185">
        <f t="shared" si="14"/>
        <v>184</v>
      </c>
      <c r="B185" t="s">
        <v>313</v>
      </c>
      <c r="C185" s="1">
        <v>46157</v>
      </c>
      <c r="D185" t="str">
        <f>VLOOKUP(B185,Trades!A$1:N100977,3,FALSE)</f>
        <v>SMCI</v>
      </c>
      <c r="E185" t="s">
        <v>61</v>
      </c>
      <c r="F185">
        <v>30.92</v>
      </c>
      <c r="G185">
        <v>2</v>
      </c>
      <c r="H185">
        <f>IF(VLOOKUP(B185,Trades!A:N,4,FALSE)="Long",(F185-VLOOKUP(B185,Trades!A:N,6,FALSE))*G185,(VLOOKUP(B185,Trades!A:N,6,FALSE)-F185)*G185)</f>
        <v>6.7000000000000028</v>
      </c>
      <c r="I185">
        <f>H185/VLOOKUP(B185,Trades!A$1:$N$100794,9,FALSE)</f>
        <v>1.6750000000000007</v>
      </c>
    </row>
    <row r="186" spans="1:9" x14ac:dyDescent="0.25">
      <c r="A186">
        <f t="shared" si="14"/>
        <v>185</v>
      </c>
      <c r="B186" t="s">
        <v>356</v>
      </c>
      <c r="C186" s="1">
        <v>46157</v>
      </c>
      <c r="D186" t="str">
        <f>VLOOKUP(B186,Trades!A$1:N100978,3,FALSE)</f>
        <v>MU</v>
      </c>
      <c r="E186" t="s">
        <v>61</v>
      </c>
      <c r="F186">
        <v>725.34</v>
      </c>
      <c r="G186">
        <v>2</v>
      </c>
      <c r="H186">
        <f>IF(VLOOKUP(B186,Trades!A:N,4,FALSE)="Long",(F186-VLOOKUP(B186,Trades!A:N,6,FALSE))*G186,(VLOOKUP(B186,Trades!A:N,6,FALSE)-F186)*G186)</f>
        <v>-5.5399999999999636</v>
      </c>
      <c r="I186">
        <f>H186/VLOOKUP(B186,Trades!A$1:$N$100794,9,FALSE)</f>
        <v>-2.7699999999999818</v>
      </c>
    </row>
    <row r="187" spans="1:9" x14ac:dyDescent="0.25">
      <c r="A187">
        <f t="shared" si="14"/>
        <v>186</v>
      </c>
      <c r="B187" t="s">
        <v>357</v>
      </c>
      <c r="C187" s="1">
        <v>46157</v>
      </c>
      <c r="D187" t="str">
        <f>VLOOKUP(B187,Trades!A$1:N100979,3,FALSE)</f>
        <v>MU</v>
      </c>
      <c r="E187" t="s">
        <v>61</v>
      </c>
      <c r="F187">
        <v>721.55</v>
      </c>
      <c r="G187">
        <v>2</v>
      </c>
      <c r="H187">
        <f>IF(VLOOKUP(B187,Trades!A:N,4,FALSE)="Long",(F187-VLOOKUP(B187,Trades!A:N,6,FALSE))*G187,(VLOOKUP(B187,Trades!A:N,6,FALSE)-F187)*G187)</f>
        <v>-3.9400000000000546</v>
      </c>
      <c r="I187">
        <f>H187/VLOOKUP(B187,Trades!A$1:$N$100794,9,FALSE)</f>
        <v>-1.9700000000000273</v>
      </c>
    </row>
    <row r="188" spans="1:9" x14ac:dyDescent="0.25">
      <c r="A188">
        <f t="shared" si="14"/>
        <v>187</v>
      </c>
      <c r="B188" t="s">
        <v>358</v>
      </c>
      <c r="C188" s="1">
        <v>46157</v>
      </c>
      <c r="D188" t="str">
        <f>VLOOKUP(B188,Trades!A$1:N100980,3,FALSE)</f>
        <v>RTX</v>
      </c>
      <c r="E188" t="s">
        <v>61</v>
      </c>
      <c r="F188">
        <v>174.32</v>
      </c>
      <c r="G188">
        <v>2</v>
      </c>
      <c r="H188">
        <f>IF(VLOOKUP(B188,Trades!A:N,4,FALSE)="Long",(F188-VLOOKUP(B188,Trades!A:N,6,FALSE))*G188,(VLOOKUP(B188,Trades!A:N,6,FALSE)-F188)*G188)</f>
        <v>-8.1800000000000068</v>
      </c>
      <c r="I188">
        <f>H188/VLOOKUP(B188,Trades!A$1:$N$100794,9,FALSE)</f>
        <v>-4.0900000000000034</v>
      </c>
    </row>
    <row r="189" spans="1:9" x14ac:dyDescent="0.25">
      <c r="A189">
        <f t="shared" si="14"/>
        <v>188</v>
      </c>
      <c r="B189" t="s">
        <v>360</v>
      </c>
      <c r="C189" s="1">
        <v>46157</v>
      </c>
      <c r="D189" t="str">
        <f>VLOOKUP(B189,Trades!A$1:N100981,3,FALSE)</f>
        <v>MSFT</v>
      </c>
      <c r="E189" t="s">
        <v>61</v>
      </c>
      <c r="F189">
        <v>421.83</v>
      </c>
      <c r="G189">
        <v>3</v>
      </c>
      <c r="H189">
        <f>IF(VLOOKUP(B189,Trades!A:N,4,FALSE)="Long",(F189-VLOOKUP(B189,Trades!A:N,6,FALSE))*G189,(VLOOKUP(B189,Trades!A:N,6,FALSE)-F189)*G189)</f>
        <v>-4.7400000000001228</v>
      </c>
      <c r="I189">
        <f>H189/VLOOKUP(B189,Trades!A$1:$N$100794,9,FALSE)</f>
        <v>-1.5800000000000409</v>
      </c>
    </row>
    <row r="190" spans="1:9" x14ac:dyDescent="0.25">
      <c r="A190">
        <f t="shared" si="14"/>
        <v>189</v>
      </c>
      <c r="B190" t="s">
        <v>361</v>
      </c>
      <c r="C190" s="1">
        <v>46157</v>
      </c>
      <c r="D190" t="str">
        <f>VLOOKUP(B190,Trades!A$1:N100982,3,FALSE)</f>
        <v>NFLX</v>
      </c>
      <c r="E190" t="s">
        <v>61</v>
      </c>
      <c r="F190">
        <v>86.98</v>
      </c>
      <c r="G190">
        <v>10</v>
      </c>
      <c r="H190">
        <f>IF(VLOOKUP(B190,Trades!A:N,4,FALSE)="Long",(F190-VLOOKUP(B190,Trades!A:N,6,FALSE))*G190,(VLOOKUP(B190,Trades!A:N,6,FALSE)-F190)*G190)</f>
        <v>-4.7999999999998977</v>
      </c>
      <c r="I190">
        <f>H190/VLOOKUP(B190,Trades!A$1:$N$100794,9,FALSE)</f>
        <v>-0.47999999999998977</v>
      </c>
    </row>
    <row r="191" spans="1:9" x14ac:dyDescent="0.25">
      <c r="A191">
        <f t="shared" si="14"/>
        <v>190</v>
      </c>
      <c r="B191" t="s">
        <v>362</v>
      </c>
      <c r="C191" s="1">
        <v>46157</v>
      </c>
      <c r="D191" t="str">
        <f>VLOOKUP(B191,Trades!A$1:N100983,3,FALSE)</f>
        <v>WMT</v>
      </c>
      <c r="E191" t="s">
        <v>61</v>
      </c>
      <c r="F191">
        <v>131.13</v>
      </c>
      <c r="G191">
        <v>4</v>
      </c>
      <c r="H191">
        <f>IF(VLOOKUP(B191,Trades!A:N,4,FALSE)="Long",(F191-VLOOKUP(B191,Trades!A:N,6,FALSE))*G191,(VLOOKUP(B191,Trades!A:N,6,FALSE)-F191)*G191)</f>
        <v>-4.1200000000000045</v>
      </c>
      <c r="I191">
        <f>H191/VLOOKUP(B191,Trades!A$1:$N$100794,9,FALSE)</f>
        <v>-1.0300000000000011</v>
      </c>
    </row>
    <row r="192" spans="1:9" x14ac:dyDescent="0.25">
      <c r="A192">
        <f t="shared" si="14"/>
        <v>191</v>
      </c>
      <c r="B192" t="s">
        <v>363</v>
      </c>
      <c r="C192" s="1">
        <v>46157</v>
      </c>
      <c r="D192" t="str">
        <f>VLOOKUP(B192,Trades!A$1:N100984,3,FALSE)</f>
        <v>MSFT</v>
      </c>
      <c r="E192" t="s">
        <v>61</v>
      </c>
      <c r="F192">
        <v>426.68</v>
      </c>
      <c r="G192">
        <v>3</v>
      </c>
      <c r="H192">
        <f>IF(VLOOKUP(B192,Trades!A:N,4,FALSE)="Long",(F192-VLOOKUP(B192,Trades!A:N,6,FALSE))*G192,(VLOOKUP(B192,Trades!A:N,6,FALSE)-F192)*G192)</f>
        <v>17.550000000000068</v>
      </c>
      <c r="I192">
        <f>H192/VLOOKUP(B192,Trades!A$1:$N$100794,9,FALSE)</f>
        <v>5.8500000000000227</v>
      </c>
    </row>
    <row r="193" spans="1:9" x14ac:dyDescent="0.25">
      <c r="A193">
        <f t="shared" ref="A193:A198" si="15">ROW()-1</f>
        <v>192</v>
      </c>
      <c r="B193" t="s">
        <v>364</v>
      </c>
      <c r="C193" s="1">
        <v>46160</v>
      </c>
      <c r="D193" t="str">
        <f>VLOOKUP(B193,Trades!A$1:N100985,3,FALSE)</f>
        <v>NVDA</v>
      </c>
      <c r="E193" t="s">
        <v>61</v>
      </c>
      <c r="F193">
        <v>226.93</v>
      </c>
      <c r="G193">
        <v>4</v>
      </c>
      <c r="H193">
        <f>IF(VLOOKUP(B193,Trades!A:N,4,FALSE)="Long",(F193-VLOOKUP(B193,Trades!A:N,6,FALSE))*G193,(VLOOKUP(B193,Trades!A:N,6,FALSE)-F193)*G193)</f>
        <v>-7.9599999999999227</v>
      </c>
      <c r="I193">
        <f>H193/VLOOKUP(B193,Trades!A$1:$N$100794,9,FALSE)</f>
        <v>-1.9899999999999807</v>
      </c>
    </row>
    <row r="194" spans="1:9" x14ac:dyDescent="0.25">
      <c r="A194">
        <f t="shared" si="15"/>
        <v>193</v>
      </c>
      <c r="B194" t="s">
        <v>365</v>
      </c>
      <c r="C194" s="1">
        <v>46160</v>
      </c>
      <c r="D194" t="str">
        <f>VLOOKUP(B194,Trades!A$1:N100986,3,FALSE)</f>
        <v>MU</v>
      </c>
      <c r="E194" t="s">
        <v>61</v>
      </c>
      <c r="F194">
        <v>719</v>
      </c>
      <c r="G194">
        <v>2</v>
      </c>
      <c r="H194">
        <f>IF(VLOOKUP(B194,Trades!A:N,4,FALSE)="Long",(F194-VLOOKUP(B194,Trades!A:N,6,FALSE))*G194,(VLOOKUP(B194,Trades!A:N,6,FALSE)-F194)*G194)</f>
        <v>-4</v>
      </c>
      <c r="I194">
        <f>H194/VLOOKUP(B194,Trades!A$1:$N$100794,9,FALSE)</f>
        <v>-2</v>
      </c>
    </row>
    <row r="195" spans="1:9" x14ac:dyDescent="0.25">
      <c r="A195">
        <f t="shared" si="15"/>
        <v>194</v>
      </c>
      <c r="B195" t="s">
        <v>366</v>
      </c>
      <c r="C195" s="1">
        <v>46160</v>
      </c>
      <c r="D195" t="str">
        <f>VLOOKUP(B195,Trades!A$1:N100987,3,FALSE)</f>
        <v>MU</v>
      </c>
      <c r="E195" t="s">
        <v>61</v>
      </c>
      <c r="F195">
        <v>710.64</v>
      </c>
      <c r="G195">
        <v>2</v>
      </c>
      <c r="H195">
        <f>IF(VLOOKUP(B195,Trades!A:N,4,FALSE)="Long",(F195-VLOOKUP(B195,Trades!A:N,6,FALSE))*G195,(VLOOKUP(B195,Trades!A:N,6,FALSE)-F195)*G195)</f>
        <v>-10.5</v>
      </c>
      <c r="I195">
        <f>H195/VLOOKUP(B195,Trades!A$1:$N$100794,9,FALSE)</f>
        <v>-5.25</v>
      </c>
    </row>
    <row r="196" spans="1:9" x14ac:dyDescent="0.25">
      <c r="A196">
        <f t="shared" si="15"/>
        <v>195</v>
      </c>
      <c r="B196" t="s">
        <v>367</v>
      </c>
      <c r="C196" s="1">
        <v>46160</v>
      </c>
      <c r="D196" t="str">
        <f>VLOOKUP(B196,Trades!A$1:N100988,3,FALSE)</f>
        <v>NVDA</v>
      </c>
      <c r="E196" t="s">
        <v>61</v>
      </c>
      <c r="F196">
        <v>223.19</v>
      </c>
      <c r="G196">
        <v>4</v>
      </c>
      <c r="H196">
        <f>IF(VLOOKUP(B196,Trades!A:N,4,FALSE)="Long",(F196-VLOOKUP(B196,Trades!A:N,6,FALSE))*G196,(VLOOKUP(B196,Trades!A:N,6,FALSE)-F196)*G196)</f>
        <v>-6.32000000000005</v>
      </c>
      <c r="I196">
        <f>H196/VLOOKUP(B196,Trades!A$1:$N$100794,9,FALSE)</f>
        <v>-1.5800000000000125</v>
      </c>
    </row>
    <row r="197" spans="1:9" x14ac:dyDescent="0.25">
      <c r="A197">
        <f t="shared" si="15"/>
        <v>196</v>
      </c>
      <c r="B197" t="s">
        <v>368</v>
      </c>
      <c r="C197" s="1">
        <v>46160</v>
      </c>
      <c r="D197" t="str">
        <f>VLOOKUP(B197,Trades!A$1:N100989,3,FALSE)</f>
        <v>GOOG</v>
      </c>
      <c r="E197" t="s">
        <v>61</v>
      </c>
      <c r="F197">
        <v>397.03</v>
      </c>
      <c r="G197">
        <v>3</v>
      </c>
      <c r="H197">
        <f>IF(VLOOKUP(B197,Trades!A:N,4,FALSE)="Long",(F197-VLOOKUP(B197,Trades!A:N,6,FALSE))*G197,(VLOOKUP(B197,Trades!A:N,6,FALSE)-F197)*G197)</f>
        <v>-5.9400000000000546</v>
      </c>
      <c r="I197">
        <f>H197/VLOOKUP(B197,Trades!A$1:$N$100794,9,FALSE)</f>
        <v>-1.9800000000000182</v>
      </c>
    </row>
    <row r="198" spans="1:9" x14ac:dyDescent="0.25">
      <c r="A198">
        <f t="shared" si="15"/>
        <v>197</v>
      </c>
      <c r="B198" t="s">
        <v>369</v>
      </c>
      <c r="C198" s="1">
        <v>46160</v>
      </c>
      <c r="D198" t="str">
        <f>VLOOKUP(B198,Trades!A$1:N100990,3,FALSE)</f>
        <v>AMZN</v>
      </c>
      <c r="E198" t="s">
        <v>61</v>
      </c>
      <c r="F198">
        <v>265.32</v>
      </c>
      <c r="G198">
        <v>4</v>
      </c>
      <c r="H198">
        <f>IF(VLOOKUP(B198,Trades!A:N,4,FALSE)="Long",(F198-VLOOKUP(B198,Trades!A:N,6,FALSE))*G198,(VLOOKUP(B198,Trades!A:N,6,FALSE)-F198)*G198)</f>
        <v>-5.1200000000001182</v>
      </c>
      <c r="I198">
        <f>H198/VLOOKUP(B198,Trades!A$1:$N$100794,9,FALSE)</f>
        <v>-1.2800000000000296</v>
      </c>
    </row>
    <row r="199" spans="1:9" x14ac:dyDescent="0.25">
      <c r="A199">
        <f t="shared" ref="A199:A205" si="16">ROW()-1</f>
        <v>198</v>
      </c>
      <c r="B199" t="s">
        <v>371</v>
      </c>
      <c r="C199" s="1">
        <v>46161</v>
      </c>
      <c r="D199" t="str">
        <f>VLOOKUP(B199,Trades!A$1:N100991,3,FALSE)</f>
        <v>MSFT</v>
      </c>
      <c r="E199" t="s">
        <v>61</v>
      </c>
      <c r="F199">
        <v>422.93</v>
      </c>
      <c r="G199">
        <v>2</v>
      </c>
      <c r="H199">
        <f>IF(VLOOKUP(B199,Trades!A:N,4,FALSE)="Long",(F199-VLOOKUP(B199,Trades!A:N,6,FALSE))*G199,(VLOOKUP(B199,Trades!A:N,6,FALSE)-F199)*G199)</f>
        <v>-6.0399999999999636</v>
      </c>
      <c r="I199">
        <f>H199/VLOOKUP(B199,Trades!A$1:$N$100794,9,FALSE)</f>
        <v>-3.0199999999999818</v>
      </c>
    </row>
    <row r="200" spans="1:9" x14ac:dyDescent="0.25">
      <c r="A200">
        <f t="shared" si="16"/>
        <v>199</v>
      </c>
      <c r="B200" t="s">
        <v>372</v>
      </c>
      <c r="C200" s="1">
        <v>46161</v>
      </c>
      <c r="D200" t="str">
        <f>VLOOKUP(B200,Trades!A$1:N100992,3,FALSE)</f>
        <v>MU</v>
      </c>
      <c r="E200" t="s">
        <v>61</v>
      </c>
      <c r="F200">
        <v>689.25</v>
      </c>
      <c r="G200">
        <v>3</v>
      </c>
      <c r="H200">
        <f>IF(VLOOKUP(B200,Trades!A:N,4,FALSE)="Long",(F200-VLOOKUP(B200,Trades!A:N,6,FALSE))*G200,(VLOOKUP(B200,Trades!A:N,6,FALSE)-F200)*G200)</f>
        <v>45.96000000000015</v>
      </c>
      <c r="I200">
        <f>H200/VLOOKUP(B200,Trades!A$1:$N$100794,9,FALSE)</f>
        <v>11.490000000000038</v>
      </c>
    </row>
    <row r="201" spans="1:9" x14ac:dyDescent="0.25">
      <c r="A201">
        <f t="shared" si="16"/>
        <v>200</v>
      </c>
      <c r="B201" t="s">
        <v>372</v>
      </c>
      <c r="C201" s="1">
        <v>46161</v>
      </c>
      <c r="D201" t="str">
        <f>VLOOKUP(B201,Trades!A$1:N100993,3,FALSE)</f>
        <v>MU</v>
      </c>
      <c r="E201" t="s">
        <v>61</v>
      </c>
      <c r="F201">
        <v>699.98</v>
      </c>
      <c r="G201">
        <v>1</v>
      </c>
      <c r="H201">
        <f>IF(VLOOKUP(B201,Trades!A:N,4,FALSE)="Long",(F201-VLOOKUP(B201,Trades!A:N,6,FALSE))*G201,(VLOOKUP(B201,Trades!A:N,6,FALSE)-F201)*G201)</f>
        <v>26.050000000000068</v>
      </c>
      <c r="I201">
        <f>H201/VLOOKUP(B201,Trades!A$1:$N$100794,9,FALSE)</f>
        <v>6.5125000000000171</v>
      </c>
    </row>
    <row r="202" spans="1:9" x14ac:dyDescent="0.25">
      <c r="A202">
        <f t="shared" si="16"/>
        <v>201</v>
      </c>
      <c r="B202" t="s">
        <v>373</v>
      </c>
      <c r="C202" s="1">
        <v>46161</v>
      </c>
      <c r="D202" t="str">
        <f>VLOOKUP(B202,Trades!A$1:N100994,3,FALSE)</f>
        <v>NVDA</v>
      </c>
      <c r="E202" t="s">
        <v>61</v>
      </c>
      <c r="F202">
        <v>222.92</v>
      </c>
      <c r="G202">
        <v>5</v>
      </c>
      <c r="H202">
        <f>IF(VLOOKUP(B202,Trades!A:N,4,FALSE)="Long",(F202-VLOOKUP(B202,Trades!A:N,6,FALSE))*G202,(VLOOKUP(B202,Trades!A:N,6,FALSE)-F202)*G202)</f>
        <v>11.599999999999966</v>
      </c>
      <c r="I202">
        <f>H202/VLOOKUP(B202,Trades!A$1:$N$100794,9,FALSE)</f>
        <v>2.3199999999999932</v>
      </c>
    </row>
    <row r="203" spans="1:9" x14ac:dyDescent="0.25">
      <c r="A203">
        <f t="shared" si="16"/>
        <v>202</v>
      </c>
      <c r="B203" t="s">
        <v>374</v>
      </c>
      <c r="C203" s="1">
        <v>46161</v>
      </c>
      <c r="D203" t="str">
        <f>VLOOKUP(B203,Trades!A$1:N100995,3,FALSE)</f>
        <v>AAPL</v>
      </c>
      <c r="E203" t="s">
        <v>61</v>
      </c>
      <c r="F203">
        <v>298.35000000000002</v>
      </c>
      <c r="G203">
        <v>4</v>
      </c>
      <c r="H203">
        <f>IF(VLOOKUP(B203,Trades!A:N,4,FALSE)="Long",(F203-VLOOKUP(B203,Trades!A:N,6,FALSE))*G203,(VLOOKUP(B203,Trades!A:N,6,FALSE)-F203)*G203)</f>
        <v>2.5199999999999818</v>
      </c>
      <c r="I203">
        <f>H203/VLOOKUP(B203,Trades!A$1:$N$100794,9,FALSE)</f>
        <v>0.62999999999999545</v>
      </c>
    </row>
    <row r="204" spans="1:9" x14ac:dyDescent="0.25">
      <c r="A204">
        <f t="shared" si="16"/>
        <v>203</v>
      </c>
      <c r="B204" t="s">
        <v>375</v>
      </c>
      <c r="C204" s="1">
        <v>46161</v>
      </c>
      <c r="D204" t="str">
        <f>VLOOKUP(B204,Trades!A$1:N100996,3,FALSE)</f>
        <v>PLTR</v>
      </c>
      <c r="E204" t="s">
        <v>61</v>
      </c>
      <c r="F204">
        <v>135.46</v>
      </c>
      <c r="G204">
        <v>8</v>
      </c>
      <c r="H204">
        <f>IF(VLOOKUP(B204,Trades!A:N,4,FALSE)="Long",(F204-VLOOKUP(B204,Trades!A:N,6,FALSE))*G204,(VLOOKUP(B204,Trades!A:N,6,FALSE)-F204)*G204)</f>
        <v>3.6000000000001364</v>
      </c>
      <c r="I204">
        <f>H204/VLOOKUP(B204,Trades!A$1:$N$100794,9,FALSE)</f>
        <v>0.45000000000001705</v>
      </c>
    </row>
    <row r="205" spans="1:9" x14ac:dyDescent="0.25">
      <c r="A205">
        <f t="shared" si="16"/>
        <v>204</v>
      </c>
      <c r="B205" t="s">
        <v>376</v>
      </c>
      <c r="C205" s="1">
        <v>46161</v>
      </c>
      <c r="D205" t="str">
        <f>VLOOKUP(B205,Trades!A$1:N100997,3,FALSE)</f>
        <v>GOOG</v>
      </c>
      <c r="E205" t="s">
        <v>61</v>
      </c>
      <c r="F205">
        <v>384.81</v>
      </c>
      <c r="G205">
        <v>2</v>
      </c>
      <c r="H205">
        <f>IF(VLOOKUP(B205,Trades!A:N,4,FALSE)="Long",(F205-VLOOKUP(B205,Trades!A:N,6,FALSE))*G205,(VLOOKUP(B205,Trades!A:N,6,FALSE)-F205)*G205)</f>
        <v>-3.6599999999999682</v>
      </c>
      <c r="I205">
        <f>H205/VLOOKUP(B205,Trades!A$1:$N$100794,9,FALSE)</f>
        <v>-1.8299999999999841</v>
      </c>
    </row>
    <row r="206" spans="1:9" x14ac:dyDescent="0.25">
      <c r="A206">
        <f t="shared" ref="A206:A211" si="17">ROW()-1</f>
        <v>205</v>
      </c>
      <c r="B206" t="s">
        <v>377</v>
      </c>
      <c r="C206" s="1">
        <v>46162</v>
      </c>
      <c r="D206" t="str">
        <f>VLOOKUP(B206,Trades!A$1:N100998,3,FALSE)</f>
        <v>INTC</v>
      </c>
      <c r="E206" t="s">
        <v>61</v>
      </c>
      <c r="F206">
        <v>120.73</v>
      </c>
      <c r="G206">
        <v>4</v>
      </c>
      <c r="H206">
        <f>IF(VLOOKUP(B206,Trades!A:N,4,FALSE)="Long",(F206-VLOOKUP(B206,Trades!A:N,6,FALSE))*G206,(VLOOKUP(B206,Trades!A:N,6,FALSE)-F206)*G206)</f>
        <v>15.360000000000014</v>
      </c>
      <c r="I206">
        <f>H206/VLOOKUP(B206,Trades!A$1:$N$100794,9,FALSE)</f>
        <v>2.5600000000000023</v>
      </c>
    </row>
    <row r="207" spans="1:9" x14ac:dyDescent="0.25">
      <c r="A207">
        <f t="shared" si="17"/>
        <v>206</v>
      </c>
      <c r="B207" t="s">
        <v>377</v>
      </c>
      <c r="C207" s="1">
        <v>46162</v>
      </c>
      <c r="D207" t="str">
        <f>VLOOKUP(B207,Trades!A$1:N100999,3,FALSE)</f>
        <v>INTC</v>
      </c>
      <c r="E207" t="s">
        <v>61</v>
      </c>
      <c r="F207">
        <v>118.2</v>
      </c>
      <c r="G207">
        <v>2</v>
      </c>
      <c r="H207">
        <f>IF(VLOOKUP(B207,Trades!A:N,4,FALSE)="Long",(F207-VLOOKUP(B207,Trades!A:N,6,FALSE))*G207,(VLOOKUP(B207,Trades!A:N,6,FALSE)-F207)*G207)</f>
        <v>2.6200000000000045</v>
      </c>
      <c r="I207">
        <f>H207/VLOOKUP(B207,Trades!A$1:$N$100794,9,FALSE)</f>
        <v>0.43666666666666742</v>
      </c>
    </row>
    <row r="208" spans="1:9" x14ac:dyDescent="0.25">
      <c r="A208">
        <f t="shared" si="17"/>
        <v>207</v>
      </c>
      <c r="B208" t="s">
        <v>378</v>
      </c>
      <c r="C208" s="1">
        <v>46162</v>
      </c>
      <c r="D208" t="str">
        <f>VLOOKUP(B208,Trades!A$1:N101000,3,FALSE)</f>
        <v>INTC</v>
      </c>
      <c r="E208" t="s">
        <v>61</v>
      </c>
      <c r="F208">
        <v>116.21</v>
      </c>
      <c r="G208">
        <v>6</v>
      </c>
      <c r="H208">
        <f>IF(VLOOKUP(B208,Trades!A:N,4,FALSE)="Long",(F208-VLOOKUP(B208,Trades!A:N,6,FALSE))*G208,(VLOOKUP(B208,Trades!A:N,6,FALSE)-F208)*G208)</f>
        <v>-8.2200000000000273</v>
      </c>
      <c r="I208">
        <f>H208/VLOOKUP(B208,Trades!A$1:$N$100794,9,FALSE)</f>
        <v>-1.3700000000000045</v>
      </c>
    </row>
    <row r="209" spans="1:9" x14ac:dyDescent="0.25">
      <c r="A209">
        <f t="shared" si="17"/>
        <v>208</v>
      </c>
      <c r="B209" t="s">
        <v>380</v>
      </c>
      <c r="C209" s="1">
        <v>46162</v>
      </c>
      <c r="D209" t="str">
        <f>VLOOKUP(B209,Trades!A$1:N101001,3,FALSE)</f>
        <v>MU</v>
      </c>
      <c r="E209" t="s">
        <v>61</v>
      </c>
      <c r="F209">
        <v>725.76</v>
      </c>
      <c r="G209">
        <v>4</v>
      </c>
      <c r="H209">
        <f>IF(VLOOKUP(B209,Trades!A:N,4,FALSE)="Long",(F209-VLOOKUP(B209,Trades!A:N,6,FALSE))*G209,(VLOOKUP(B209,Trades!A:N,6,FALSE)-F209)*G209)</f>
        <v>12.480000000000018</v>
      </c>
      <c r="I209">
        <f>H209/VLOOKUP(B209,Trades!A$1:$N$100794,9,FALSE)</f>
        <v>3.1200000000000045</v>
      </c>
    </row>
    <row r="210" spans="1:9" x14ac:dyDescent="0.25">
      <c r="A210">
        <f t="shared" si="17"/>
        <v>209</v>
      </c>
      <c r="B210" t="s">
        <v>379</v>
      </c>
      <c r="C210" s="1">
        <v>46162</v>
      </c>
      <c r="D210" t="str">
        <f>VLOOKUP(B210,Trades!A$1:N101002,3,FALSE)</f>
        <v>AMZN</v>
      </c>
      <c r="E210" t="s">
        <v>61</v>
      </c>
      <c r="F210">
        <v>264.20999999999998</v>
      </c>
      <c r="G210">
        <v>4</v>
      </c>
      <c r="H210">
        <f>IF(VLOOKUP(B210,Trades!A:N,4,FALSE)="Long",(F210-VLOOKUP(B210,Trades!A:N,6,FALSE))*G210,(VLOOKUP(B210,Trades!A:N,6,FALSE)-F210)*G210)</f>
        <v>6.0399999999999636</v>
      </c>
      <c r="I210">
        <f>H210/VLOOKUP(B210,Trades!A$1:$N$100794,9,FALSE)</f>
        <v>1.5099999999999909</v>
      </c>
    </row>
    <row r="211" spans="1:9" x14ac:dyDescent="0.25">
      <c r="A211">
        <f t="shared" si="17"/>
        <v>210</v>
      </c>
      <c r="B211" t="s">
        <v>381</v>
      </c>
      <c r="C211" s="1">
        <v>46162</v>
      </c>
      <c r="D211" t="str">
        <f>VLOOKUP(B211,Trades!A$1:N101003,3,FALSE)</f>
        <v>ARM</v>
      </c>
      <c r="E211" t="s">
        <v>61</v>
      </c>
      <c r="F211">
        <v>255.68</v>
      </c>
      <c r="G211">
        <v>3</v>
      </c>
      <c r="H211">
        <f>IF(VLOOKUP(B211,Trades!A:N,4,FALSE)="Long",(F211-VLOOKUP(B211,Trades!A:N,6,FALSE))*G211,(VLOOKUP(B211,Trades!A:N,6,FALSE)-F211)*G211)</f>
        <v>8.8199999999999932</v>
      </c>
      <c r="I211">
        <f>H211/VLOOKUP(B211,Trades!A$1:$N$100794,9,FALSE)</f>
        <v>2.9399999999999977</v>
      </c>
    </row>
    <row r="212" spans="1:9" x14ac:dyDescent="0.25">
      <c r="A212">
        <f t="shared" ref="A212:A217" si="18">ROW()-1</f>
        <v>211</v>
      </c>
      <c r="B212" t="s">
        <v>382</v>
      </c>
      <c r="C212" s="1">
        <v>46163</v>
      </c>
      <c r="D212" t="str">
        <f>VLOOKUP(B212,Trades!A$1:N101004,3,FALSE)</f>
        <v>MSFT</v>
      </c>
      <c r="E212" t="s">
        <v>61</v>
      </c>
      <c r="F212">
        <v>420.63</v>
      </c>
      <c r="G212">
        <v>3</v>
      </c>
      <c r="H212">
        <f>IF(VLOOKUP(B212,Trades!A:N,4,FALSE)="Long",(F212-VLOOKUP(B212,Trades!A:N,6,FALSE))*G212,(VLOOKUP(B212,Trades!A:N,6,FALSE)-F212)*G212)</f>
        <v>-5.8799999999999386</v>
      </c>
      <c r="I212">
        <f>H212/VLOOKUP(B212,Trades!A$1:$N$100794,9,FALSE)</f>
        <v>-1.9599999999999795</v>
      </c>
    </row>
    <row r="213" spans="1:9" x14ac:dyDescent="0.25">
      <c r="A213">
        <f t="shared" si="18"/>
        <v>212</v>
      </c>
      <c r="B213" t="s">
        <v>384</v>
      </c>
      <c r="C213" s="1">
        <v>46163</v>
      </c>
      <c r="D213" t="str">
        <f>VLOOKUP(B213,Trades!A$1:N101005,3,FALSE)</f>
        <v>CRWD</v>
      </c>
      <c r="E213" t="s">
        <v>61</v>
      </c>
      <c r="F213">
        <v>649.42999999999995</v>
      </c>
      <c r="G213">
        <v>2</v>
      </c>
      <c r="H213">
        <f>IF(VLOOKUP(B213,Trades!A:N,4,FALSE)="Long",(F213-VLOOKUP(B213,Trades!A:N,6,FALSE))*G213,(VLOOKUP(B213,Trades!A:N,6,FALSE)-F213)*G213)</f>
        <v>-8.5800000000001546</v>
      </c>
      <c r="I213">
        <f>H213/VLOOKUP(B213,Trades!A$1:$N$100794,9,FALSE)</f>
        <v>-4.2900000000000773</v>
      </c>
    </row>
    <row r="214" spans="1:9" x14ac:dyDescent="0.25">
      <c r="A214">
        <f t="shared" si="18"/>
        <v>213</v>
      </c>
      <c r="B214" t="s">
        <v>386</v>
      </c>
      <c r="C214" s="1">
        <v>46163</v>
      </c>
      <c r="D214" t="str">
        <f>VLOOKUP(B214,Trades!A$1:N101006,3,FALSE)</f>
        <v>MU</v>
      </c>
      <c r="E214" t="s">
        <v>61</v>
      </c>
      <c r="F214">
        <v>754.12</v>
      </c>
      <c r="G214">
        <v>2</v>
      </c>
      <c r="H214">
        <f>IF(VLOOKUP(B214,Trades!A:N,4,FALSE)="Long",(F214-VLOOKUP(B214,Trades!A:N,6,FALSE))*G214,(VLOOKUP(B214,Trades!A:N,6,FALSE)-F214)*G214)</f>
        <v>17.779999999999973</v>
      </c>
      <c r="I214">
        <f>H214/VLOOKUP(B214,Trades!A$1:$N$100794,9,FALSE)</f>
        <v>8.8899999999999864</v>
      </c>
    </row>
    <row r="215" spans="1:9" x14ac:dyDescent="0.25">
      <c r="A215">
        <f t="shared" si="18"/>
        <v>214</v>
      </c>
      <c r="B215" t="s">
        <v>388</v>
      </c>
      <c r="C215" s="1">
        <v>46163</v>
      </c>
      <c r="D215" t="str">
        <f>VLOOKUP(B215,Trades!A$1:N101007,3,FALSE)</f>
        <v>CRWD</v>
      </c>
      <c r="E215" t="s">
        <v>61</v>
      </c>
      <c r="F215">
        <v>645.34</v>
      </c>
      <c r="G215">
        <v>2</v>
      </c>
      <c r="H215">
        <f>IF(VLOOKUP(B215,Trades!A:N,4,FALSE)="Long",(F215-VLOOKUP(B215,Trades!A:N,6,FALSE))*G215,(VLOOKUP(B215,Trades!A:N,6,FALSE)-F215)*G215)</f>
        <v>-6.7599999999999909</v>
      </c>
      <c r="I215">
        <f>H215/VLOOKUP(B215,Trades!A$1:$N$100794,9,FALSE)</f>
        <v>-3.3799999999999955</v>
      </c>
    </row>
    <row r="216" spans="1:9" x14ac:dyDescent="0.25">
      <c r="A216">
        <f t="shared" si="18"/>
        <v>215</v>
      </c>
      <c r="B216" t="s">
        <v>389</v>
      </c>
      <c r="C216" s="1">
        <v>46163</v>
      </c>
      <c r="D216" t="str">
        <f>VLOOKUP(B216,Trades!A$1:N101008,3,FALSE)</f>
        <v>AVGO</v>
      </c>
      <c r="E216" t="s">
        <v>61</v>
      </c>
      <c r="F216">
        <v>413.89</v>
      </c>
      <c r="G216">
        <v>3</v>
      </c>
      <c r="H216">
        <f>IF(VLOOKUP(B216,Trades!A:N,4,FALSE)="Long",(F216-VLOOKUP(B216,Trades!A:N,6,FALSE))*G216,(VLOOKUP(B216,Trades!A:N,6,FALSE)-F216)*G216)</f>
        <v>3.5099999999998772</v>
      </c>
      <c r="I216">
        <f>H216/VLOOKUP(B216,Trades!A$1:$N$100794,9,FALSE)</f>
        <v>1.1699999999999591</v>
      </c>
    </row>
    <row r="217" spans="1:9" x14ac:dyDescent="0.25">
      <c r="A217">
        <f t="shared" si="18"/>
        <v>216</v>
      </c>
      <c r="B217" t="s">
        <v>390</v>
      </c>
      <c r="C217" s="1">
        <v>46163</v>
      </c>
      <c r="D217" t="str">
        <f>VLOOKUP(B217,Trades!A$1:N101009,3,FALSE)</f>
        <v>NVDA</v>
      </c>
      <c r="E217" t="s">
        <v>61</v>
      </c>
      <c r="F217">
        <v>220.49</v>
      </c>
      <c r="G217">
        <v>4</v>
      </c>
      <c r="H217">
        <f>IF(VLOOKUP(B217,Trades!A:N,4,FALSE)="Long",(F217-VLOOKUP(B217,Trades!A:N,6,FALSE))*G217,(VLOOKUP(B217,Trades!A:N,6,FALSE)-F217)*G217)</f>
        <v>-8.0799999999999272</v>
      </c>
      <c r="I217">
        <f>H217/VLOOKUP(B217,Trades!A$1:$N$100794,9,FALSE)</f>
        <v>-2.0199999999999818</v>
      </c>
    </row>
    <row r="218" spans="1:9" x14ac:dyDescent="0.25">
      <c r="A218">
        <f t="shared" ref="A218:A226" si="19">ROW()-1</f>
        <v>217</v>
      </c>
      <c r="B218" t="s">
        <v>391</v>
      </c>
      <c r="C218" s="1">
        <v>46164</v>
      </c>
      <c r="D218" t="str">
        <f>VLOOKUP(B218,Trades!A$1:N101010,3,FALSE)</f>
        <v>INTC</v>
      </c>
      <c r="E218" t="s">
        <v>61</v>
      </c>
      <c r="F218">
        <v>120.92</v>
      </c>
      <c r="G218">
        <v>6</v>
      </c>
      <c r="H218">
        <f>IF(VLOOKUP(B218,Trades!A:N,4,FALSE)="Long",(F218-VLOOKUP(B218,Trades!A:N,6,FALSE))*G218,(VLOOKUP(B218,Trades!A:N,6,FALSE)-F218)*G218)</f>
        <v>6.6599999999999966</v>
      </c>
      <c r="I218">
        <f>H218/VLOOKUP(B218,Trades!A$1:$N$100794,9,FALSE)</f>
        <v>1.1099999999999994</v>
      </c>
    </row>
    <row r="219" spans="1:9" x14ac:dyDescent="0.25">
      <c r="A219">
        <f t="shared" si="19"/>
        <v>218</v>
      </c>
      <c r="B219" t="s">
        <v>392</v>
      </c>
      <c r="C219" s="1">
        <v>46164</v>
      </c>
      <c r="D219" t="str">
        <f>VLOOKUP(B219,Trades!A$1:N101011,3,FALSE)</f>
        <v>AMD</v>
      </c>
      <c r="E219" t="s">
        <v>61</v>
      </c>
      <c r="F219">
        <v>469.33</v>
      </c>
      <c r="G219">
        <v>3</v>
      </c>
      <c r="H219">
        <f>IF(VLOOKUP(B219,Trades!A:N,4,FALSE)="Long",(F219-VLOOKUP(B219,Trades!A:N,6,FALSE))*G219,(VLOOKUP(B219,Trades!A:N,6,FALSE)-F219)*G219)</f>
        <v>-7.8600000000000136</v>
      </c>
      <c r="I219">
        <f>H219/VLOOKUP(B219,Trades!A$1:$N$100794,9,FALSE)</f>
        <v>-2.6200000000000045</v>
      </c>
    </row>
    <row r="220" spans="1:9" x14ac:dyDescent="0.25">
      <c r="A220">
        <f t="shared" si="19"/>
        <v>219</v>
      </c>
      <c r="B220" t="s">
        <v>393</v>
      </c>
      <c r="C220" s="1">
        <v>46164</v>
      </c>
      <c r="D220" t="str">
        <f>VLOOKUP(B220,Trades!A$1:N101012,3,FALSE)</f>
        <v>INTC</v>
      </c>
      <c r="E220" t="s">
        <v>61</v>
      </c>
      <c r="F220">
        <v>118.25</v>
      </c>
      <c r="G220">
        <v>6</v>
      </c>
      <c r="H220">
        <f>IF(VLOOKUP(B220,Trades!A:N,4,FALSE)="Long",(F220-VLOOKUP(B220,Trades!A:N,6,FALSE))*G220,(VLOOKUP(B220,Trades!A:N,6,FALSE)-F220)*G220)</f>
        <v>-8.2799999999999727</v>
      </c>
      <c r="I220">
        <f>H220/VLOOKUP(B220,Trades!A$1:$N$100794,9,FALSE)</f>
        <v>-1.3799999999999955</v>
      </c>
    </row>
    <row r="221" spans="1:9" x14ac:dyDescent="0.25">
      <c r="A221">
        <f t="shared" si="19"/>
        <v>220</v>
      </c>
      <c r="B221" t="s">
        <v>394</v>
      </c>
      <c r="C221" s="1">
        <v>46164</v>
      </c>
      <c r="D221" t="str">
        <f>VLOOKUP(B221,Trades!A$1:N101013,3,FALSE)</f>
        <v>MSFT</v>
      </c>
      <c r="E221" t="s">
        <v>61</v>
      </c>
      <c r="F221">
        <v>418.63</v>
      </c>
      <c r="G221">
        <v>3</v>
      </c>
      <c r="H221">
        <f>IF(VLOOKUP(B221,Trades!A:N,4,FALSE)="Long",(F221-VLOOKUP(B221,Trades!A:N,6,FALSE))*G221,(VLOOKUP(B221,Trades!A:N,6,FALSE)-F221)*G221)</f>
        <v>-4.4400000000000546</v>
      </c>
      <c r="I221">
        <f>H221/VLOOKUP(B221,Trades!A$1:$N$100794,9,FALSE)</f>
        <v>-1.4800000000000182</v>
      </c>
    </row>
    <row r="222" spans="1:9" x14ac:dyDescent="0.25">
      <c r="A222">
        <f t="shared" si="19"/>
        <v>221</v>
      </c>
      <c r="B222" t="s">
        <v>395</v>
      </c>
      <c r="C222" s="1">
        <v>46164</v>
      </c>
      <c r="D222" t="str">
        <f>VLOOKUP(B222,Trades!A$1:N101014,3,FALSE)</f>
        <v>INTC</v>
      </c>
      <c r="E222" t="s">
        <v>61</v>
      </c>
      <c r="F222">
        <v>121.26</v>
      </c>
      <c r="G222">
        <v>6</v>
      </c>
      <c r="H222">
        <f>IF(VLOOKUP(B222,Trades!A:N,4,FALSE)="Long",(F222-VLOOKUP(B222,Trades!A:N,6,FALSE))*G222,(VLOOKUP(B222,Trades!A:N,6,FALSE)-F222)*G222)</f>
        <v>9.780000000000058</v>
      </c>
      <c r="I222">
        <f>H222/VLOOKUP(B222,Trades!A$1:$N$100794,9,FALSE)</f>
        <v>1.6300000000000097</v>
      </c>
    </row>
    <row r="223" spans="1:9" x14ac:dyDescent="0.25">
      <c r="A223">
        <f t="shared" si="19"/>
        <v>222</v>
      </c>
      <c r="B223" t="s">
        <v>396</v>
      </c>
      <c r="C223" s="1">
        <v>46164</v>
      </c>
      <c r="D223" t="str">
        <f>VLOOKUP(B223,Trades!A$1:N101015,3,FALSE)</f>
        <v>APPS</v>
      </c>
      <c r="E223" t="s">
        <v>61</v>
      </c>
      <c r="F223">
        <v>4.4800000000000004</v>
      </c>
      <c r="G223">
        <v>20</v>
      </c>
      <c r="H223">
        <f>IF(VLOOKUP(B223,Trades!A:N,4,FALSE)="Long",(F223-VLOOKUP(B223,Trades!A:N,6,FALSE))*G223,(VLOOKUP(B223,Trades!A:N,6,FALSE)-F223)*G223)</f>
        <v>10.200000000000005</v>
      </c>
      <c r="I223">
        <f>H223/VLOOKUP(B223,Trades!A$1:$N$100794,9,FALSE)</f>
        <v>0.51000000000000023</v>
      </c>
    </row>
    <row r="224" spans="1:9" x14ac:dyDescent="0.25">
      <c r="A224">
        <f t="shared" si="19"/>
        <v>223</v>
      </c>
      <c r="B224" t="s">
        <v>397</v>
      </c>
      <c r="C224" s="1">
        <v>46164</v>
      </c>
      <c r="D224" t="str">
        <f>VLOOKUP(B224,Trades!A$1:N101016,3,FALSE)</f>
        <v>MU</v>
      </c>
      <c r="E224" t="s">
        <v>61</v>
      </c>
      <c r="F224">
        <v>766.01</v>
      </c>
      <c r="G224">
        <v>2</v>
      </c>
      <c r="H224">
        <f>IF(VLOOKUP(B224,Trades!A:N,4,FALSE)="Long",(F224-VLOOKUP(B224,Trades!A:N,6,FALSE))*G224,(VLOOKUP(B224,Trades!A:N,6,FALSE)-F224)*G224)</f>
        <v>22.779999999999973</v>
      </c>
      <c r="I224">
        <f>H224/VLOOKUP(B224,Trades!A$1:$N$100794,9,FALSE)</f>
        <v>11.389999999999986</v>
      </c>
    </row>
    <row r="225" spans="1:9" x14ac:dyDescent="0.25">
      <c r="A225">
        <f t="shared" si="19"/>
        <v>224</v>
      </c>
      <c r="B225" t="s">
        <v>398</v>
      </c>
      <c r="C225" s="1">
        <v>46164</v>
      </c>
      <c r="D225" t="str">
        <f>VLOOKUP(B225,Trades!A$1:N101017,3,FALSE)</f>
        <v>AMD</v>
      </c>
      <c r="E225" t="s">
        <v>61</v>
      </c>
      <c r="F225">
        <v>468.86</v>
      </c>
      <c r="G225">
        <v>2</v>
      </c>
      <c r="H225">
        <f>IF(VLOOKUP(B225,Trades!A:N,4,FALSE)="Long",(F225-VLOOKUP(B225,Trades!A:N,6,FALSE))*G225,(VLOOKUP(B225,Trades!A:N,6,FALSE)-F225)*G225)</f>
        <v>-3.8999999999999773</v>
      </c>
      <c r="I225">
        <f>H225/VLOOKUP(B225,Trades!A$1:$N$100794,9,FALSE)</f>
        <v>-1.9499999999999886</v>
      </c>
    </row>
    <row r="226" spans="1:9" x14ac:dyDescent="0.25">
      <c r="A226">
        <f t="shared" si="19"/>
        <v>225</v>
      </c>
      <c r="B226" t="s">
        <v>400</v>
      </c>
      <c r="C226" s="1">
        <v>46164</v>
      </c>
      <c r="D226" t="str">
        <f>VLOOKUP(B226,Trades!A$1:N101018,3,FALSE)</f>
        <v>AMPY</v>
      </c>
      <c r="E226" t="s">
        <v>61</v>
      </c>
      <c r="F226">
        <v>4.9400000000000004</v>
      </c>
      <c r="G226">
        <v>20</v>
      </c>
      <c r="H226">
        <f>IF(VLOOKUP(B226,Trades!A:N,4,FALSE)="Long",(F226-VLOOKUP(B226,Trades!A:N,6,FALSE))*G226,(VLOOKUP(B226,Trades!A:N,6,FALSE)-F226)*G226)</f>
        <v>-6.1999999999999922</v>
      </c>
      <c r="I226">
        <f>H226/VLOOKUP(B226,Trades!A$1:$N$100794,9,FALSE)</f>
        <v>-0.30999999999999961</v>
      </c>
    </row>
    <row r="227" spans="1:9" x14ac:dyDescent="0.25">
      <c r="A227">
        <f t="shared" ref="A227:A235" si="20">ROW()-1</f>
        <v>226</v>
      </c>
      <c r="B227" t="s">
        <v>404</v>
      </c>
      <c r="C227" s="1">
        <v>46168</v>
      </c>
      <c r="D227" t="str">
        <f>VLOOKUP(B227,Trades!A$1:N101019,3,FALSE)</f>
        <v>VUZI</v>
      </c>
      <c r="E227" t="s">
        <v>61</v>
      </c>
      <c r="F227">
        <v>4.72</v>
      </c>
      <c r="G227">
        <v>10</v>
      </c>
      <c r="H227">
        <f>IF(VLOOKUP(B227,Trades!A:N,4,FALSE)="Long",(F227-VLOOKUP(B227,Trades!A:N,6,FALSE))*G227,(VLOOKUP(B227,Trades!A:N,6,FALSE)-F227)*G227)</f>
        <v>-4.7000000000000064</v>
      </c>
      <c r="I227">
        <f>H227/VLOOKUP(B227,Trades!A$1:$N$100794,9,FALSE)</f>
        <v>-0.47000000000000064</v>
      </c>
    </row>
    <row r="228" spans="1:9" x14ac:dyDescent="0.25">
      <c r="A228">
        <f t="shared" si="20"/>
        <v>227</v>
      </c>
      <c r="B228" t="s">
        <v>403</v>
      </c>
      <c r="C228" s="1">
        <v>46168</v>
      </c>
      <c r="D228" t="str">
        <f>VLOOKUP(B228,Trades!A$1:N101020,3,FALSE)</f>
        <v>INTC</v>
      </c>
      <c r="E228" t="s">
        <v>61</v>
      </c>
      <c r="F228">
        <v>122.86</v>
      </c>
      <c r="G228">
        <v>4</v>
      </c>
      <c r="H228">
        <f>IF(VLOOKUP(B228,Trades!A:N,4,FALSE)="Long",(F228-VLOOKUP(B228,Trades!A:N,6,FALSE))*G228,(VLOOKUP(B228,Trades!A:N,6,FALSE)-F228)*G228)</f>
        <v>15.360000000000014</v>
      </c>
      <c r="I228">
        <f>H228/VLOOKUP(B228,Trades!A$1:$N$100794,9,FALSE)</f>
        <v>1.9200000000000017</v>
      </c>
    </row>
    <row r="229" spans="1:9" x14ac:dyDescent="0.25">
      <c r="A229">
        <f t="shared" si="20"/>
        <v>228</v>
      </c>
      <c r="B229" t="s">
        <v>403</v>
      </c>
      <c r="C229" s="1">
        <v>46168</v>
      </c>
      <c r="D229" t="str">
        <f>VLOOKUP(B229,Trades!A$1:N101021,3,FALSE)</f>
        <v>INTC</v>
      </c>
      <c r="E229" t="s">
        <v>61</v>
      </c>
      <c r="F229">
        <v>121.23</v>
      </c>
      <c r="G229">
        <v>4</v>
      </c>
      <c r="H229">
        <f>IF(VLOOKUP(B229,Trades!A:N,4,FALSE)="Long",(F229-VLOOKUP(B229,Trades!A:N,6,FALSE))*G229,(VLOOKUP(B229,Trades!A:N,6,FALSE)-F229)*G229)</f>
        <v>8.8400000000000318</v>
      </c>
      <c r="I229">
        <f>H229/VLOOKUP(B229,Trades!A$1:$N$100794,9,FALSE)</f>
        <v>1.105000000000004</v>
      </c>
    </row>
    <row r="230" spans="1:9" x14ac:dyDescent="0.25">
      <c r="A230">
        <f t="shared" si="20"/>
        <v>229</v>
      </c>
      <c r="B230" t="s">
        <v>405</v>
      </c>
      <c r="C230" s="1">
        <v>46168</v>
      </c>
      <c r="D230" t="str">
        <f>VLOOKUP(B230,Trades!A$1:N101022,3,FALSE)</f>
        <v>MU</v>
      </c>
      <c r="E230" t="s">
        <v>61</v>
      </c>
      <c r="F230">
        <v>867.25</v>
      </c>
      <c r="G230">
        <v>2</v>
      </c>
      <c r="H230">
        <f>IF(VLOOKUP(B230,Trades!A:N,4,FALSE)="Long",(F230-VLOOKUP(B230,Trades!A:N,6,FALSE))*G230,(VLOOKUP(B230,Trades!A:N,6,FALSE)-F230)*G230)</f>
        <v>45.980000000000018</v>
      </c>
      <c r="I230">
        <f>H230/VLOOKUP(B230,Trades!A$1:$N$100794,9,FALSE)</f>
        <v>22.990000000000009</v>
      </c>
    </row>
    <row r="231" spans="1:9" x14ac:dyDescent="0.25">
      <c r="A231">
        <f t="shared" si="20"/>
        <v>230</v>
      </c>
      <c r="B231" t="s">
        <v>308</v>
      </c>
      <c r="C231" s="1">
        <v>46168</v>
      </c>
      <c r="D231" t="str">
        <f>VLOOKUP(B231,Trades!A$1:N101023,3,FALSE)</f>
        <v>FROG</v>
      </c>
      <c r="E231" t="s">
        <v>61</v>
      </c>
      <c r="F231">
        <v>74.75</v>
      </c>
      <c r="G231">
        <v>2</v>
      </c>
      <c r="H231">
        <f>IF(VLOOKUP(B231,Trades!A:N,4,FALSE)="Long",(F231-VLOOKUP(B231,Trades!A:N,6,FALSE))*G231,(VLOOKUP(B231,Trades!A:N,6,FALSE)-F231)*G231)</f>
        <v>38.5</v>
      </c>
      <c r="I231">
        <f>H231/VLOOKUP(B231,Trades!A$1:$N$100794,9,FALSE)</f>
        <v>9.625</v>
      </c>
    </row>
    <row r="232" spans="1:9" x14ac:dyDescent="0.25">
      <c r="A232">
        <f t="shared" si="20"/>
        <v>231</v>
      </c>
      <c r="B232" t="s">
        <v>406</v>
      </c>
      <c r="C232" s="1">
        <v>46168</v>
      </c>
      <c r="D232" t="str">
        <f>VLOOKUP(B232,Trades!A$1:N101024,3,FALSE)</f>
        <v>HPQ</v>
      </c>
      <c r="E232" t="s">
        <v>61</v>
      </c>
      <c r="F232">
        <v>24.26</v>
      </c>
      <c r="G232">
        <v>8</v>
      </c>
      <c r="H232">
        <f>IF(VLOOKUP(B232,Trades!A:N,4,FALSE)="Long",(F232-VLOOKUP(B232,Trades!A:N,6,FALSE))*G232,(VLOOKUP(B232,Trades!A:N,6,FALSE)-F232)*G232)</f>
        <v>-8</v>
      </c>
      <c r="I232">
        <f>H232/VLOOKUP(B232,Trades!A$1:$N$100794,9,FALSE)</f>
        <v>-1</v>
      </c>
    </row>
    <row r="233" spans="1:9" x14ac:dyDescent="0.25">
      <c r="A233">
        <f t="shared" si="20"/>
        <v>232</v>
      </c>
      <c r="B233" t="s">
        <v>407</v>
      </c>
      <c r="C233" s="1">
        <v>46168</v>
      </c>
      <c r="D233" t="str">
        <f>VLOOKUP(B233,Trades!A$1:N101025,3,FALSE)</f>
        <v>NVDA</v>
      </c>
      <c r="E233" t="s">
        <v>61</v>
      </c>
      <c r="F233">
        <v>214.01</v>
      </c>
      <c r="G233">
        <v>4</v>
      </c>
      <c r="H233">
        <f>IF(VLOOKUP(B233,Trades!A:N,4,FALSE)="Long",(F233-VLOOKUP(B233,Trades!A:N,6,FALSE))*G233,(VLOOKUP(B233,Trades!A:N,6,FALSE)-F233)*G233)</f>
        <v>-4.0800000000000409</v>
      </c>
      <c r="I233">
        <f>H233/VLOOKUP(B233,Trades!A$1:$N$100794,9,FALSE)</f>
        <v>-1.0200000000000102</v>
      </c>
    </row>
    <row r="234" spans="1:9" x14ac:dyDescent="0.25">
      <c r="A234">
        <f t="shared" si="20"/>
        <v>233</v>
      </c>
      <c r="B234" t="s">
        <v>408</v>
      </c>
      <c r="C234" s="1">
        <v>46168</v>
      </c>
      <c r="D234" t="str">
        <f>VLOOKUP(B234,Trades!A$1:N101026,3,FALSE)</f>
        <v>INTC</v>
      </c>
      <c r="E234" t="s">
        <v>61</v>
      </c>
      <c r="F234">
        <v>121.74</v>
      </c>
      <c r="G234">
        <v>8</v>
      </c>
      <c r="H234">
        <f>IF(VLOOKUP(B234,Trades!A:N,4,FALSE)="Long",(F234-VLOOKUP(B234,Trades!A:N,6,FALSE))*G234,(VLOOKUP(B234,Trades!A:N,6,FALSE)-F234)*G234)</f>
        <v>-6.32000000000005</v>
      </c>
      <c r="I234">
        <f>H234/VLOOKUP(B234,Trades!A$1:$N$100794,9,FALSE)</f>
        <v>-0.79000000000000625</v>
      </c>
    </row>
    <row r="235" spans="1:9" x14ac:dyDescent="0.25">
      <c r="A235">
        <f t="shared" si="20"/>
        <v>234</v>
      </c>
      <c r="B235" t="s">
        <v>409</v>
      </c>
      <c r="C235" s="1">
        <v>46168</v>
      </c>
      <c r="D235" t="str">
        <f>VLOOKUP(B235,Trades!A$1:N101027,3,FALSE)</f>
        <v>MU</v>
      </c>
      <c r="E235" t="s">
        <v>61</v>
      </c>
      <c r="F235">
        <v>879.44</v>
      </c>
      <c r="G235">
        <v>3</v>
      </c>
      <c r="H235">
        <f>IF(VLOOKUP(B235,Trades!A:N,4,FALSE)="Long",(F235-VLOOKUP(B235,Trades!A:N,6,FALSE))*G235,(VLOOKUP(B235,Trades!A:N,6,FALSE)-F235)*G235)</f>
        <v>16.050000000000068</v>
      </c>
      <c r="I235">
        <f>H235/VLOOKUP(B235,Trades!A$1:$N$100794,9,FALSE)</f>
        <v>5.3500000000000227</v>
      </c>
    </row>
    <row r="236" spans="1:9" x14ac:dyDescent="0.25">
      <c r="A236">
        <f t="shared" ref="A236:A249" si="21">ROW()-1</f>
        <v>235</v>
      </c>
      <c r="B236" t="s">
        <v>412</v>
      </c>
      <c r="C236" s="1">
        <v>46169</v>
      </c>
      <c r="D236" t="str">
        <f>VLOOKUP(B236,Trades!A$1:N101028,3,FALSE)</f>
        <v>MU</v>
      </c>
      <c r="E236" t="s">
        <v>61</v>
      </c>
      <c r="F236">
        <v>916.7</v>
      </c>
      <c r="G236">
        <v>4</v>
      </c>
      <c r="H236">
        <f>IF(VLOOKUP(B236,Trades!A:N,4,FALSE)="Long",(F236-VLOOKUP(B236,Trades!A:N,6,FALSE))*G236,(VLOOKUP(B236,Trades!A:N,6,FALSE)-F236)*G236)</f>
        <v>-7.2399999999997817</v>
      </c>
      <c r="I236">
        <f>H236/VLOOKUP(B236,Trades!A$1:$N$100794,9,FALSE)</f>
        <v>-1.8099999999999454</v>
      </c>
    </row>
    <row r="237" spans="1:9" x14ac:dyDescent="0.25">
      <c r="A237">
        <f t="shared" si="21"/>
        <v>236</v>
      </c>
      <c r="B237" t="s">
        <v>413</v>
      </c>
      <c r="C237" s="1">
        <v>46169</v>
      </c>
      <c r="D237" t="str">
        <f>VLOOKUP(B237,Trades!A$1:N101029,3,FALSE)</f>
        <v>AMD</v>
      </c>
      <c r="E237" t="s">
        <v>61</v>
      </c>
      <c r="F237">
        <v>498.1</v>
      </c>
      <c r="G237">
        <v>2</v>
      </c>
      <c r="H237">
        <f>IF(VLOOKUP(B237,Trades!A:N,4,FALSE)="Long",(F237-VLOOKUP(B237,Trades!A:N,6,FALSE))*G237,(VLOOKUP(B237,Trades!A:N,6,FALSE)-F237)*G237)</f>
        <v>-11.919999999999959</v>
      </c>
      <c r="I237">
        <f>H237/VLOOKUP(B237,Trades!A$1:$N$100794,9,FALSE)</f>
        <v>-5.9599999999999795</v>
      </c>
    </row>
    <row r="238" spans="1:9" x14ac:dyDescent="0.25">
      <c r="A238">
        <f t="shared" si="21"/>
        <v>237</v>
      </c>
      <c r="B238" t="s">
        <v>414</v>
      </c>
      <c r="C238" s="1">
        <v>46169</v>
      </c>
      <c r="D238" t="str">
        <f>VLOOKUP(B238,Trades!A$1:N101030,3,FALSE)</f>
        <v>AMZN</v>
      </c>
      <c r="E238" t="s">
        <v>61</v>
      </c>
      <c r="F238">
        <v>271.43</v>
      </c>
      <c r="G238">
        <v>4</v>
      </c>
      <c r="H238">
        <f>IF(VLOOKUP(B238,Trades!A:N,4,FALSE)="Long",(F238-VLOOKUP(B238,Trades!A:N,6,FALSE))*G238,(VLOOKUP(B238,Trades!A:N,6,FALSE)-F238)*G238)</f>
        <v>6.4400000000000546</v>
      </c>
      <c r="I238">
        <f>H238/VLOOKUP(B238,Trades!A$1:$N$100794,9,FALSE)</f>
        <v>1.6100000000000136</v>
      </c>
    </row>
    <row r="239" spans="1:9" x14ac:dyDescent="0.25">
      <c r="A239">
        <f t="shared" si="21"/>
        <v>238</v>
      </c>
      <c r="B239" t="s">
        <v>415</v>
      </c>
      <c r="C239" s="1">
        <v>46169</v>
      </c>
      <c r="D239" t="str">
        <f>VLOOKUP(B239,Trades!A$1:N101031,3,FALSE)</f>
        <v>SMTC</v>
      </c>
      <c r="E239" t="s">
        <v>61</v>
      </c>
      <c r="F239">
        <v>155.72999999999999</v>
      </c>
      <c r="G239">
        <v>4</v>
      </c>
      <c r="H239">
        <f>IF(VLOOKUP(B239,Trades!A:N,4,FALSE)="Long",(F239-VLOOKUP(B239,Trades!A:N,6,FALSE))*G239,(VLOOKUP(B239,Trades!A:N,6,FALSE)-F239)*G239)</f>
        <v>-25.879999999999995</v>
      </c>
      <c r="I239">
        <f>H239/VLOOKUP(B239,Trades!A$1:$N$100794,9,FALSE)</f>
        <v>-6.4699999999999989</v>
      </c>
    </row>
    <row r="240" spans="1:9" x14ac:dyDescent="0.25">
      <c r="A240">
        <f t="shared" si="21"/>
        <v>239</v>
      </c>
      <c r="B240" t="s">
        <v>416</v>
      </c>
      <c r="C240" s="1">
        <v>46170</v>
      </c>
      <c r="D240" t="str">
        <f>VLOOKUP(B240,Trades!A$1:N101032,3,FALSE)</f>
        <v>NVDA</v>
      </c>
      <c r="E240" t="s">
        <v>61</v>
      </c>
      <c r="F240">
        <v>212.44</v>
      </c>
      <c r="G240">
        <v>4</v>
      </c>
      <c r="H240">
        <f>IF(VLOOKUP(B240,Trades!A:N,4,FALSE)="Long",(F240-VLOOKUP(B240,Trades!A:N,6,FALSE))*G240,(VLOOKUP(B240,Trades!A:N,6,FALSE)-F240)*G240)</f>
        <v>-4.8799999999999955</v>
      </c>
      <c r="I240">
        <f>H240/VLOOKUP(B240,Trades!A$1:$N$100794,9,FALSE)</f>
        <v>-1.2199999999999989</v>
      </c>
    </row>
    <row r="241" spans="1:9" x14ac:dyDescent="0.25">
      <c r="A241">
        <f t="shared" si="21"/>
        <v>240</v>
      </c>
      <c r="B241" t="s">
        <v>418</v>
      </c>
      <c r="C241" s="1">
        <v>46170</v>
      </c>
      <c r="D241" t="str">
        <f>VLOOKUP(B241,Trades!A$1:N101033,3,FALSE)</f>
        <v>SNOW</v>
      </c>
      <c r="E241" t="s">
        <v>61</v>
      </c>
      <c r="F241">
        <v>238.11</v>
      </c>
      <c r="G241">
        <v>4</v>
      </c>
      <c r="H241">
        <f>IF(VLOOKUP(B241,Trades!A:N,4,FALSE)="Long",(F241-VLOOKUP(B241,Trades!A:N,6,FALSE))*G241,(VLOOKUP(B241,Trades!A:N,6,FALSE)-F241)*G241)</f>
        <v>17.160000000000082</v>
      </c>
      <c r="I241">
        <f>H241/VLOOKUP(B241,Trades!A$1:$N$100794,9,FALSE)</f>
        <v>4.2900000000000205</v>
      </c>
    </row>
    <row r="242" spans="1:9" x14ac:dyDescent="0.25">
      <c r="A242">
        <f t="shared" si="21"/>
        <v>241</v>
      </c>
      <c r="B242" t="s">
        <v>419</v>
      </c>
      <c r="C242" s="1">
        <v>46170</v>
      </c>
      <c r="D242" t="str">
        <f>VLOOKUP(B242,Trades!A$1:N101034,3,FALSE)</f>
        <v>KTOS</v>
      </c>
      <c r="E242" t="s">
        <v>61</v>
      </c>
      <c r="F242">
        <v>65.459999999999994</v>
      </c>
      <c r="G242">
        <v>5</v>
      </c>
      <c r="H242">
        <f>IF(VLOOKUP(B242,Trades!A:N,4,FALSE)="Long",(F242-VLOOKUP(B242,Trades!A:N,6,FALSE))*G242,(VLOOKUP(B242,Trades!A:N,6,FALSE)-F242)*G242)</f>
        <v>12.64999999999997</v>
      </c>
      <c r="I242">
        <f>H242/VLOOKUP(B242,Trades!A$1:$N$100794,9,FALSE)</f>
        <v>1.264999999999997</v>
      </c>
    </row>
    <row r="243" spans="1:9" x14ac:dyDescent="0.25">
      <c r="A243">
        <f t="shared" si="21"/>
        <v>242</v>
      </c>
      <c r="B243" t="s">
        <v>420</v>
      </c>
      <c r="C243" s="1">
        <v>46170</v>
      </c>
      <c r="D243" t="str">
        <f>VLOOKUP(B243,Trades!A$1:N101035,3,FALSE)</f>
        <v>APP</v>
      </c>
      <c r="E243" t="s">
        <v>61</v>
      </c>
      <c r="F243">
        <v>596.38</v>
      </c>
      <c r="G243">
        <v>2</v>
      </c>
      <c r="H243">
        <f>IF(VLOOKUP(B243,Trades!A:N,4,FALSE)="Long",(F243-VLOOKUP(B243,Trades!A:N,6,FALSE))*G243,(VLOOKUP(B243,Trades!A:N,6,FALSE)-F243)*G243)</f>
        <v>36.240000000000009</v>
      </c>
      <c r="I243">
        <f>H243/VLOOKUP(B243,Trades!A$1:$N$100794,9,FALSE)</f>
        <v>18.120000000000005</v>
      </c>
    </row>
    <row r="244" spans="1:9" x14ac:dyDescent="0.25">
      <c r="A244">
        <f t="shared" si="21"/>
        <v>243</v>
      </c>
      <c r="B244" t="s">
        <v>421</v>
      </c>
      <c r="C244" s="1">
        <v>46170</v>
      </c>
      <c r="D244" t="str">
        <f>VLOOKUP(B244,Trades!A$1:N101036,3,FALSE)</f>
        <v>NVDA</v>
      </c>
      <c r="E244" t="s">
        <v>61</v>
      </c>
      <c r="F244">
        <v>211.55</v>
      </c>
      <c r="G244">
        <v>4</v>
      </c>
      <c r="H244">
        <f>IF(VLOOKUP(B244,Trades!A:N,4,FALSE)="Long",(F244-VLOOKUP(B244,Trades!A:N,6,FALSE))*G244,(VLOOKUP(B244,Trades!A:N,6,FALSE)-F244)*G244)</f>
        <v>-4</v>
      </c>
      <c r="I244">
        <f>H244/VLOOKUP(B244,Trades!A$1:$N$100794,9,FALSE)</f>
        <v>-1</v>
      </c>
    </row>
    <row r="245" spans="1:9" x14ac:dyDescent="0.25">
      <c r="A245">
        <f t="shared" si="21"/>
        <v>244</v>
      </c>
      <c r="B245" t="s">
        <v>422</v>
      </c>
      <c r="C245" s="1">
        <v>46170</v>
      </c>
      <c r="D245" t="str">
        <f>VLOOKUP(B245,Trades!A$1:N101037,3,FALSE)</f>
        <v>SMCI</v>
      </c>
      <c r="E245" t="s">
        <v>61</v>
      </c>
      <c r="F245">
        <v>40.950000000000003</v>
      </c>
      <c r="G245">
        <v>2</v>
      </c>
      <c r="H245">
        <f>IF(VLOOKUP(B245,Trades!A:N,4,FALSE)="Long",(F245-VLOOKUP(B245,Trades!A:N,6,FALSE))*G245,(VLOOKUP(B245,Trades!A:N,6,FALSE)-F245)*G245)</f>
        <v>19.580000000000005</v>
      </c>
      <c r="I245">
        <f>H245/VLOOKUP(B245,Trades!A$1:$N$100794,9,FALSE)</f>
        <v>4.8950000000000014</v>
      </c>
    </row>
    <row r="246" spans="1:9" x14ac:dyDescent="0.25">
      <c r="A246">
        <f t="shared" si="21"/>
        <v>245</v>
      </c>
      <c r="B246" t="s">
        <v>423</v>
      </c>
      <c r="C246" s="1">
        <v>46170</v>
      </c>
      <c r="D246" t="str">
        <f>VLOOKUP(B246,Trades!A$1:N101038,3,FALSE)</f>
        <v>MU</v>
      </c>
      <c r="E246" t="s">
        <v>61</v>
      </c>
      <c r="F246">
        <v>945.1</v>
      </c>
      <c r="G246">
        <v>2</v>
      </c>
      <c r="H246">
        <f>IF(VLOOKUP(B246,Trades!A:N,4,FALSE)="Long",(F246-VLOOKUP(B246,Trades!A:N,6,FALSE))*G246,(VLOOKUP(B246,Trades!A:N,6,FALSE)-F246)*G246)</f>
        <v>28.799999999999955</v>
      </c>
      <c r="I246">
        <f>H246/VLOOKUP(B246,Trades!A$1:$N$100794,9,FALSE)</f>
        <v>14.399999999999977</v>
      </c>
    </row>
    <row r="247" spans="1:9" x14ac:dyDescent="0.25">
      <c r="A247">
        <f t="shared" si="21"/>
        <v>246</v>
      </c>
      <c r="B247" t="s">
        <v>424</v>
      </c>
      <c r="C247" s="1">
        <v>46170</v>
      </c>
      <c r="D247" t="str">
        <f>VLOOKUP(B247,Trades!A$1:N101039,3,FALSE)</f>
        <v>GOOG</v>
      </c>
      <c r="E247" t="s">
        <v>61</v>
      </c>
      <c r="F247">
        <v>386.92</v>
      </c>
      <c r="G247">
        <v>3</v>
      </c>
      <c r="H247">
        <f>IF(VLOOKUP(B247,Trades!A:N,4,FALSE)="Long",(F247-VLOOKUP(B247,Trades!A:N,6,FALSE))*G247,(VLOOKUP(B247,Trades!A:N,6,FALSE)-F247)*G247)</f>
        <v>5.9700000000000273</v>
      </c>
      <c r="I247">
        <f>H247/VLOOKUP(B247,Trades!A$1:$N$100794,9,FALSE)</f>
        <v>1.9900000000000091</v>
      </c>
    </row>
    <row r="248" spans="1:9" x14ac:dyDescent="0.25">
      <c r="A248">
        <f t="shared" si="21"/>
        <v>247</v>
      </c>
      <c r="B248" t="s">
        <v>425</v>
      </c>
      <c r="C248" s="1">
        <v>46160</v>
      </c>
      <c r="D248" t="str">
        <f>VLOOKUP(B248,Trades!A$1:N101040,3,FALSE)</f>
        <v>INTC</v>
      </c>
      <c r="E248" t="s">
        <v>61</v>
      </c>
      <c r="F248">
        <v>106.93</v>
      </c>
      <c r="G248">
        <v>4</v>
      </c>
      <c r="H248">
        <f>IF(VLOOKUP(B248,Trades!A:N,4,FALSE)="Long",(F248-VLOOKUP(B248,Trades!A:N,6,FALSE))*G248,(VLOOKUP(B248,Trades!A:N,6,FALSE)-F248)*G248)</f>
        <v>-8</v>
      </c>
      <c r="I248">
        <f>H248/VLOOKUP(B248,Trades!A$1:$N$100794,9,FALSE)</f>
        <v>-2</v>
      </c>
    </row>
    <row r="249" spans="1:9" x14ac:dyDescent="0.25">
      <c r="A249">
        <f t="shared" si="21"/>
        <v>248</v>
      </c>
      <c r="B249" t="s">
        <v>419</v>
      </c>
      <c r="C249" s="1">
        <v>46170</v>
      </c>
      <c r="D249" t="str">
        <f>VLOOKUP(B249,Trades!A$1:N101041,3,FALSE)</f>
        <v>KTOS</v>
      </c>
      <c r="E249" t="s">
        <v>61</v>
      </c>
      <c r="F249">
        <v>65.72</v>
      </c>
      <c r="G249">
        <v>5</v>
      </c>
      <c r="H249">
        <f>IF(VLOOKUP(B249,Trades!A:N,4,FALSE)="Long",(F249-VLOOKUP(B249,Trades!A:N,6,FALSE))*G249,(VLOOKUP(B249,Trades!A:N,6,FALSE)-F249)*G249)</f>
        <v>13.949999999999996</v>
      </c>
      <c r="I249">
        <f>H249/VLOOKUP(B249,Trades!A$1:$N$100794,9,FALSE)</f>
        <v>1.3949999999999996</v>
      </c>
    </row>
    <row r="250" spans="1:9" x14ac:dyDescent="0.25">
      <c r="A250">
        <f t="shared" ref="A250:A257" si="22">ROW()-1</f>
        <v>249</v>
      </c>
      <c r="B250" t="s">
        <v>427</v>
      </c>
      <c r="C250" s="1">
        <v>46171</v>
      </c>
      <c r="D250" t="str">
        <f>VLOOKUP(B250,Trades!A$1:N101042,3,FALSE)</f>
        <v>APP</v>
      </c>
      <c r="E250" t="s">
        <v>61</v>
      </c>
      <c r="F250">
        <v>589.47</v>
      </c>
      <c r="G250">
        <v>2</v>
      </c>
      <c r="H250">
        <f>IF(VLOOKUP(B250,Trades!A:N,4,FALSE)="Long",(F250-VLOOKUP(B250,Trades!A:N,6,FALSE))*G250,(VLOOKUP(B250,Trades!A:N,6,FALSE)-F250)*G250)</f>
        <v>-7.3999999999998636</v>
      </c>
      <c r="I250">
        <f>H250/VLOOKUP(B250,Trades!A$1:$N$100794,9,FALSE)</f>
        <v>-3.6999999999999318</v>
      </c>
    </row>
    <row r="251" spans="1:9" x14ac:dyDescent="0.25">
      <c r="A251">
        <f t="shared" si="22"/>
        <v>250</v>
      </c>
      <c r="B251" t="s">
        <v>426</v>
      </c>
      <c r="C251" s="1">
        <v>46171</v>
      </c>
      <c r="D251" t="str">
        <f>VLOOKUP(B251,Trades!A$1:N101043,3,FALSE)</f>
        <v>PLTR</v>
      </c>
      <c r="E251" t="s">
        <v>61</v>
      </c>
      <c r="F251">
        <v>152.49</v>
      </c>
      <c r="G251">
        <v>4</v>
      </c>
      <c r="H251">
        <f>IF(VLOOKUP(B251,Trades!A:N,4,FALSE)="Long",(F251-VLOOKUP(B251,Trades!A:N,6,FALSE))*G251,(VLOOKUP(B251,Trades!A:N,6,FALSE)-F251)*G251)</f>
        <v>10.400000000000091</v>
      </c>
      <c r="I251">
        <f>H251/VLOOKUP(B251,Trades!A$1:$N$100794,9,FALSE)</f>
        <v>1.3000000000000114</v>
      </c>
    </row>
    <row r="252" spans="1:9" x14ac:dyDescent="0.25">
      <c r="A252">
        <f t="shared" si="22"/>
        <v>251</v>
      </c>
      <c r="B252" t="s">
        <v>429</v>
      </c>
      <c r="C252" s="1">
        <v>46171</v>
      </c>
      <c r="D252" t="str">
        <f>VLOOKUP(B252,Trades!A$1:N101044,3,FALSE)</f>
        <v>DELL</v>
      </c>
      <c r="E252" t="s">
        <v>61</v>
      </c>
      <c r="F252">
        <v>422</v>
      </c>
      <c r="G252">
        <v>2</v>
      </c>
      <c r="H252">
        <f>IF(VLOOKUP(B252,Trades!A:N,4,FALSE)="Long",(F252-VLOOKUP(B252,Trades!A:N,6,FALSE))*G252,(VLOOKUP(B252,Trades!A:N,6,FALSE)-F252)*G252)</f>
        <v>-4.3600000000000136</v>
      </c>
      <c r="I252">
        <f>H252/VLOOKUP(B252,Trades!A$1:$N$100794,9,FALSE)</f>
        <v>-2.1800000000000068</v>
      </c>
    </row>
    <row r="253" spans="1:9" x14ac:dyDescent="0.25">
      <c r="A253">
        <f t="shared" si="22"/>
        <v>252</v>
      </c>
      <c r="B253" t="s">
        <v>430</v>
      </c>
      <c r="C253" s="1">
        <v>46171</v>
      </c>
      <c r="D253" t="str">
        <f>VLOOKUP(B253,Trades!A$1:N101045,3,FALSE)</f>
        <v>QUBT</v>
      </c>
      <c r="E253" t="s">
        <v>61</v>
      </c>
      <c r="F253">
        <v>11.62</v>
      </c>
      <c r="G253">
        <v>30</v>
      </c>
      <c r="H253">
        <f>IF(VLOOKUP(B253,Trades!A:N,4,FALSE)="Long",(F253-VLOOKUP(B253,Trades!A:N,6,FALSE))*G253,(VLOOKUP(B253,Trades!A:N,6,FALSE)-F253)*G253)</f>
        <v>-5.4000000000000448</v>
      </c>
      <c r="I253">
        <f>H253/VLOOKUP(B253,Trades!A$1:$N$100794,9,FALSE)</f>
        <v>-0.18000000000000149</v>
      </c>
    </row>
    <row r="254" spans="1:9" x14ac:dyDescent="0.25">
      <c r="A254">
        <f t="shared" si="22"/>
        <v>253</v>
      </c>
      <c r="B254" t="s">
        <v>431</v>
      </c>
      <c r="C254" s="1">
        <v>46171</v>
      </c>
      <c r="D254" t="str">
        <f>VLOOKUP(B254,Trades!A$1:N101046,3,FALSE)</f>
        <v>AMD</v>
      </c>
      <c r="E254" t="s">
        <v>61</v>
      </c>
      <c r="F254">
        <v>515.41999999999996</v>
      </c>
      <c r="G254">
        <v>2</v>
      </c>
      <c r="H254">
        <f>IF(VLOOKUP(B254,Trades!A:N,4,FALSE)="Long",(F254-VLOOKUP(B254,Trades!A:N,6,FALSE))*G254,(VLOOKUP(B254,Trades!A:N,6,FALSE)-F254)*G254)</f>
        <v>-7.3800000000001091</v>
      </c>
      <c r="I254">
        <f>H254/VLOOKUP(B254,Trades!A$1:$N$100794,9,FALSE)</f>
        <v>-3.6900000000000546</v>
      </c>
    </row>
    <row r="255" spans="1:9" x14ac:dyDescent="0.25">
      <c r="A255">
        <f t="shared" si="22"/>
        <v>254</v>
      </c>
      <c r="B255" t="s">
        <v>432</v>
      </c>
      <c r="C255" s="1">
        <v>46171</v>
      </c>
      <c r="D255" t="str">
        <f>VLOOKUP(B255,Trades!A$1:N101047,3,FALSE)</f>
        <v>MU</v>
      </c>
      <c r="E255" t="s">
        <v>61</v>
      </c>
      <c r="F255">
        <v>969.2</v>
      </c>
      <c r="G255">
        <v>2</v>
      </c>
      <c r="H255">
        <f>IF(VLOOKUP(B255,Trades!A:N,4,FALSE)="Long",(F255-VLOOKUP(B255,Trades!A:N,6,FALSE))*G255,(VLOOKUP(B255,Trades!A:N,6,FALSE)-F255)*G255)</f>
        <v>-3.2599999999999909</v>
      </c>
      <c r="I255">
        <f>H255/VLOOKUP(B255,Trades!A$1:$N$100794,9,FALSE)</f>
        <v>-1.6299999999999955</v>
      </c>
    </row>
    <row r="256" spans="1:9" x14ac:dyDescent="0.25">
      <c r="A256">
        <f t="shared" si="22"/>
        <v>255</v>
      </c>
      <c r="B256" t="s">
        <v>426</v>
      </c>
      <c r="C256" s="1">
        <v>46171</v>
      </c>
      <c r="D256" t="str">
        <f>VLOOKUP(B256,Trades!A$1:N101048,3,FALSE)</f>
        <v>PLTR</v>
      </c>
      <c r="E256" t="s">
        <v>61</v>
      </c>
      <c r="F256">
        <v>157.63999999999999</v>
      </c>
      <c r="G256">
        <v>4</v>
      </c>
      <c r="H256">
        <f>IF(VLOOKUP(B256,Trades!A:N,4,FALSE)="Long",(F256-VLOOKUP(B256,Trades!A:N,6,FALSE))*G256,(VLOOKUP(B256,Trades!A:N,6,FALSE)-F256)*G256)</f>
        <v>31</v>
      </c>
      <c r="I256">
        <f>H256/VLOOKUP(B256,Trades!A$1:$N$100794,9,FALSE)</f>
        <v>3.875</v>
      </c>
    </row>
    <row r="257" spans="1:9" x14ac:dyDescent="0.25">
      <c r="A257">
        <f t="shared" si="22"/>
        <v>256</v>
      </c>
      <c r="B257" t="s">
        <v>433</v>
      </c>
      <c r="C257" s="1">
        <v>46171</v>
      </c>
      <c r="D257" t="str">
        <f>VLOOKUP(B257,Trades!A$1:N101049,3,FALSE)</f>
        <v>NVDA</v>
      </c>
      <c r="E257" t="s">
        <v>61</v>
      </c>
      <c r="F257">
        <v>214.75</v>
      </c>
      <c r="G257">
        <v>4</v>
      </c>
      <c r="H257">
        <f>IF(VLOOKUP(B257,Trades!A:N,4,FALSE)="Long",(F257-VLOOKUP(B257,Trades!A:N,6,FALSE))*G257,(VLOOKUP(B257,Trades!A:N,6,FALSE)-F257)*G257)</f>
        <v>-4</v>
      </c>
      <c r="I257">
        <f>H257/VLOOKUP(B257,Trades!A$1:$N$100794,9,FALSE)</f>
        <v>-1</v>
      </c>
    </row>
    <row r="258" spans="1:9" x14ac:dyDescent="0.25">
      <c r="A258">
        <f t="shared" ref="A258:A269" si="23">ROW()-1</f>
        <v>257</v>
      </c>
      <c r="B258" t="s">
        <v>434</v>
      </c>
      <c r="C258" s="1">
        <v>46174</v>
      </c>
      <c r="D258" t="str">
        <f>VLOOKUP(B258,Trades!A$1:N101050,3,FALSE)</f>
        <v>KTOS</v>
      </c>
      <c r="E258" t="s">
        <v>61</v>
      </c>
      <c r="F258">
        <v>63.3</v>
      </c>
      <c r="G258">
        <v>8</v>
      </c>
      <c r="H258">
        <f>IF(VLOOKUP(B258,Trades!A:N,4,FALSE)="Long",(F258-VLOOKUP(B258,Trades!A:N,6,FALSE))*G258,(VLOOKUP(B258,Trades!A:N,6,FALSE)-F258)*G258)</f>
        <v>-6</v>
      </c>
      <c r="I258">
        <f>H258/VLOOKUP(B258,Trades!A$1:$N$100794,9,FALSE)</f>
        <v>-1.5</v>
      </c>
    </row>
    <row r="259" spans="1:9" x14ac:dyDescent="0.25">
      <c r="A259">
        <f t="shared" si="23"/>
        <v>258</v>
      </c>
      <c r="B259" t="s">
        <v>435</v>
      </c>
      <c r="C259" s="1">
        <v>46174</v>
      </c>
      <c r="D259" t="str">
        <f>VLOOKUP(B259,Trades!A$1:N101051,3,FALSE)</f>
        <v>APPS</v>
      </c>
      <c r="E259" t="s">
        <v>61</v>
      </c>
      <c r="F259">
        <v>9.3800000000000008</v>
      </c>
      <c r="G259">
        <v>20</v>
      </c>
      <c r="H259">
        <f>IF(VLOOKUP(B259,Trades!A:N,4,FALSE)="Long",(F259-VLOOKUP(B259,Trades!A:N,6,FALSE))*G259,(VLOOKUP(B259,Trades!A:N,6,FALSE)-F259)*G259)</f>
        <v>16.20000000000001</v>
      </c>
      <c r="I259">
        <f>H259/VLOOKUP(B259,Trades!A$1:$N$100794,9,FALSE)</f>
        <v>0.8100000000000005</v>
      </c>
    </row>
    <row r="260" spans="1:9" x14ac:dyDescent="0.25">
      <c r="A260">
        <f t="shared" si="23"/>
        <v>259</v>
      </c>
      <c r="B260" t="s">
        <v>436</v>
      </c>
      <c r="C260" s="1">
        <v>46174</v>
      </c>
      <c r="D260" t="str">
        <f>VLOOKUP(B260,Trades!A$1:N101052,3,FALSE)</f>
        <v>HPQ</v>
      </c>
      <c r="E260" t="s">
        <v>61</v>
      </c>
      <c r="F260">
        <v>28.36</v>
      </c>
      <c r="G260">
        <v>10</v>
      </c>
      <c r="H260">
        <f>IF(VLOOKUP(B260,Trades!A:N,4,FALSE)="Long",(F260-VLOOKUP(B260,Trades!A:N,6,FALSE))*G260,(VLOOKUP(B260,Trades!A:N,6,FALSE)-F260)*G260)</f>
        <v>10.799999999999983</v>
      </c>
      <c r="I260">
        <f>H260/VLOOKUP(B260,Trades!A$1:$N$100794,9,FALSE)</f>
        <v>1.0799999999999983</v>
      </c>
    </row>
    <row r="261" spans="1:9" x14ac:dyDescent="0.25">
      <c r="A261">
        <f t="shared" si="23"/>
        <v>260</v>
      </c>
      <c r="B261" t="s">
        <v>437</v>
      </c>
      <c r="C261" s="1">
        <v>46174</v>
      </c>
      <c r="D261" t="str">
        <f>VLOOKUP(B261,Trades!A$1:N101053,3,FALSE)</f>
        <v>ORCL</v>
      </c>
      <c r="E261" t="s">
        <v>61</v>
      </c>
      <c r="F261">
        <v>233.88</v>
      </c>
      <c r="G261">
        <v>2</v>
      </c>
      <c r="H261">
        <f>IF(VLOOKUP(B261,Trades!A:N,4,FALSE)="Long",(F261-VLOOKUP(B261,Trades!A:N,6,FALSE))*G261,(VLOOKUP(B261,Trades!A:N,6,FALSE)-F261)*G261)</f>
        <v>12.379999999999995</v>
      </c>
      <c r="I261">
        <f>H261/VLOOKUP(B261,Trades!A$1:$N$100794,9,FALSE)</f>
        <v>3.0949999999999989</v>
      </c>
    </row>
    <row r="262" spans="1:9" x14ac:dyDescent="0.25">
      <c r="A262">
        <f t="shared" si="23"/>
        <v>261</v>
      </c>
      <c r="B262" t="s">
        <v>438</v>
      </c>
      <c r="C262" s="1">
        <v>46174</v>
      </c>
      <c r="D262" t="str">
        <f>VLOOKUP(B262,Trades!A$1:N101054,3,FALSE)</f>
        <v>MSFT</v>
      </c>
      <c r="E262" t="s">
        <v>61</v>
      </c>
      <c r="F262">
        <v>459.52</v>
      </c>
      <c r="G262">
        <v>2</v>
      </c>
      <c r="H262">
        <f>IF(VLOOKUP(B262,Trades!A:N,4,FALSE)="Long",(F262-VLOOKUP(B262,Trades!A:N,6,FALSE))*G262,(VLOOKUP(B262,Trades!A:N,6,FALSE)-F262)*G262)</f>
        <v>-6</v>
      </c>
      <c r="I262">
        <f>H262/VLOOKUP(B262,Trades!A$1:$N$100794,9,FALSE)</f>
        <v>-3</v>
      </c>
    </row>
    <row r="263" spans="1:9" x14ac:dyDescent="0.25">
      <c r="A263">
        <f t="shared" si="23"/>
        <v>262</v>
      </c>
      <c r="B263" t="s">
        <v>437</v>
      </c>
      <c r="C263" s="1">
        <v>46174</v>
      </c>
      <c r="D263" t="str">
        <f>VLOOKUP(B263,Trades!A$1:N101055,3,FALSE)</f>
        <v>ORCL</v>
      </c>
      <c r="E263" t="s">
        <v>61</v>
      </c>
      <c r="F263">
        <v>235.33</v>
      </c>
      <c r="G263">
        <v>2</v>
      </c>
      <c r="H263">
        <f>IF(VLOOKUP(B263,Trades!A:N,4,FALSE)="Long",(F263-VLOOKUP(B263,Trades!A:N,6,FALSE))*G263,(VLOOKUP(B263,Trades!A:N,6,FALSE)-F263)*G263)</f>
        <v>15.28000000000003</v>
      </c>
      <c r="I263">
        <f>H263/VLOOKUP(B263,Trades!A$1:$N$100794,9,FALSE)</f>
        <v>3.8200000000000074</v>
      </c>
    </row>
    <row r="264" spans="1:9" x14ac:dyDescent="0.25">
      <c r="A264">
        <f t="shared" si="23"/>
        <v>263</v>
      </c>
      <c r="B264" t="s">
        <v>439</v>
      </c>
      <c r="C264" s="1">
        <v>46174</v>
      </c>
      <c r="D264" t="str">
        <f>VLOOKUP(B264,Trades!A$1:N101056,3,FALSE)</f>
        <v>ARM</v>
      </c>
      <c r="E264" t="s">
        <v>61</v>
      </c>
      <c r="F264">
        <v>418.46</v>
      </c>
      <c r="G264">
        <v>1</v>
      </c>
      <c r="H264">
        <f>IF(VLOOKUP(B264,Trades!A:N,4,FALSE)="Long",(F264-VLOOKUP(B264,Trades!A:N,6,FALSE))*G264,(VLOOKUP(B264,Trades!A:N,6,FALSE)-F264)*G264)</f>
        <v>165.71999999999997</v>
      </c>
      <c r="I264">
        <f>H264/VLOOKUP(B264,Trades!A$1:$N$100794,9,FALSE)</f>
        <v>165.71999999999997</v>
      </c>
    </row>
    <row r="265" spans="1:9" x14ac:dyDescent="0.25">
      <c r="A265">
        <f t="shared" si="23"/>
        <v>264</v>
      </c>
      <c r="B265" t="s">
        <v>440</v>
      </c>
      <c r="C265" s="1">
        <v>46174</v>
      </c>
      <c r="D265" t="str">
        <f>VLOOKUP(B265,Trades!A$1:N101057,3,FALSE)</f>
        <v>DELL</v>
      </c>
      <c r="E265" t="s">
        <v>61</v>
      </c>
      <c r="F265">
        <v>452.72</v>
      </c>
      <c r="G265">
        <v>2</v>
      </c>
      <c r="H265">
        <f>IF(VLOOKUP(B265,Trades!A:N,4,FALSE)="Long",(F265-VLOOKUP(B265,Trades!A:N,6,FALSE))*G265,(VLOOKUP(B265,Trades!A:N,6,FALSE)-F265)*G265)</f>
        <v>-5.8799999999999955</v>
      </c>
      <c r="I265">
        <f>H265/VLOOKUP(B265,Trades!A$1:$N$100794,9,FALSE)</f>
        <v>-2.9399999999999977</v>
      </c>
    </row>
    <row r="266" spans="1:9" x14ac:dyDescent="0.25">
      <c r="A266">
        <f t="shared" si="23"/>
        <v>265</v>
      </c>
      <c r="B266" t="s">
        <v>441</v>
      </c>
      <c r="C266" s="1">
        <v>46174</v>
      </c>
      <c r="D266" t="str">
        <f>VLOOKUP(B266,Trades!A$1:N101058,3,FALSE)</f>
        <v>APP</v>
      </c>
      <c r="E266" t="s">
        <v>61</v>
      </c>
      <c r="F266">
        <v>608.44000000000005</v>
      </c>
      <c r="G266">
        <v>2</v>
      </c>
      <c r="H266">
        <f>IF(VLOOKUP(B266,Trades!A:N,4,FALSE)="Long",(F266-VLOOKUP(B266,Trades!A:N,6,FALSE))*G266,(VLOOKUP(B266,Trades!A:N,6,FALSE)-F266)*G266)</f>
        <v>29.7800000000002</v>
      </c>
      <c r="I266">
        <f>H266/VLOOKUP(B266,Trades!A$1:$N$100794,9,FALSE)</f>
        <v>14.8900000000001</v>
      </c>
    </row>
    <row r="267" spans="1:9" x14ac:dyDescent="0.25">
      <c r="A267">
        <f t="shared" si="23"/>
        <v>266</v>
      </c>
      <c r="B267" t="s">
        <v>442</v>
      </c>
      <c r="C267" s="1">
        <v>46174</v>
      </c>
      <c r="D267" t="str">
        <f>VLOOKUP(B267,Trades!A$1:N101059,3,FALSE)</f>
        <v>AMZN</v>
      </c>
      <c r="E267" t="s">
        <v>61</v>
      </c>
      <c r="F267">
        <v>263</v>
      </c>
      <c r="G267">
        <v>4</v>
      </c>
      <c r="H267">
        <f>IF(VLOOKUP(B267,Trades!A:N,4,FALSE)="Long",(F267-VLOOKUP(B267,Trades!A:N,6,FALSE))*G267,(VLOOKUP(B267,Trades!A:N,6,FALSE)-F267)*G267)</f>
        <v>-4</v>
      </c>
      <c r="I267">
        <f>H267/VLOOKUP(B267,Trades!A$1:$N$100794,9,FALSE)</f>
        <v>-1</v>
      </c>
    </row>
    <row r="268" spans="1:9" x14ac:dyDescent="0.25">
      <c r="A268">
        <f t="shared" si="23"/>
        <v>267</v>
      </c>
      <c r="B268" t="s">
        <v>443</v>
      </c>
      <c r="C268" s="1">
        <v>46174</v>
      </c>
      <c r="D268" t="str">
        <f>VLOOKUP(B268,Trades!A$1:N101060,3,FALSE)</f>
        <v>PLTR</v>
      </c>
      <c r="E268" t="s">
        <v>61</v>
      </c>
      <c r="F268">
        <v>161.30000000000001</v>
      </c>
      <c r="G268">
        <v>5</v>
      </c>
      <c r="H268">
        <f>IF(VLOOKUP(B268,Trades!A:N,4,FALSE)="Long",(F268-VLOOKUP(B268,Trades!A:N,6,FALSE))*G268,(VLOOKUP(B268,Trades!A:N,6,FALSE)-F268)*G268)</f>
        <v>18.599999999999994</v>
      </c>
      <c r="I268">
        <f>H268/VLOOKUP(B268,Trades!A$1:$N$100794,9,FALSE)</f>
        <v>3.7199999999999989</v>
      </c>
    </row>
    <row r="269" spans="1:9" x14ac:dyDescent="0.25">
      <c r="A269">
        <f t="shared" si="23"/>
        <v>268</v>
      </c>
      <c r="B269" t="s">
        <v>444</v>
      </c>
      <c r="C269" s="1">
        <v>46174</v>
      </c>
      <c r="D269" t="str">
        <f>VLOOKUP(B269,Trades!A$1:N101061,3,FALSE)</f>
        <v>QCOM</v>
      </c>
      <c r="E269" t="s">
        <v>61</v>
      </c>
      <c r="F269">
        <v>231.81</v>
      </c>
      <c r="G269">
        <v>3</v>
      </c>
      <c r="H269">
        <f>IF(VLOOKUP(B269,Trades!A:N,4,FALSE)="Long",(F269-VLOOKUP(B269,Trades!A:N,6,FALSE))*G269,(VLOOKUP(B269,Trades!A:N,6,FALSE)-F269)*G269)</f>
        <v>-4.7399999999999523</v>
      </c>
      <c r="I269">
        <f>H269/VLOOKUP(B269,Trades!A$1:$N$100794,9,FALSE)</f>
        <v>-1.5799999999999841</v>
      </c>
    </row>
    <row r="270" spans="1:9" x14ac:dyDescent="0.25">
      <c r="A270">
        <f t="shared" ref="A270:A279" si="24">ROW()-1</f>
        <v>269</v>
      </c>
      <c r="B270" t="s">
        <v>446</v>
      </c>
      <c r="C270" s="1">
        <v>46175</v>
      </c>
      <c r="D270" t="str">
        <f>VLOOKUP(B270,Trades!A$1:N101062,3,FALSE)</f>
        <v>HPE</v>
      </c>
      <c r="E270" t="s">
        <v>61</v>
      </c>
      <c r="F270">
        <v>62.01</v>
      </c>
      <c r="G270">
        <v>6</v>
      </c>
      <c r="H270">
        <f>IF(VLOOKUP(B270,Trades!A:N,4,FALSE)="Long",(F270-VLOOKUP(B270,Trades!A:N,6,FALSE))*G270,(VLOOKUP(B270,Trades!A:N,6,FALSE)-F270)*G270)</f>
        <v>-7.7399999999999949</v>
      </c>
      <c r="I270">
        <f>H270/VLOOKUP(B270,Trades!A$1:$N$100794,9,FALSE)</f>
        <v>-1.2899999999999991</v>
      </c>
    </row>
    <row r="271" spans="1:9" x14ac:dyDescent="0.25">
      <c r="A271">
        <f t="shared" si="24"/>
        <v>270</v>
      </c>
      <c r="B271" t="s">
        <v>447</v>
      </c>
      <c r="C271" s="1">
        <v>46175</v>
      </c>
      <c r="D271" t="str">
        <f>VLOOKUP(B271,Trades!A$1:N101063,3,FALSE)</f>
        <v>TXN</v>
      </c>
      <c r="E271" t="s">
        <v>61</v>
      </c>
      <c r="F271">
        <v>300.3</v>
      </c>
      <c r="G271">
        <v>3</v>
      </c>
      <c r="H271">
        <f>IF(VLOOKUP(B271,Trades!A:N,4,FALSE)="Long",(F271-VLOOKUP(B271,Trades!A:N,6,FALSE))*G271,(VLOOKUP(B271,Trades!A:N,6,FALSE)-F271)*G271)</f>
        <v>-6</v>
      </c>
      <c r="I271">
        <f>H271/VLOOKUP(B271,Trades!A$1:$N$100794,9,FALSE)</f>
        <v>-2</v>
      </c>
    </row>
    <row r="272" spans="1:9" x14ac:dyDescent="0.25">
      <c r="A272">
        <f t="shared" si="24"/>
        <v>271</v>
      </c>
      <c r="B272" t="s">
        <v>448</v>
      </c>
      <c r="C272" s="1">
        <v>46175</v>
      </c>
      <c r="D272" t="str">
        <f>VLOOKUP(B272,Trades!A$1:N101064,3,FALSE)</f>
        <v>MRVL</v>
      </c>
      <c r="E272" t="s">
        <v>61</v>
      </c>
      <c r="F272">
        <v>267.54000000000002</v>
      </c>
      <c r="G272">
        <v>4</v>
      </c>
      <c r="H272">
        <f>IF(VLOOKUP(B272,Trades!A:N,4,FALSE)="Long",(F272-VLOOKUP(B272,Trades!A:N,6,FALSE))*G272,(VLOOKUP(B272,Trades!A:N,6,FALSE)-F272)*G272)</f>
        <v>11.480000000000018</v>
      </c>
      <c r="I272">
        <f>H272/VLOOKUP(B272,Trades!A$1:$N$100794,9,FALSE)</f>
        <v>2.8700000000000045</v>
      </c>
    </row>
    <row r="273" spans="1:9" x14ac:dyDescent="0.25">
      <c r="A273">
        <f t="shared" si="24"/>
        <v>272</v>
      </c>
      <c r="B273" t="s">
        <v>449</v>
      </c>
      <c r="C273" s="1">
        <v>46175</v>
      </c>
      <c r="D273" t="str">
        <f>VLOOKUP(B273,Trades!A$1:N101065,3,FALSE)</f>
        <v>APP</v>
      </c>
      <c r="E273" t="s">
        <v>61</v>
      </c>
      <c r="F273">
        <v>593.15</v>
      </c>
      <c r="G273">
        <v>2</v>
      </c>
      <c r="H273">
        <f>IF(VLOOKUP(B273,Trades!A:N,4,FALSE)="Long",(F273-VLOOKUP(B273,Trades!A:N,6,FALSE))*G273,(VLOOKUP(B273,Trades!A:N,6,FALSE)-F273)*G273)</f>
        <v>-6</v>
      </c>
      <c r="I273">
        <f>H273/VLOOKUP(B273,Trades!A$1:$N$100794,9,FALSE)</f>
        <v>-3</v>
      </c>
    </row>
    <row r="274" spans="1:9" x14ac:dyDescent="0.25">
      <c r="A274">
        <f t="shared" si="24"/>
        <v>273</v>
      </c>
      <c r="B274" t="s">
        <v>450</v>
      </c>
      <c r="C274" s="1">
        <v>46175</v>
      </c>
      <c r="D274" t="str">
        <f>VLOOKUP(B274,Trades!A$1:N101066,3,FALSE)</f>
        <v>DELL</v>
      </c>
      <c r="E274" t="s">
        <v>61</v>
      </c>
      <c r="F274">
        <v>451.13</v>
      </c>
      <c r="G274">
        <v>2</v>
      </c>
      <c r="H274">
        <f>IF(VLOOKUP(B274,Trades!A:N,4,FALSE)="Long",(F274-VLOOKUP(B274,Trades!A:N,6,FALSE))*G274,(VLOOKUP(B274,Trades!A:N,6,FALSE)-F274)*G274)</f>
        <v>-11.32000000000005</v>
      </c>
      <c r="I274">
        <f>H274/VLOOKUP(B274,Trades!A$1:$N$100794,9,FALSE)</f>
        <v>-5.660000000000025</v>
      </c>
    </row>
    <row r="275" spans="1:9" x14ac:dyDescent="0.25">
      <c r="A275">
        <f t="shared" si="24"/>
        <v>274</v>
      </c>
      <c r="B275" t="s">
        <v>451</v>
      </c>
      <c r="C275" s="1">
        <v>46175</v>
      </c>
      <c r="D275" t="str">
        <f>VLOOKUP(B275,Trades!A$1:N101067,3,FALSE)</f>
        <v>MRVL</v>
      </c>
      <c r="E275" t="s">
        <v>61</v>
      </c>
      <c r="F275">
        <v>278.72000000000003</v>
      </c>
      <c r="G275">
        <v>2</v>
      </c>
      <c r="H275">
        <f>IF(VLOOKUP(B275,Trades!A:N,4,FALSE)="Long",(F275-VLOOKUP(B275,Trades!A:N,6,FALSE))*G275,(VLOOKUP(B275,Trades!A:N,6,FALSE)-F275)*G275)</f>
        <v>20.300000000000068</v>
      </c>
      <c r="I275">
        <f>H275/VLOOKUP(B275,Trades!A$1:$N$100794,9,FALSE)</f>
        <v>5.0750000000000171</v>
      </c>
    </row>
    <row r="276" spans="1:9" x14ac:dyDescent="0.25">
      <c r="A276">
        <f t="shared" si="24"/>
        <v>275</v>
      </c>
      <c r="B276" t="s">
        <v>451</v>
      </c>
      <c r="C276" s="1">
        <v>46175</v>
      </c>
      <c r="D276" t="str">
        <f>VLOOKUP(B276,Trades!A$1:N101068,3,FALSE)</f>
        <v>MRVL</v>
      </c>
      <c r="E276" t="s">
        <v>61</v>
      </c>
      <c r="F276">
        <v>283.35000000000002</v>
      </c>
      <c r="G276">
        <v>2</v>
      </c>
      <c r="H276">
        <f>IF(VLOOKUP(B276,Trades!A:N,4,FALSE)="Long",(F276-VLOOKUP(B276,Trades!A:N,6,FALSE))*G276,(VLOOKUP(B276,Trades!A:N,6,FALSE)-F276)*G276)</f>
        <v>29.560000000000059</v>
      </c>
      <c r="I276">
        <f>H276/VLOOKUP(B276,Trades!A$1:$N$100794,9,FALSE)</f>
        <v>7.3900000000000148</v>
      </c>
    </row>
    <row r="277" spans="1:9" x14ac:dyDescent="0.25">
      <c r="A277">
        <f t="shared" si="24"/>
        <v>276</v>
      </c>
      <c r="B277" t="s">
        <v>422</v>
      </c>
      <c r="C277" s="1">
        <v>46175</v>
      </c>
      <c r="D277" t="str">
        <f>VLOOKUP(B277,Trades!A$1:N101069,3,FALSE)</f>
        <v>SMCI</v>
      </c>
      <c r="E277" t="s">
        <v>61</v>
      </c>
      <c r="F277">
        <v>50.09</v>
      </c>
      <c r="G277">
        <v>2</v>
      </c>
      <c r="H277">
        <f>IF(VLOOKUP(B277,Trades!A:N,4,FALSE)="Long",(F277-VLOOKUP(B277,Trades!A:N,6,FALSE))*G277,(VLOOKUP(B277,Trades!A:N,6,FALSE)-F277)*G277)</f>
        <v>37.860000000000007</v>
      </c>
      <c r="I277">
        <f>H277/VLOOKUP(B277,Trades!A$1:$N$100794,9,FALSE)</f>
        <v>9.4650000000000016</v>
      </c>
    </row>
    <row r="278" spans="1:9" x14ac:dyDescent="0.25">
      <c r="A278">
        <f t="shared" si="24"/>
        <v>277</v>
      </c>
      <c r="B278" t="s">
        <v>452</v>
      </c>
      <c r="C278" s="1">
        <v>46175</v>
      </c>
      <c r="D278" t="str">
        <f>VLOOKUP(B278,Trades!A$1:N101070,3,FALSE)</f>
        <v>APP</v>
      </c>
      <c r="E278" t="s">
        <v>61</v>
      </c>
      <c r="F278">
        <v>598.96</v>
      </c>
      <c r="G278">
        <v>2</v>
      </c>
      <c r="H278">
        <f>IF(VLOOKUP(B278,Trades!A:N,4,FALSE)="Long",(F278-VLOOKUP(B278,Trades!A:N,6,FALSE))*G278,(VLOOKUP(B278,Trades!A:N,6,FALSE)-F278)*G278)</f>
        <v>2.4200000000000728</v>
      </c>
      <c r="I278">
        <f>H278/VLOOKUP(B278,Trades!A$1:$N$100794,9,FALSE)</f>
        <v>1.2100000000000364</v>
      </c>
    </row>
    <row r="279" spans="1:9" x14ac:dyDescent="0.25">
      <c r="A279">
        <f t="shared" si="24"/>
        <v>278</v>
      </c>
      <c r="B279" t="s">
        <v>453</v>
      </c>
      <c r="C279" s="1">
        <v>46175</v>
      </c>
      <c r="D279" t="str">
        <f>VLOOKUP(B279,Trades!A$1:N101071,3,FALSE)</f>
        <v>HPE</v>
      </c>
      <c r="E279" t="s">
        <v>61</v>
      </c>
      <c r="F279">
        <v>55.56</v>
      </c>
      <c r="G279">
        <v>20</v>
      </c>
      <c r="H279">
        <f>IF(VLOOKUP(B279,Trades!A:N,4,FALSE)="Long",(F279-VLOOKUP(B279,Trades!A:N,6,FALSE))*G279,(VLOOKUP(B279,Trades!A:N,6,FALSE)-F279)*G279)</f>
        <v>-57.599999999999909</v>
      </c>
      <c r="I279">
        <f>H279/VLOOKUP(B279,Trades!A$1:$N$100794,9,FALSE)</f>
        <v>-2.8799999999999955</v>
      </c>
    </row>
    <row r="280" spans="1:9" x14ac:dyDescent="0.25">
      <c r="A280">
        <f t="shared" ref="A280:A288" si="25">ROW()-1</f>
        <v>279</v>
      </c>
      <c r="B280" t="s">
        <v>454</v>
      </c>
      <c r="C280" s="1">
        <v>46176</v>
      </c>
      <c r="D280" t="str">
        <f>VLOOKUP(B280,Trades!A$1:N101072,3,FALSE)</f>
        <v>INTC</v>
      </c>
      <c r="E280" t="s">
        <v>61</v>
      </c>
      <c r="F280">
        <v>114.73</v>
      </c>
      <c r="G280">
        <v>8</v>
      </c>
      <c r="H280">
        <f>IF(VLOOKUP(B280,Trades!A:N,4,FALSE)="Long",(F280-VLOOKUP(B280,Trades!A:N,6,FALSE))*G280,(VLOOKUP(B280,Trades!A:N,6,FALSE)-F280)*G280)</f>
        <v>-7.0399999999999636</v>
      </c>
      <c r="I280">
        <f>H280/VLOOKUP(B280,Trades!A$1:$N$100794,9,FALSE)</f>
        <v>-0.87999999999999545</v>
      </c>
    </row>
    <row r="281" spans="1:9" x14ac:dyDescent="0.25">
      <c r="A281">
        <f t="shared" si="25"/>
        <v>280</v>
      </c>
      <c r="B281" t="s">
        <v>455</v>
      </c>
      <c r="C281" s="1">
        <v>46176</v>
      </c>
      <c r="D281" t="str">
        <f>VLOOKUP(B281,Trades!A$1:N101073,3,FALSE)</f>
        <v>KTOS</v>
      </c>
      <c r="E281" t="s">
        <v>61</v>
      </c>
      <c r="F281">
        <v>61.3</v>
      </c>
      <c r="G281">
        <v>4</v>
      </c>
      <c r="H281">
        <f>IF(VLOOKUP(B281,Trades!A:N,4,FALSE)="Long",(F281-VLOOKUP(B281,Trades!A:N,6,FALSE))*G281,(VLOOKUP(B281,Trades!A:N,6,FALSE)-F281)*G281)</f>
        <v>-9.0400000000000205</v>
      </c>
      <c r="I281">
        <f>H281/VLOOKUP(B281,Trades!A$1:$N$100794,9,FALSE)</f>
        <v>-2.2600000000000051</v>
      </c>
    </row>
    <row r="282" spans="1:9" x14ac:dyDescent="0.25">
      <c r="A282">
        <f t="shared" si="25"/>
        <v>281</v>
      </c>
      <c r="B282" t="s">
        <v>456</v>
      </c>
      <c r="C282" s="1">
        <v>46176</v>
      </c>
      <c r="D282" t="str">
        <f>VLOOKUP(B282,Trades!A$1:N101074,3,FALSE)</f>
        <v>AAPL</v>
      </c>
      <c r="E282" t="s">
        <v>61</v>
      </c>
      <c r="F282">
        <v>313.67</v>
      </c>
      <c r="G282">
        <v>3</v>
      </c>
      <c r="H282">
        <f>IF(VLOOKUP(B282,Trades!A:N,4,FALSE)="Long",(F282-VLOOKUP(B282,Trades!A:N,6,FALSE))*G282,(VLOOKUP(B282,Trades!A:N,6,FALSE)-F282)*G282)</f>
        <v>-9</v>
      </c>
      <c r="I282">
        <f>H282/VLOOKUP(B282,Trades!A$1:$N$100794,9,FALSE)</f>
        <v>-3</v>
      </c>
    </row>
    <row r="283" spans="1:9" x14ac:dyDescent="0.25">
      <c r="A283">
        <f t="shared" si="25"/>
        <v>282</v>
      </c>
      <c r="B283" t="s">
        <v>457</v>
      </c>
      <c r="C283" s="1">
        <v>46176</v>
      </c>
      <c r="D283" t="str">
        <f>VLOOKUP(B283,Trades!A$1:N101075,3,FALSE)</f>
        <v>GTLB</v>
      </c>
      <c r="E283" t="s">
        <v>61</v>
      </c>
      <c r="F283">
        <v>30.17</v>
      </c>
      <c r="G283">
        <v>4</v>
      </c>
      <c r="H283">
        <f>IF(VLOOKUP(B283,Trades!A:N,4,FALSE)="Long",(F283-VLOOKUP(B283,Trades!A:N,6,FALSE))*G283,(VLOOKUP(B283,Trades!A:N,6,FALSE)-F283)*G283)</f>
        <v>19.28</v>
      </c>
      <c r="I283">
        <f>H283/VLOOKUP(B283,Trades!A$1:$N$100794,9,FALSE)</f>
        <v>4.82</v>
      </c>
    </row>
    <row r="284" spans="1:9" x14ac:dyDescent="0.25">
      <c r="A284">
        <f t="shared" si="25"/>
        <v>283</v>
      </c>
      <c r="B284" t="s">
        <v>458</v>
      </c>
      <c r="C284" s="1">
        <v>46176</v>
      </c>
      <c r="D284" t="str">
        <f>VLOOKUP(B284,Trades!A$1:N101076,3,FALSE)</f>
        <v>INTC</v>
      </c>
      <c r="E284" t="s">
        <v>61</v>
      </c>
      <c r="F284">
        <v>112.17</v>
      </c>
      <c r="G284">
        <v>16</v>
      </c>
      <c r="H284">
        <f>IF(VLOOKUP(B284,Trades!A:N,4,FALSE)="Long",(F284-VLOOKUP(B284,Trades!A:N,6,FALSE))*G284,(VLOOKUP(B284,Trades!A:N,6,FALSE)-F284)*G284)</f>
        <v>-42.079999999999927</v>
      </c>
      <c r="I284">
        <f>H284/VLOOKUP(B284,Trades!A$1:$N$100794,9,FALSE)</f>
        <v>-2.6299999999999955</v>
      </c>
    </row>
    <row r="285" spans="1:9" x14ac:dyDescent="0.25">
      <c r="A285">
        <f t="shared" si="25"/>
        <v>284</v>
      </c>
      <c r="B285" t="s">
        <v>459</v>
      </c>
      <c r="C285" s="1">
        <v>46176</v>
      </c>
      <c r="D285" t="str">
        <f>VLOOKUP(B285,Trades!A$1:N101077,3,FALSE)</f>
        <v>MRVL</v>
      </c>
      <c r="E285" t="s">
        <v>61</v>
      </c>
      <c r="F285">
        <v>305.56</v>
      </c>
      <c r="G285">
        <v>3</v>
      </c>
      <c r="H285">
        <f>IF(VLOOKUP(B285,Trades!A:N,4,FALSE)="Long",(F285-VLOOKUP(B285,Trades!A:N,6,FALSE))*G285,(VLOOKUP(B285,Trades!A:N,6,FALSE)-F285)*G285)</f>
        <v>-11.970000000000027</v>
      </c>
      <c r="I285">
        <f>H285/VLOOKUP(B285,Trades!A$1:$N$100794,9,FALSE)</f>
        <v>-3.9900000000000091</v>
      </c>
    </row>
    <row r="286" spans="1:9" x14ac:dyDescent="0.25">
      <c r="A286">
        <f t="shared" si="25"/>
        <v>285</v>
      </c>
      <c r="B286" t="s">
        <v>460</v>
      </c>
      <c r="C286" s="1">
        <v>46176</v>
      </c>
      <c r="D286" t="str">
        <f>VLOOKUP(B286,Trades!A$1:N101078,3,FALSE)</f>
        <v>INTC</v>
      </c>
      <c r="E286" t="s">
        <v>61</v>
      </c>
      <c r="F286">
        <v>111.46</v>
      </c>
      <c r="G286">
        <v>10</v>
      </c>
      <c r="H286">
        <f>IF(VLOOKUP(B286,Trades!A:N,4,FALSE)="Long",(F286-VLOOKUP(B286,Trades!A:N,6,FALSE))*G286,(VLOOKUP(B286,Trades!A:N,6,FALSE)-F286)*G286)</f>
        <v>-14.200000000000017</v>
      </c>
      <c r="I286">
        <f>H286/VLOOKUP(B286,Trades!A$1:$N$100794,9,FALSE)</f>
        <v>-1.4200000000000017</v>
      </c>
    </row>
    <row r="287" spans="1:9" x14ac:dyDescent="0.25">
      <c r="A287">
        <f t="shared" si="25"/>
        <v>286</v>
      </c>
      <c r="B287" t="s">
        <v>461</v>
      </c>
      <c r="C287" s="1">
        <v>46176</v>
      </c>
      <c r="D287" t="str">
        <f>VLOOKUP(B287,Trades!A$1:N101079,3,FALSE)</f>
        <v>APP</v>
      </c>
      <c r="E287" t="s">
        <v>61</v>
      </c>
      <c r="F287">
        <v>568.65</v>
      </c>
      <c r="G287">
        <v>2</v>
      </c>
      <c r="H287">
        <f>IF(VLOOKUP(B287,Trades!A:N,4,FALSE)="Long",(F287-VLOOKUP(B287,Trades!A:N,6,FALSE))*G287,(VLOOKUP(B287,Trades!A:N,6,FALSE)-F287)*G287)</f>
        <v>-6.3600000000001273</v>
      </c>
      <c r="I287">
        <f>H287/VLOOKUP(B287,Trades!A$1:$N$100794,9,FALSE)</f>
        <v>-3.1800000000000637</v>
      </c>
    </row>
    <row r="288" spans="1:9" x14ac:dyDescent="0.25">
      <c r="A288">
        <f t="shared" si="25"/>
        <v>287</v>
      </c>
      <c r="B288" t="s">
        <v>463</v>
      </c>
      <c r="C288" s="1">
        <v>46176</v>
      </c>
      <c r="D288" t="str">
        <f>VLOOKUP(B288,Trades!A$1:N101080,3,FALSE)</f>
        <v>AMD</v>
      </c>
      <c r="E288" t="s">
        <v>61</v>
      </c>
      <c r="F288">
        <v>538.41999999999996</v>
      </c>
      <c r="G288">
        <v>2</v>
      </c>
      <c r="H288">
        <f>IF(VLOOKUP(B288,Trades!A:N,4,FALSE)="Long",(F288-VLOOKUP(B288,Trades!A:N,6,FALSE))*G288,(VLOOKUP(B288,Trades!A:N,6,FALSE)-F288)*G288)</f>
        <v>12.099999999999909</v>
      </c>
      <c r="I288">
        <f>H288/VLOOKUP(B288,Trades!A$1:$N$100794,9,FALSE)</f>
        <v>6.0499999999999545</v>
      </c>
    </row>
    <row r="289" spans="1:9" x14ac:dyDescent="0.25">
      <c r="A289">
        <f t="shared" ref="A289:A295" si="26">ROW()-1</f>
        <v>288</v>
      </c>
      <c r="B289" t="s">
        <v>464</v>
      </c>
      <c r="C289" s="1">
        <v>46177</v>
      </c>
      <c r="D289" t="str">
        <f>VLOOKUP(B289,Trades!A$1:N101081,3,FALSE)</f>
        <v>BB</v>
      </c>
      <c r="E289" t="s">
        <v>61</v>
      </c>
      <c r="F289">
        <v>10.35</v>
      </c>
      <c r="G289">
        <v>4</v>
      </c>
      <c r="H289">
        <f>IF(VLOOKUP(B289,Trades!A:N,4,FALSE)="Long",(F289-VLOOKUP(B289,Trades!A:N,6,FALSE))*G289,(VLOOKUP(B289,Trades!A:N,6,FALSE)-F289)*G289)</f>
        <v>8.519999999999996</v>
      </c>
      <c r="I289">
        <f>H289/VLOOKUP(B289,Trades!A$1:$N$100794,9,FALSE)</f>
        <v>2.129999999999999</v>
      </c>
    </row>
    <row r="290" spans="1:9" x14ac:dyDescent="0.25">
      <c r="A290">
        <f t="shared" si="26"/>
        <v>289</v>
      </c>
      <c r="B290" t="s">
        <v>465</v>
      </c>
      <c r="C290" s="1">
        <v>46177</v>
      </c>
      <c r="D290" t="str">
        <f>VLOOKUP(B290,Trades!A$1:N101082,3,FALSE)</f>
        <v>AAPL</v>
      </c>
      <c r="E290" t="s">
        <v>61</v>
      </c>
      <c r="F290">
        <v>310.8</v>
      </c>
      <c r="G290">
        <v>3</v>
      </c>
      <c r="H290">
        <f>IF(VLOOKUP(B290,Trades!A:N,4,FALSE)="Long",(F290-VLOOKUP(B290,Trades!A:N,6,FALSE))*G290,(VLOOKUP(B290,Trades!A:N,6,FALSE)-F290)*G290)</f>
        <v>-4.1999999999999318</v>
      </c>
      <c r="I290">
        <f>H290/VLOOKUP(B290,Trades!A$1:$N$100794,9,FALSE)</f>
        <v>-1.3999999999999773</v>
      </c>
    </row>
    <row r="291" spans="1:9" x14ac:dyDescent="0.25">
      <c r="A291">
        <f t="shared" si="26"/>
        <v>290</v>
      </c>
      <c r="B291" t="s">
        <v>466</v>
      </c>
      <c r="C291" s="1">
        <v>46177</v>
      </c>
      <c r="D291" t="str">
        <f>VLOOKUP(B291,Trades!A$1:N101083,3,FALSE)</f>
        <v>VIPS</v>
      </c>
      <c r="E291" t="s">
        <v>61</v>
      </c>
      <c r="F291">
        <v>13.96</v>
      </c>
      <c r="G291">
        <v>13.96</v>
      </c>
      <c r="H291">
        <f>IF(VLOOKUP(B291,Trades!A:N,4,FALSE)="Long",(F291-VLOOKUP(B291,Trades!A:N,6,FALSE))*G291,(VLOOKUP(B291,Trades!A:N,6,FALSE)-F291)*G291)</f>
        <v>-7.8175999999999828</v>
      </c>
      <c r="I291">
        <f>H291/VLOOKUP(B291,Trades!A$1:$N$100794,9,FALSE)</f>
        <v>-1.3029333333333304</v>
      </c>
    </row>
    <row r="292" spans="1:9" x14ac:dyDescent="0.25">
      <c r="A292">
        <f t="shared" si="26"/>
        <v>291</v>
      </c>
      <c r="B292" t="s">
        <v>467</v>
      </c>
      <c r="C292" s="1">
        <v>46177</v>
      </c>
      <c r="D292" t="str">
        <f>VLOOKUP(B292,Trades!A$1:N101084,3,FALSE)</f>
        <v>APP</v>
      </c>
      <c r="E292" t="s">
        <v>61</v>
      </c>
      <c r="F292">
        <v>573.86</v>
      </c>
      <c r="G292">
        <v>2</v>
      </c>
      <c r="H292">
        <f>IF(VLOOKUP(B292,Trades!A:N,4,FALSE)="Long",(F292-VLOOKUP(B292,Trades!A:N,6,FALSE))*G292,(VLOOKUP(B292,Trades!A:N,6,FALSE)-F292)*G292)</f>
        <v>-9.2400000000000091</v>
      </c>
      <c r="I292">
        <f>H292/VLOOKUP(B292,Trades!A$1:$N$100794,9,FALSE)</f>
        <v>-4.6200000000000045</v>
      </c>
    </row>
    <row r="293" spans="1:9" x14ac:dyDescent="0.25">
      <c r="A293">
        <f t="shared" si="26"/>
        <v>292</v>
      </c>
      <c r="B293" t="s">
        <v>468</v>
      </c>
      <c r="C293" s="1">
        <v>46177</v>
      </c>
      <c r="D293" t="str">
        <f>VLOOKUP(B293,Trades!A$1:N101085,3,FALSE)</f>
        <v>MDT</v>
      </c>
      <c r="E293" t="s">
        <v>61</v>
      </c>
      <c r="F293">
        <v>81.31</v>
      </c>
      <c r="G293">
        <v>10</v>
      </c>
      <c r="H293">
        <f>IF(VLOOKUP(B293,Trades!A:N,4,FALSE)="Long",(F293-VLOOKUP(B293,Trades!A:N,6,FALSE))*G293,(VLOOKUP(B293,Trades!A:N,6,FALSE)-F293)*G293)</f>
        <v>-5.3000000000000114</v>
      </c>
      <c r="I293">
        <f>H293/VLOOKUP(B293,Trades!A$1:$N$100794,9,FALSE)</f>
        <v>-0.53000000000000114</v>
      </c>
    </row>
    <row r="294" spans="1:9" x14ac:dyDescent="0.25">
      <c r="A294">
        <f t="shared" si="26"/>
        <v>293</v>
      </c>
      <c r="B294" t="s">
        <v>469</v>
      </c>
      <c r="C294" s="1">
        <v>46177</v>
      </c>
      <c r="D294" t="str">
        <f>VLOOKUP(B294,Trades!A$1:N101086,3,FALSE)</f>
        <v>RTX</v>
      </c>
      <c r="E294" t="s">
        <v>61</v>
      </c>
      <c r="F294">
        <v>178.05</v>
      </c>
      <c r="G294">
        <v>10</v>
      </c>
      <c r="H294">
        <f>IF(VLOOKUP(B294,Trades!A:N,4,FALSE)="Long",(F294-VLOOKUP(B294,Trades!A:N,6,FALSE))*G294,(VLOOKUP(B294,Trades!A:N,6,FALSE)-F294)*G294)</f>
        <v>-11.099999999999852</v>
      </c>
      <c r="I294">
        <f>H294/VLOOKUP(B294,Trades!A$1:$N$100794,9,FALSE)</f>
        <v>-1.3874999999999815</v>
      </c>
    </row>
    <row r="295" spans="1:9" x14ac:dyDescent="0.25">
      <c r="A295">
        <f t="shared" si="26"/>
        <v>294</v>
      </c>
      <c r="B295" t="s">
        <v>470</v>
      </c>
      <c r="C295" s="1">
        <v>46177</v>
      </c>
      <c r="D295" t="str">
        <f>VLOOKUP(B295,Trades!A$1:N101087,3,FALSE)</f>
        <v>AVGO</v>
      </c>
      <c r="E295" t="s">
        <v>61</v>
      </c>
      <c r="F295">
        <v>410.2</v>
      </c>
      <c r="G295">
        <v>3</v>
      </c>
      <c r="H295">
        <f>IF(VLOOKUP(B295,Trades!A:N,4,FALSE)="Long",(F295-VLOOKUP(B295,Trades!A:N,6,FALSE))*G295,(VLOOKUP(B295,Trades!A:N,6,FALSE)-F295)*G295)</f>
        <v>-7.1699999999999591</v>
      </c>
      <c r="I295">
        <f>H295/VLOOKUP(B295,Trades!A$1:$N$100794,9,FALSE)</f>
        <v>-2.3899999999999864</v>
      </c>
    </row>
    <row r="296" spans="1:9" x14ac:dyDescent="0.25">
      <c r="A296">
        <f t="shared" ref="A296:A304" si="27">ROW()-1</f>
        <v>295</v>
      </c>
      <c r="B296" t="s">
        <v>471</v>
      </c>
      <c r="C296" s="1">
        <v>46178</v>
      </c>
      <c r="D296" t="str">
        <f>VLOOKUP(B296,Trades!A$1:N101088,3,FALSE)</f>
        <v>RIOT</v>
      </c>
      <c r="E296" t="s">
        <v>61</v>
      </c>
      <c r="F296">
        <v>26.03</v>
      </c>
      <c r="G296">
        <v>8</v>
      </c>
      <c r="H296">
        <f>IF(VLOOKUP(B296,Trades!A:N,4,FALSE)="Long",(F296-VLOOKUP(B296,Trades!A:N,6,FALSE))*G296,(VLOOKUP(B296,Trades!A:N,6,FALSE)-F296)*G296)</f>
        <v>-15.519999999999982</v>
      </c>
      <c r="I296">
        <f>H296/VLOOKUP(B296,Trades!A$1:$N$100794,9,FALSE)</f>
        <v>-1.9399999999999977</v>
      </c>
    </row>
    <row r="297" spans="1:9" x14ac:dyDescent="0.25">
      <c r="A297">
        <f t="shared" si="27"/>
        <v>296</v>
      </c>
      <c r="B297" t="s">
        <v>473</v>
      </c>
      <c r="C297" s="1">
        <v>46178</v>
      </c>
      <c r="D297" t="str">
        <f>VLOOKUP(B297,Trades!A$1:N101089,3,FALSE)</f>
        <v>APP</v>
      </c>
      <c r="E297" t="s">
        <v>61</v>
      </c>
      <c r="F297">
        <v>586.45000000000005</v>
      </c>
      <c r="G297">
        <v>2</v>
      </c>
      <c r="H297">
        <f>IF(VLOOKUP(B297,Trades!A:N,4,FALSE)="Long",(F297-VLOOKUP(B297,Trades!A:N,6,FALSE))*G297,(VLOOKUP(B297,Trades!A:N,6,FALSE)-F297)*G297)</f>
        <v>-12.799999999999955</v>
      </c>
      <c r="I297">
        <f>H297/VLOOKUP(B297,Trades!A$1:$N$100794,9,FALSE)</f>
        <v>-6.3999999999999773</v>
      </c>
    </row>
    <row r="298" spans="1:9" x14ac:dyDescent="0.25">
      <c r="A298">
        <f t="shared" si="27"/>
        <v>297</v>
      </c>
      <c r="B298" t="s">
        <v>475</v>
      </c>
      <c r="C298" s="1">
        <v>46178</v>
      </c>
      <c r="D298" t="str">
        <f>VLOOKUP(B298,Trades!A$1:N101090,3,FALSE)</f>
        <v>UNH</v>
      </c>
      <c r="E298" t="s">
        <v>61</v>
      </c>
      <c r="F298">
        <v>398.6</v>
      </c>
      <c r="G298">
        <v>2</v>
      </c>
      <c r="H298">
        <f>IF(VLOOKUP(B298,Trades!A:N,4,FALSE)="Long",(F298-VLOOKUP(B298,Trades!A:N,6,FALSE))*G298,(VLOOKUP(B298,Trades!A:N,6,FALSE)-F298)*G298)</f>
        <v>-6.4799999999999045</v>
      </c>
      <c r="I298">
        <f>H298/VLOOKUP(B298,Trades!A$1:$N$100794,9,FALSE)</f>
        <v>-3.2399999999999523</v>
      </c>
    </row>
    <row r="299" spans="1:9" x14ac:dyDescent="0.25">
      <c r="A299">
        <f t="shared" si="27"/>
        <v>298</v>
      </c>
      <c r="B299" t="s">
        <v>476</v>
      </c>
      <c r="C299" s="1">
        <v>46178</v>
      </c>
      <c r="D299" t="str">
        <f>VLOOKUP(B299,Trades!A$1:N101091,3,FALSE)</f>
        <v>CRWD</v>
      </c>
      <c r="E299" t="s">
        <v>61</v>
      </c>
      <c r="F299">
        <v>692.78</v>
      </c>
      <c r="G299">
        <v>2</v>
      </c>
      <c r="H299">
        <f>IF(VLOOKUP(B299,Trades!A:N,4,FALSE)="Long",(F299-VLOOKUP(B299,Trades!A:N,6,FALSE))*G299,(VLOOKUP(B299,Trades!A:N,6,FALSE)-F299)*G299)</f>
        <v>-8.7200000000000273</v>
      </c>
      <c r="I299">
        <f>H299/VLOOKUP(B299,Trades!A$1:$N$100794,9,FALSE)</f>
        <v>-4.3600000000000136</v>
      </c>
    </row>
    <row r="300" spans="1:9" x14ac:dyDescent="0.25">
      <c r="A300">
        <f t="shared" si="27"/>
        <v>299</v>
      </c>
      <c r="B300" t="s">
        <v>477</v>
      </c>
      <c r="C300" s="1">
        <v>46178</v>
      </c>
      <c r="D300" t="str">
        <f>VLOOKUP(B300,Trades!A$1:N101092,3,FALSE)</f>
        <v>ABBV</v>
      </c>
      <c r="E300" t="s">
        <v>61</v>
      </c>
      <c r="F300">
        <v>227.49</v>
      </c>
      <c r="G300">
        <v>4</v>
      </c>
      <c r="H300">
        <f>IF(VLOOKUP(B300,Trades!A:N,4,FALSE)="Long",(F300-VLOOKUP(B300,Trades!A:N,6,FALSE))*G300,(VLOOKUP(B300,Trades!A:N,6,FALSE)-F300)*G300)</f>
        <v>-5.8399999999999181</v>
      </c>
      <c r="I300">
        <f>H300/VLOOKUP(B300,Trades!A$1:$N$100794,9,FALSE)</f>
        <v>-1.9466666666666395</v>
      </c>
    </row>
    <row r="301" spans="1:9" x14ac:dyDescent="0.25">
      <c r="A301">
        <f t="shared" si="27"/>
        <v>300</v>
      </c>
      <c r="B301" t="s">
        <v>478</v>
      </c>
      <c r="C301" s="1">
        <v>46178</v>
      </c>
      <c r="D301" t="str">
        <f>VLOOKUP(B301,Trades!A$1:N101093,3,FALSE)</f>
        <v>CRWD</v>
      </c>
      <c r="E301" t="s">
        <v>61</v>
      </c>
      <c r="F301">
        <v>686.75</v>
      </c>
      <c r="G301">
        <v>1</v>
      </c>
      <c r="H301">
        <f>IF(VLOOKUP(B301,Trades!A:N,4,FALSE)="Long",(F301-VLOOKUP(B301,Trades!A:N,6,FALSE))*G301,(VLOOKUP(B301,Trades!A:N,6,FALSE)-F301)*G301)</f>
        <v>-5.6399999999999864</v>
      </c>
      <c r="I301">
        <f>H301/VLOOKUP(B301,Trades!A$1:$N$100794,9,FALSE)</f>
        <v>-5.6399999999999864</v>
      </c>
    </row>
    <row r="302" spans="1:9" x14ac:dyDescent="0.25">
      <c r="A302">
        <f t="shared" si="27"/>
        <v>301</v>
      </c>
      <c r="B302" t="s">
        <v>479</v>
      </c>
      <c r="C302" s="1">
        <v>46178</v>
      </c>
      <c r="D302" t="str">
        <f>VLOOKUP(B302,Trades!A$1:N101094,3,FALSE)</f>
        <v>NVDA</v>
      </c>
      <c r="E302" t="s">
        <v>61</v>
      </c>
      <c r="F302">
        <v>212.46</v>
      </c>
      <c r="G302">
        <v>4</v>
      </c>
      <c r="H302">
        <f>IF(VLOOKUP(B302,Trades!A:N,4,FALSE)="Long",(F302-VLOOKUP(B302,Trades!A:N,6,FALSE))*G302,(VLOOKUP(B302,Trades!A:N,6,FALSE)-F302)*G302)</f>
        <v>-4</v>
      </c>
      <c r="I302">
        <f>H302/VLOOKUP(B302,Trades!A$1:$N$100794,9,FALSE)</f>
        <v>-1</v>
      </c>
    </row>
    <row r="303" spans="1:9" x14ac:dyDescent="0.25">
      <c r="A303">
        <f t="shared" si="27"/>
        <v>302</v>
      </c>
      <c r="B303" t="s">
        <v>481</v>
      </c>
      <c r="C303" s="1">
        <v>46178</v>
      </c>
      <c r="D303" t="str">
        <f>VLOOKUP(B303,Trades!A$1:N101095,3,FALSE)</f>
        <v>PZG</v>
      </c>
      <c r="E303" t="s">
        <v>61</v>
      </c>
      <c r="F303">
        <v>1.19</v>
      </c>
      <c r="G303">
        <v>20</v>
      </c>
      <c r="H303">
        <f>IF(VLOOKUP(B303,Trades!A:N,4,FALSE)="Long",(F303-VLOOKUP(B303,Trades!A:N,6,FALSE))*G303,(VLOOKUP(B303,Trades!A:N,6,FALSE)-F303)*G303)</f>
        <v>-6.2000000000000011</v>
      </c>
      <c r="I303">
        <f>H303/VLOOKUP(B303,Trades!A$1:$N$100794,9,FALSE)</f>
        <v>-0.31000000000000005</v>
      </c>
    </row>
    <row r="304" spans="1:9" x14ac:dyDescent="0.25">
      <c r="A304">
        <f t="shared" si="27"/>
        <v>303</v>
      </c>
      <c r="B304" t="s">
        <v>482</v>
      </c>
      <c r="C304" s="1">
        <v>46178</v>
      </c>
      <c r="D304" t="str">
        <f>VLOOKUP(B304,Trades!A$1:N101096,3,FALSE)</f>
        <v>AMZN</v>
      </c>
      <c r="E304" t="s">
        <v>61</v>
      </c>
      <c r="F304">
        <v>251.53</v>
      </c>
      <c r="G304">
        <v>4</v>
      </c>
      <c r="H304">
        <f>IF(VLOOKUP(B304,Trades!A:N,4,FALSE)="Long",(F304-VLOOKUP(B304,Trades!A:N,6,FALSE))*G304,(VLOOKUP(B304,Trades!A:N,6,FALSE)-F304)*G304)</f>
        <v>-8.8799999999999955</v>
      </c>
      <c r="I304">
        <f>H304/VLOOKUP(B304,Trades!A$1:$N$100794,9,FALSE)</f>
        <v>-2.2199999999999989</v>
      </c>
    </row>
    <row r="305" spans="1:9" x14ac:dyDescent="0.25">
      <c r="A305">
        <f t="shared" ref="A305:A313" si="28">ROW()-1</f>
        <v>304</v>
      </c>
      <c r="B305" t="s">
        <v>483</v>
      </c>
      <c r="C305" s="1">
        <v>46181</v>
      </c>
      <c r="D305" t="str">
        <f>VLOOKUP(B305,Trades!A$1:N101097,3,FALSE)</f>
        <v>INTC</v>
      </c>
      <c r="E305" t="s">
        <v>61</v>
      </c>
      <c r="F305">
        <v>109.87</v>
      </c>
      <c r="G305">
        <v>8</v>
      </c>
      <c r="H305">
        <f>IF(VLOOKUP(B305,Trades!A:N,4,FALSE)="Long",(F305-VLOOKUP(B305,Trades!A:N,6,FALSE))*G305,(VLOOKUP(B305,Trades!A:N,6,FALSE)-F305)*G305)</f>
        <v>-2.8799999999999955</v>
      </c>
      <c r="I305">
        <f>H305/VLOOKUP(B305,Trades!A$1:$N$100794,9,FALSE)</f>
        <v>-0.35999999999999943</v>
      </c>
    </row>
    <row r="306" spans="1:9" x14ac:dyDescent="0.25">
      <c r="A306">
        <f t="shared" si="28"/>
        <v>305</v>
      </c>
      <c r="B306" t="s">
        <v>484</v>
      </c>
      <c r="C306" s="1">
        <v>46181</v>
      </c>
      <c r="D306" t="str">
        <f>VLOOKUP(B306,Trades!A$1:N101098,3,FALSE)</f>
        <v>APP</v>
      </c>
      <c r="E306" t="s">
        <v>61</v>
      </c>
      <c r="F306">
        <v>561.87</v>
      </c>
      <c r="G306">
        <v>2</v>
      </c>
      <c r="H306">
        <f>IF(VLOOKUP(B306,Trades!A:N,4,FALSE)="Long",(F306-VLOOKUP(B306,Trades!A:N,6,FALSE))*G306,(VLOOKUP(B306,Trades!A:N,6,FALSE)-F306)*G306)</f>
        <v>-10.319999999999936</v>
      </c>
      <c r="I306">
        <f>H306/VLOOKUP(B306,Trades!A$1:$N$100794,9,FALSE)</f>
        <v>-5.1599999999999682</v>
      </c>
    </row>
    <row r="307" spans="1:9" x14ac:dyDescent="0.25">
      <c r="A307">
        <f t="shared" si="28"/>
        <v>306</v>
      </c>
      <c r="B307" t="s">
        <v>485</v>
      </c>
      <c r="C307" s="1">
        <v>46181</v>
      </c>
      <c r="D307" t="str">
        <f>VLOOKUP(B307,Trades!A$1:N101099,3,FALSE)</f>
        <v>NVDA</v>
      </c>
      <c r="E307" t="s">
        <v>61</v>
      </c>
      <c r="F307">
        <v>208.03</v>
      </c>
      <c r="G307">
        <v>4</v>
      </c>
      <c r="H307">
        <f>IF(VLOOKUP(B307,Trades!A:N,4,FALSE)="Long",(F307-VLOOKUP(B307,Trades!A:N,6,FALSE))*G307,(VLOOKUP(B307,Trades!A:N,6,FALSE)-F307)*G307)</f>
        <v>-5.0800000000000409</v>
      </c>
      <c r="I307">
        <f>H307/VLOOKUP(B307,Trades!A$1:$N$100794,9,FALSE)</f>
        <v>-1.2700000000000102</v>
      </c>
    </row>
    <row r="308" spans="1:9" x14ac:dyDescent="0.25">
      <c r="A308">
        <f t="shared" si="28"/>
        <v>307</v>
      </c>
      <c r="B308" t="s">
        <v>487</v>
      </c>
      <c r="C308" s="1">
        <v>46181</v>
      </c>
      <c r="D308" t="str">
        <f>VLOOKUP(B308,Trades!A$1:N101100,3,FALSE)</f>
        <v>TSLA</v>
      </c>
      <c r="E308" t="s">
        <v>61</v>
      </c>
      <c r="F308">
        <v>400.15</v>
      </c>
      <c r="G308">
        <v>3</v>
      </c>
      <c r="H308">
        <f>IF(VLOOKUP(B308,Trades!A:N,4,FALSE)="Long",(F308-VLOOKUP(B308,Trades!A:N,6,FALSE))*G308,(VLOOKUP(B308,Trades!A:N,6,FALSE)-F308)*G308)</f>
        <v>-6.5400000000000205</v>
      </c>
      <c r="I308">
        <f>H308/VLOOKUP(B308,Trades!A$1:$N$100794,9,FALSE)</f>
        <v>-2.1800000000000068</v>
      </c>
    </row>
    <row r="309" spans="1:9" x14ac:dyDescent="0.25">
      <c r="A309">
        <f t="shared" si="28"/>
        <v>308</v>
      </c>
      <c r="B309" t="s">
        <v>488</v>
      </c>
      <c r="C309" s="1">
        <v>46177</v>
      </c>
      <c r="D309" t="str">
        <f>VLOOKUP(B309,Trades!A$1:N101101,3,FALSE)</f>
        <v>APP</v>
      </c>
      <c r="E309" t="s">
        <v>61</v>
      </c>
      <c r="F309">
        <v>572.05999999999995</v>
      </c>
      <c r="G309">
        <v>2</v>
      </c>
      <c r="H309">
        <f>IF(VLOOKUP(B309,Trades!A:N,4,FALSE)="Long",(F309-VLOOKUP(B309,Trades!A:N,6,FALSE))*G309,(VLOOKUP(B309,Trades!A:N,6,FALSE)-F309)*G309)</f>
        <v>-6.9800000000000182</v>
      </c>
      <c r="I309">
        <f>H309/VLOOKUP(B309,Trades!A$1:$N$100794,9,FALSE)</f>
        <v>-3.4900000000000091</v>
      </c>
    </row>
    <row r="310" spans="1:9" x14ac:dyDescent="0.25">
      <c r="A310">
        <f t="shared" si="28"/>
        <v>309</v>
      </c>
      <c r="B310" t="s">
        <v>489</v>
      </c>
      <c r="C310" s="1">
        <v>46181</v>
      </c>
      <c r="D310" t="str">
        <f>VLOOKUP(B310,Trades!A$1:N101102,3,FALSE)</f>
        <v>MNST</v>
      </c>
      <c r="E310" t="s">
        <v>61</v>
      </c>
      <c r="F310">
        <v>88.55</v>
      </c>
      <c r="G310">
        <v>8</v>
      </c>
      <c r="H310">
        <f>IF(VLOOKUP(B310,Trades!A:N,4,FALSE)="Long",(F310-VLOOKUP(B310,Trades!A:N,6,FALSE))*G310,(VLOOKUP(B310,Trades!A:N,6,FALSE)-F310)*G310)</f>
        <v>-8.1599999999999682</v>
      </c>
      <c r="I310">
        <f>H310/VLOOKUP(B310,Trades!A$1:$N$100794,9,FALSE)</f>
        <v>-1.019999999999996</v>
      </c>
    </row>
    <row r="311" spans="1:9" x14ac:dyDescent="0.25">
      <c r="A311">
        <f t="shared" si="28"/>
        <v>310</v>
      </c>
      <c r="B311" t="s">
        <v>490</v>
      </c>
      <c r="C311" s="1">
        <v>46181</v>
      </c>
      <c r="D311" t="str">
        <f>VLOOKUP(B311,Trades!A$1:N101103,3,FALSE)</f>
        <v>APP</v>
      </c>
      <c r="E311" t="s">
        <v>61</v>
      </c>
      <c r="F311">
        <v>565.4</v>
      </c>
      <c r="G311">
        <v>2</v>
      </c>
      <c r="H311">
        <f>IF(VLOOKUP(B311,Trades!A:N,4,FALSE)="Long",(F311-VLOOKUP(B311,Trades!A:N,6,FALSE))*G311,(VLOOKUP(B311,Trades!A:N,6,FALSE)-F311)*G311)</f>
        <v>3.2799999999999727</v>
      </c>
      <c r="I311">
        <f>H311/VLOOKUP(B311,Trades!A$1:$N$100794,9,FALSE)</f>
        <v>1.6399999999999864</v>
      </c>
    </row>
    <row r="312" spans="1:9" x14ac:dyDescent="0.25">
      <c r="A312">
        <f t="shared" si="28"/>
        <v>311</v>
      </c>
      <c r="B312" t="s">
        <v>492</v>
      </c>
      <c r="C312" s="1">
        <v>46181</v>
      </c>
      <c r="D312" t="str">
        <f>VLOOKUP(B312,Trades!A$1:N101104,3,FALSE)</f>
        <v>MRVL</v>
      </c>
      <c r="E312" t="s">
        <v>61</v>
      </c>
      <c r="F312">
        <v>293.76</v>
      </c>
      <c r="G312">
        <v>3</v>
      </c>
      <c r="H312">
        <f>IF(VLOOKUP(B312,Trades!A:N,4,FALSE)="Long",(F312-VLOOKUP(B312,Trades!A:N,6,FALSE))*G312,(VLOOKUP(B312,Trades!A:N,6,FALSE)-F312)*G312)</f>
        <v>12.269999999999925</v>
      </c>
      <c r="I312">
        <f>H312/VLOOKUP(B312,Trades!A$1:$N$100794,9,FALSE)</f>
        <v>4.089999999999975</v>
      </c>
    </row>
    <row r="313" spans="1:9" x14ac:dyDescent="0.25">
      <c r="A313">
        <f t="shared" si="28"/>
        <v>312</v>
      </c>
      <c r="B313" t="s">
        <v>493</v>
      </c>
      <c r="C313" s="1">
        <v>46181</v>
      </c>
      <c r="D313" t="str">
        <f>VLOOKUP(B313,Trades!A$1:N101105,3,FALSE)</f>
        <v>ABAT</v>
      </c>
      <c r="E313" t="s">
        <v>61</v>
      </c>
      <c r="F313">
        <v>3.93</v>
      </c>
      <c r="G313">
        <v>50</v>
      </c>
      <c r="H313">
        <f>IF(VLOOKUP(B313,Trades!A:N,4,FALSE)="Long",(F313-VLOOKUP(B313,Trades!A:N,6,FALSE))*G313,(VLOOKUP(B313,Trades!A:N,6,FALSE)-F313)*G313)</f>
        <v>-5.0000000000000044</v>
      </c>
      <c r="I313">
        <f>H313/VLOOKUP(B313,Trades!A$1:$N$100794,9,FALSE)</f>
        <v>-0.10000000000000009</v>
      </c>
    </row>
    <row r="314" spans="1:9" x14ac:dyDescent="0.25">
      <c r="A314">
        <f t="shared" ref="A314:A320" si="29">ROW()-1</f>
        <v>313</v>
      </c>
      <c r="B314" t="s">
        <v>496</v>
      </c>
      <c r="C314" s="1">
        <v>46182</v>
      </c>
      <c r="D314" t="str">
        <f>VLOOKUP(B314,Trades!A$1:N101106,3,FALSE)</f>
        <v>NVDA</v>
      </c>
      <c r="E314" t="s">
        <v>61</v>
      </c>
      <c r="F314">
        <v>209.38</v>
      </c>
      <c r="G314">
        <v>4</v>
      </c>
      <c r="H314">
        <f>IF(VLOOKUP(B314,Trades!A:N,4,FALSE)="Long",(F314-VLOOKUP(B314,Trades!A:N,6,FALSE))*G314,(VLOOKUP(B314,Trades!A:N,6,FALSE)-F314)*G314)</f>
        <v>-4.1200000000000045</v>
      </c>
      <c r="I314">
        <f>H314/VLOOKUP(B314,Trades!A$1:$N$100794,9,FALSE)</f>
        <v>-1.0300000000000011</v>
      </c>
    </row>
    <row r="315" spans="1:9" x14ac:dyDescent="0.25">
      <c r="A315">
        <f t="shared" si="29"/>
        <v>314</v>
      </c>
      <c r="B315" t="s">
        <v>497</v>
      </c>
      <c r="C315" s="1">
        <v>46182</v>
      </c>
      <c r="D315" t="str">
        <f>VLOOKUP(B315,Trades!A$1:N101107,3,FALSE)</f>
        <v>MU</v>
      </c>
      <c r="E315" t="s">
        <v>61</v>
      </c>
      <c r="F315">
        <v>967.91</v>
      </c>
      <c r="G315">
        <v>1</v>
      </c>
      <c r="H315">
        <f>IF(VLOOKUP(B315,Trades!A:N,4,FALSE)="Long",(F315-VLOOKUP(B315,Trades!A:N,6,FALSE))*G315,(VLOOKUP(B315,Trades!A:N,6,FALSE)-F315)*G315)</f>
        <v>-11.75</v>
      </c>
      <c r="I315">
        <f>H315/VLOOKUP(B315,Trades!A$1:$N$100794,9,FALSE)</f>
        <v>-11.75</v>
      </c>
    </row>
    <row r="316" spans="1:9" x14ac:dyDescent="0.25">
      <c r="A316">
        <f t="shared" si="29"/>
        <v>315</v>
      </c>
      <c r="B316" t="s">
        <v>498</v>
      </c>
      <c r="C316" s="1">
        <v>46182</v>
      </c>
      <c r="D316" t="str">
        <f>VLOOKUP(B316,Trades!A$1:N101108,3,FALSE)</f>
        <v>INTC</v>
      </c>
      <c r="E316" t="s">
        <v>61</v>
      </c>
      <c r="F316">
        <v>111.23</v>
      </c>
      <c r="G316">
        <v>6</v>
      </c>
      <c r="H316">
        <f>IF(VLOOKUP(B316,Trades!A:N,4,FALSE)="Long",(F316-VLOOKUP(B316,Trades!A:N,6,FALSE))*G316,(VLOOKUP(B316,Trades!A:N,6,FALSE)-F316)*G316)</f>
        <v>-6.1199999999999761</v>
      </c>
      <c r="I316">
        <f>H316/VLOOKUP(B316,Trades!A$1:$N$100794,9,FALSE)</f>
        <v>-1.019999999999996</v>
      </c>
    </row>
    <row r="317" spans="1:9" x14ac:dyDescent="0.25">
      <c r="A317">
        <f t="shared" si="29"/>
        <v>316</v>
      </c>
      <c r="B317" t="s">
        <v>499</v>
      </c>
      <c r="C317" s="1">
        <v>46182</v>
      </c>
      <c r="D317" t="str">
        <f>VLOOKUP(B317,Trades!A$1:N101109,3,FALSE)</f>
        <v>AMZN</v>
      </c>
      <c r="E317" t="s">
        <v>61</v>
      </c>
      <c r="F317">
        <v>247.96</v>
      </c>
      <c r="G317">
        <v>4</v>
      </c>
      <c r="H317">
        <f>IF(VLOOKUP(B317,Trades!A:N,4,FALSE)="Long",(F317-VLOOKUP(B317,Trades!A:N,6,FALSE))*G317,(VLOOKUP(B317,Trades!A:N,6,FALSE)-F317)*G317)</f>
        <v>-3.7999999999999545</v>
      </c>
      <c r="I317">
        <f>H317/VLOOKUP(B317,Trades!A$1:$N$100794,9,FALSE)</f>
        <v>-0.94999999999998863</v>
      </c>
    </row>
    <row r="318" spans="1:9" x14ac:dyDescent="0.25">
      <c r="A318">
        <f t="shared" si="29"/>
        <v>317</v>
      </c>
      <c r="B318" t="s">
        <v>500</v>
      </c>
      <c r="C318" s="1">
        <v>46182</v>
      </c>
      <c r="D318" t="str">
        <f>VLOOKUP(B318,Trades!A$1:N101110,3,FALSE)</f>
        <v>META</v>
      </c>
      <c r="E318" t="s">
        <v>61</v>
      </c>
      <c r="F318">
        <v>590.63</v>
      </c>
      <c r="G318">
        <v>2</v>
      </c>
      <c r="H318">
        <f>IF(VLOOKUP(B318,Trades!A:N,4,FALSE)="Long",(F318-VLOOKUP(B318,Trades!A:N,6,FALSE))*G318,(VLOOKUP(B318,Trades!A:N,6,FALSE)-F318)*G318)</f>
        <v>-6.1400000000001</v>
      </c>
      <c r="I318">
        <f>H318/VLOOKUP(B318,Trades!A$1:$N$100794,9,FALSE)</f>
        <v>-3.07000000000005</v>
      </c>
    </row>
    <row r="319" spans="1:9" x14ac:dyDescent="0.25">
      <c r="A319">
        <f t="shared" si="29"/>
        <v>318</v>
      </c>
      <c r="B319" t="s">
        <v>501</v>
      </c>
      <c r="C319" s="1">
        <v>46182</v>
      </c>
      <c r="D319" t="str">
        <f>VLOOKUP(B319,Trades!A$1:N101111,3,FALSE)</f>
        <v>HUM</v>
      </c>
      <c r="E319" t="s">
        <v>61</v>
      </c>
      <c r="F319">
        <v>356.4</v>
      </c>
      <c r="G319">
        <v>3</v>
      </c>
      <c r="H319">
        <f>IF(VLOOKUP(B319,Trades!A:N,4,FALSE)="Long",(F319-VLOOKUP(B319,Trades!A:N,6,FALSE))*G319,(VLOOKUP(B319,Trades!A:N,6,FALSE)-F319)*G319)</f>
        <v>-10.020000000000095</v>
      </c>
      <c r="I319">
        <f>H319/VLOOKUP(B319,Trades!A$1:$N$100794,9,FALSE)</f>
        <v>-3.3400000000000318</v>
      </c>
    </row>
    <row r="320" spans="1:9" x14ac:dyDescent="0.25">
      <c r="A320">
        <f t="shared" si="29"/>
        <v>319</v>
      </c>
      <c r="B320" t="s">
        <v>502</v>
      </c>
      <c r="C320" s="1">
        <v>46182</v>
      </c>
      <c r="D320" t="str">
        <f>VLOOKUP(B320,Trades!A$1:N101112,3,FALSE)</f>
        <v>MRVL</v>
      </c>
      <c r="E320" t="s">
        <v>61</v>
      </c>
      <c r="F320">
        <v>255.91</v>
      </c>
      <c r="G320">
        <v>5</v>
      </c>
      <c r="H320">
        <f>IF(VLOOKUP(B320,Trades!A:N,4,FALSE)="Long",(F320-VLOOKUP(B320,Trades!A:N,6,FALSE))*G320,(VLOOKUP(B320,Trades!A:N,6,FALSE)-F320)*G320)</f>
        <v>-155.00000000000014</v>
      </c>
      <c r="I320">
        <f>H320/VLOOKUP(B320,Trades!A$1:$N$100794,9,FALSE)</f>
        <v>-31.000000000000028</v>
      </c>
    </row>
    <row r="321" spans="1:9" x14ac:dyDescent="0.25">
      <c r="A321">
        <f t="shared" ref="A321:A329" si="30">ROW()-1</f>
        <v>320</v>
      </c>
      <c r="B321" t="s">
        <v>503</v>
      </c>
      <c r="C321" s="1">
        <v>46183</v>
      </c>
      <c r="D321" t="str">
        <f>VLOOKUP(B321,Trades!A$1:N101113,3,FALSE)</f>
        <v>NVDA</v>
      </c>
      <c r="E321" t="s">
        <v>61</v>
      </c>
      <c r="F321">
        <v>205.44</v>
      </c>
      <c r="G321">
        <v>4</v>
      </c>
      <c r="H321">
        <f>IF(VLOOKUP(B321,Trades!A:N,4,FALSE)="Long",(F321-VLOOKUP(B321,Trades!A:N,6,FALSE))*G321,(VLOOKUP(B321,Trades!A:N,6,FALSE)-F321)*G321)</f>
        <v>-3.9600000000000364</v>
      </c>
      <c r="I321">
        <f>H321/VLOOKUP(B321,Trades!A$1:$N$100794,9,FALSE)</f>
        <v>-0.99000000000000909</v>
      </c>
    </row>
    <row r="322" spans="1:9" x14ac:dyDescent="0.25">
      <c r="A322">
        <f t="shared" si="30"/>
        <v>321</v>
      </c>
      <c r="B322" t="s">
        <v>504</v>
      </c>
      <c r="C322" s="1">
        <v>46183</v>
      </c>
      <c r="D322" t="str">
        <f>VLOOKUP(B322,Trades!A$1:N101114,3,FALSE)</f>
        <v>AMD</v>
      </c>
      <c r="E322" t="s">
        <v>61</v>
      </c>
      <c r="F322">
        <v>470.31</v>
      </c>
      <c r="G322">
        <v>2</v>
      </c>
      <c r="H322">
        <f>IF(VLOOKUP(B322,Trades!A:N,4,FALSE)="Long",(F322-VLOOKUP(B322,Trades!A:N,6,FALSE))*G322,(VLOOKUP(B322,Trades!A:N,6,FALSE)-F322)*G322)</f>
        <v>-10.399999999999977</v>
      </c>
      <c r="I322">
        <f>H322/VLOOKUP(B322,Trades!A$1:$N$100794,9,FALSE)</f>
        <v>-5.1999999999999886</v>
      </c>
    </row>
    <row r="323" spans="1:9" x14ac:dyDescent="0.25">
      <c r="A323">
        <f t="shared" si="30"/>
        <v>322</v>
      </c>
      <c r="B323" t="s">
        <v>505</v>
      </c>
      <c r="C323" s="1">
        <v>46183</v>
      </c>
      <c r="D323" t="str">
        <f>VLOOKUP(B323,Trades!A$1:N101115,3,FALSE)</f>
        <v>NVDA</v>
      </c>
      <c r="E323" t="s">
        <v>61</v>
      </c>
      <c r="F323">
        <v>204.89</v>
      </c>
      <c r="G323">
        <v>4</v>
      </c>
      <c r="H323">
        <f>IF(VLOOKUP(B323,Trades!A:N,4,FALSE)="Long",(F323-VLOOKUP(B323,Trades!A:N,6,FALSE))*G323,(VLOOKUP(B323,Trades!A:N,6,FALSE)-F323)*G323)</f>
        <v>-8.0800000000000409</v>
      </c>
      <c r="I323">
        <f>H323/VLOOKUP(B323,Trades!A$1:$N$100794,9,FALSE)</f>
        <v>-2.0200000000000102</v>
      </c>
    </row>
    <row r="324" spans="1:9" x14ac:dyDescent="0.25">
      <c r="A324">
        <f t="shared" si="30"/>
        <v>323</v>
      </c>
      <c r="B324" t="s">
        <v>506</v>
      </c>
      <c r="C324" s="1">
        <v>46183</v>
      </c>
      <c r="D324" t="str">
        <f>VLOOKUP(B324,Trades!A$1:N101116,3,FALSE)</f>
        <v>MU</v>
      </c>
      <c r="E324" t="s">
        <v>61</v>
      </c>
      <c r="F324">
        <v>941.98</v>
      </c>
      <c r="G324">
        <v>1</v>
      </c>
      <c r="H324">
        <f>IF(VLOOKUP(B324,Trades!A:N,4,FALSE)="Long",(F324-VLOOKUP(B324,Trades!A:N,6,FALSE))*G324,(VLOOKUP(B324,Trades!A:N,6,FALSE)-F324)*G324)</f>
        <v>28.050000000000068</v>
      </c>
      <c r="I324">
        <f>H324/VLOOKUP(B324,Trades!A$1:$N$100794,9,FALSE)</f>
        <v>28.050000000000068</v>
      </c>
    </row>
    <row r="325" spans="1:9" x14ac:dyDescent="0.25">
      <c r="A325">
        <f t="shared" si="30"/>
        <v>324</v>
      </c>
      <c r="B325" t="s">
        <v>507</v>
      </c>
      <c r="C325" s="1">
        <v>46183</v>
      </c>
      <c r="D325" t="str">
        <f>VLOOKUP(B325,Trades!A$1:N101117,3,FALSE)</f>
        <v>AMAT</v>
      </c>
      <c r="E325" t="s">
        <v>61</v>
      </c>
      <c r="F325">
        <v>526.70000000000005</v>
      </c>
      <c r="G325">
        <v>1</v>
      </c>
      <c r="H325">
        <f>IF(VLOOKUP(B325,Trades!A:N,4,FALSE)="Long",(F325-VLOOKUP(B325,Trades!A:N,6,FALSE))*G325,(VLOOKUP(B325,Trades!A:N,6,FALSE)-F325)*G325)</f>
        <v>14.79000000000002</v>
      </c>
      <c r="I325">
        <f>H325/VLOOKUP(B325,Trades!A$1:$N$100794,9,FALSE)</f>
        <v>7.3950000000000102</v>
      </c>
    </row>
    <row r="326" spans="1:9" x14ac:dyDescent="0.25">
      <c r="A326">
        <f t="shared" si="30"/>
        <v>325</v>
      </c>
      <c r="B326" t="s">
        <v>508</v>
      </c>
      <c r="C326" s="1">
        <v>46183</v>
      </c>
      <c r="D326" t="str">
        <f>VLOOKUP(B326,Trades!A$1:N101118,3,FALSE)</f>
        <v>AMAT</v>
      </c>
      <c r="E326" t="s">
        <v>61</v>
      </c>
      <c r="F326">
        <v>519.04</v>
      </c>
      <c r="G326">
        <v>2</v>
      </c>
      <c r="H326">
        <f>IF(VLOOKUP(B326,Trades!A:N,4,FALSE)="Long",(F326-VLOOKUP(B326,Trades!A:N,6,FALSE))*G326,(VLOOKUP(B326,Trades!A:N,6,FALSE)-F326)*G326)</f>
        <v>-6</v>
      </c>
      <c r="I326">
        <f>H326/VLOOKUP(B326,Trades!A$1:$N$100794,9,FALSE)</f>
        <v>-3</v>
      </c>
    </row>
    <row r="327" spans="1:9" x14ac:dyDescent="0.25">
      <c r="A327">
        <f t="shared" si="30"/>
        <v>326</v>
      </c>
      <c r="B327" t="s">
        <v>509</v>
      </c>
      <c r="C327" s="1">
        <v>46183</v>
      </c>
      <c r="D327" t="str">
        <f>VLOOKUP(B327,Trades!A$1:N101119,3,FALSE)</f>
        <v>MU</v>
      </c>
      <c r="E327" t="s">
        <v>61</v>
      </c>
      <c r="F327">
        <v>906.7</v>
      </c>
      <c r="G327">
        <v>1</v>
      </c>
      <c r="H327">
        <f>IF(VLOOKUP(B327,Trades!A:N,4,FALSE)="Long",(F327-VLOOKUP(B327,Trades!A:N,6,FALSE))*G327,(VLOOKUP(B327,Trades!A:N,6,FALSE)-F327)*G327)</f>
        <v>-8</v>
      </c>
      <c r="I327">
        <f>H327/VLOOKUP(B327,Trades!A$1:$N$100794,9,FALSE)</f>
        <v>-8</v>
      </c>
    </row>
    <row r="328" spans="1:9" x14ac:dyDescent="0.25">
      <c r="A328">
        <f t="shared" si="30"/>
        <v>327</v>
      </c>
      <c r="B328" t="s">
        <v>510</v>
      </c>
      <c r="C328" s="1">
        <v>46183</v>
      </c>
      <c r="D328" t="str">
        <f>VLOOKUP(B328,Trades!A$1:N101120,3,FALSE)</f>
        <v>AMAT</v>
      </c>
      <c r="E328" t="s">
        <v>61</v>
      </c>
      <c r="F328">
        <v>500.17</v>
      </c>
      <c r="G328">
        <v>1</v>
      </c>
      <c r="H328">
        <f>IF(VLOOKUP(B328,Trades!A:N,4,FALSE)="Long",(F328-VLOOKUP(B328,Trades!A:N,6,FALSE))*G328,(VLOOKUP(B328,Trades!A:N,6,FALSE)-F328)*G328)</f>
        <v>-5.1399999999999864</v>
      </c>
      <c r="I328">
        <f>H328/VLOOKUP(B328,Trades!A$1:$N$100794,9,FALSE)</f>
        <v>-5.1399999999999864</v>
      </c>
    </row>
    <row r="329" spans="1:9" x14ac:dyDescent="0.25">
      <c r="A329">
        <f t="shared" si="30"/>
        <v>328</v>
      </c>
      <c r="B329" t="s">
        <v>511</v>
      </c>
      <c r="C329" s="1">
        <v>46183</v>
      </c>
      <c r="D329" t="str">
        <f>VLOOKUP(B329,Trades!A$1:N101121,3,FALSE)</f>
        <v>TJX</v>
      </c>
      <c r="E329" t="s">
        <v>61</v>
      </c>
      <c r="F329">
        <v>166.22</v>
      </c>
      <c r="G329">
        <v>3</v>
      </c>
      <c r="H329">
        <f>IF(VLOOKUP(B329,Trades!A:N,4,FALSE)="Long",(F329-VLOOKUP(B329,Trades!A:N,6,FALSE))*G329,(VLOOKUP(B329,Trades!A:N,6,FALSE)-F329)*G329)</f>
        <v>7.4700000000000273</v>
      </c>
      <c r="I329">
        <f>H329/VLOOKUP(B329,Trades!A$1:$N$100794,9,FALSE)</f>
        <v>2.4900000000000091</v>
      </c>
    </row>
    <row r="330" spans="1:9" x14ac:dyDescent="0.25">
      <c r="A330">
        <f t="shared" ref="A330:A340" si="31">ROW()-1</f>
        <v>329</v>
      </c>
      <c r="B330" t="s">
        <v>513</v>
      </c>
      <c r="C330" s="1">
        <v>46184</v>
      </c>
      <c r="D330" t="str">
        <f>VLOOKUP(B330,Trades!A$1:N101122,3,FALSE)</f>
        <v>TMDX</v>
      </c>
      <c r="E330" t="s">
        <v>61</v>
      </c>
      <c r="F330">
        <v>65.7</v>
      </c>
      <c r="G330">
        <v>2</v>
      </c>
      <c r="H330">
        <f>IF(VLOOKUP(B330,Trades!A:N,4,FALSE)="Long",(F330-VLOOKUP(B330,Trades!A:N,6,FALSE))*G330,(VLOOKUP(B330,Trades!A:N,6,FALSE)-F330)*G330)</f>
        <v>-7.0999999999999943</v>
      </c>
      <c r="I330">
        <f>H330/VLOOKUP(B330,Trades!A$1:$N$100794,9,FALSE)</f>
        <v>-3.5499999999999972</v>
      </c>
    </row>
    <row r="331" spans="1:9" x14ac:dyDescent="0.25">
      <c r="A331">
        <f t="shared" si="31"/>
        <v>330</v>
      </c>
      <c r="B331" t="s">
        <v>514</v>
      </c>
      <c r="C331" s="1">
        <v>46184</v>
      </c>
      <c r="D331" t="str">
        <f>VLOOKUP(B331,Trades!A$1:N101123,3,FALSE)</f>
        <v>INTC</v>
      </c>
      <c r="E331" t="s">
        <v>61</v>
      </c>
      <c r="F331">
        <v>107.36</v>
      </c>
      <c r="G331">
        <v>8</v>
      </c>
      <c r="H331">
        <f>IF(VLOOKUP(B331,Trades!A:N,4,FALSE)="Long",(F331-VLOOKUP(B331,Trades!A:N,6,FALSE))*G331,(VLOOKUP(B331,Trades!A:N,6,FALSE)-F331)*G331)</f>
        <v>-10.399999999999977</v>
      </c>
      <c r="I331">
        <f>H331/VLOOKUP(B331,Trades!A$1:$N$100794,9,FALSE)</f>
        <v>-1.2999999999999972</v>
      </c>
    </row>
    <row r="332" spans="1:9" x14ac:dyDescent="0.25">
      <c r="A332">
        <f t="shared" si="31"/>
        <v>331</v>
      </c>
      <c r="B332" t="s">
        <v>515</v>
      </c>
      <c r="C332" s="1">
        <v>46184</v>
      </c>
      <c r="D332" t="str">
        <f>VLOOKUP(B332,Trades!A$1:N101124,3,FALSE)</f>
        <v>AMAT</v>
      </c>
      <c r="E332" t="s">
        <v>61</v>
      </c>
      <c r="F332">
        <v>522.52</v>
      </c>
      <c r="G332">
        <v>2</v>
      </c>
      <c r="H332">
        <f>IF(VLOOKUP(B332,Trades!A:N,4,FALSE)="Long",(F332-VLOOKUP(B332,Trades!A:N,6,FALSE))*G332,(VLOOKUP(B332,Trades!A:N,6,FALSE)-F332)*G332)</f>
        <v>-9.2999999999999545</v>
      </c>
      <c r="I332">
        <f>H332/VLOOKUP(B332,Trades!A$1:$N$100794,9,FALSE)</f>
        <v>-4.6499999999999773</v>
      </c>
    </row>
    <row r="333" spans="1:9" x14ac:dyDescent="0.25">
      <c r="A333">
        <f t="shared" si="31"/>
        <v>332</v>
      </c>
      <c r="B333" t="s">
        <v>516</v>
      </c>
      <c r="C333" s="1">
        <v>46184</v>
      </c>
      <c r="D333" t="str">
        <f>VLOOKUP(B333,Trades!A$1:N101125,3,FALSE)</f>
        <v>MU</v>
      </c>
      <c r="E333" t="s">
        <v>61</v>
      </c>
      <c r="F333">
        <v>898.9</v>
      </c>
      <c r="G333">
        <v>1</v>
      </c>
      <c r="H333">
        <f>IF(VLOOKUP(B333,Trades!A:N,4,FALSE)="Long",(F333-VLOOKUP(B333,Trades!A:N,6,FALSE))*G333,(VLOOKUP(B333,Trades!A:N,6,FALSE)-F333)*G333)</f>
        <v>-6.1000000000000227</v>
      </c>
      <c r="I333">
        <f>H333/VLOOKUP(B333,Trades!A$1:$N$100794,9,FALSE)</f>
        <v>-6.1000000000000227</v>
      </c>
    </row>
    <row r="334" spans="1:9" x14ac:dyDescent="0.25">
      <c r="A334">
        <f t="shared" si="31"/>
        <v>333</v>
      </c>
      <c r="B334" t="s">
        <v>517</v>
      </c>
      <c r="C334" s="1">
        <v>46184</v>
      </c>
      <c r="D334" t="str">
        <f>VLOOKUP(B334,Trades!A$1:N101126,3,FALSE)</f>
        <v>MU</v>
      </c>
      <c r="E334" t="s">
        <v>61</v>
      </c>
      <c r="F334">
        <v>906.05</v>
      </c>
      <c r="G334">
        <v>1</v>
      </c>
      <c r="H334">
        <f>IF(VLOOKUP(B334,Trades!A:N,4,FALSE)="Long",(F334-VLOOKUP(B334,Trades!A:N,6,FALSE))*G334,(VLOOKUP(B334,Trades!A:N,6,FALSE)-F334)*G334)</f>
        <v>-9.7000000000000455</v>
      </c>
      <c r="I334">
        <f>H334/VLOOKUP(B334,Trades!A$1:$N$100794,9,FALSE)</f>
        <v>-9.7000000000000455</v>
      </c>
    </row>
    <row r="335" spans="1:9" x14ac:dyDescent="0.25">
      <c r="A335">
        <f t="shared" si="31"/>
        <v>334</v>
      </c>
      <c r="B335" t="s">
        <v>518</v>
      </c>
      <c r="C335" s="1">
        <v>46184</v>
      </c>
      <c r="D335" t="str">
        <f>VLOOKUP(B335,Trades!A$1:N101127,3,FALSE)</f>
        <v>INTC</v>
      </c>
      <c r="E335" t="s">
        <v>61</v>
      </c>
      <c r="F335">
        <v>116.07</v>
      </c>
      <c r="G335">
        <v>3</v>
      </c>
      <c r="H335">
        <f>IF(VLOOKUP(B335,Trades!A:N,4,FALSE)="Long",(F335-VLOOKUP(B335,Trades!A:N,6,FALSE))*G335,(VLOOKUP(B335,Trades!A:N,6,FALSE)-F335)*G335)</f>
        <v>-8.4300000000000068</v>
      </c>
      <c r="I335">
        <f>H335/VLOOKUP(B335,Trades!A$1:$N$100794,9,FALSE)</f>
        <v>-2.8100000000000023</v>
      </c>
    </row>
    <row r="336" spans="1:9" x14ac:dyDescent="0.25">
      <c r="A336">
        <f t="shared" si="31"/>
        <v>335</v>
      </c>
      <c r="B336" t="s">
        <v>519</v>
      </c>
      <c r="C336" s="1">
        <v>46184</v>
      </c>
      <c r="D336" t="str">
        <f>VLOOKUP(B336,Trades!A$1:N101128,3,FALSE)</f>
        <v>AMAT</v>
      </c>
      <c r="E336" t="s">
        <v>61</v>
      </c>
      <c r="F336">
        <v>526.5</v>
      </c>
      <c r="G336">
        <v>2</v>
      </c>
      <c r="H336">
        <f>IF(VLOOKUP(B336,Trades!A:N,4,FALSE)="Long",(F336-VLOOKUP(B336,Trades!A:N,6,FALSE))*G336,(VLOOKUP(B336,Trades!A:N,6,FALSE)-F336)*G336)</f>
        <v>-8.1800000000000637</v>
      </c>
      <c r="I336">
        <f>H336/VLOOKUP(B336,Trades!A$1:$N$100794,9,FALSE)</f>
        <v>-4.0900000000000318</v>
      </c>
    </row>
    <row r="337" spans="1:9" x14ac:dyDescent="0.25">
      <c r="A337">
        <f t="shared" si="31"/>
        <v>336</v>
      </c>
      <c r="B337" t="s">
        <v>520</v>
      </c>
      <c r="C337" s="1">
        <v>46184</v>
      </c>
      <c r="D337" t="str">
        <f>VLOOKUP(B337,Trades!A$1:N101129,3,FALSE)</f>
        <v>MU</v>
      </c>
      <c r="E337" t="s">
        <v>61</v>
      </c>
      <c r="F337">
        <v>904.9</v>
      </c>
      <c r="G337">
        <v>1</v>
      </c>
      <c r="H337">
        <f>IF(VLOOKUP(B337,Trades!A:N,4,FALSE)="Long",(F337-VLOOKUP(B337,Trades!A:N,6,FALSE))*G337,(VLOOKUP(B337,Trades!A:N,6,FALSE)-F337)*G337)</f>
        <v>-8.1000000000000227</v>
      </c>
      <c r="I337">
        <f>H337/VLOOKUP(B337,Trades!A$1:$N$100794,9,FALSE)</f>
        <v>-8.1000000000000227</v>
      </c>
    </row>
    <row r="338" spans="1:9" x14ac:dyDescent="0.25">
      <c r="A338">
        <f t="shared" si="31"/>
        <v>337</v>
      </c>
      <c r="B338" t="s">
        <v>521</v>
      </c>
      <c r="C338" s="1">
        <v>46184</v>
      </c>
      <c r="D338" t="str">
        <f>VLOOKUP(B338,Trades!A$1:N101130,3,FALSE)</f>
        <v>MU</v>
      </c>
      <c r="E338" t="s">
        <v>61</v>
      </c>
      <c r="F338">
        <v>917.92</v>
      </c>
      <c r="G338">
        <v>1</v>
      </c>
      <c r="H338">
        <f>IF(VLOOKUP(B338,Trades!A:N,4,FALSE)="Long",(F338-VLOOKUP(B338,Trades!A:N,6,FALSE))*G338,(VLOOKUP(B338,Trades!A:N,6,FALSE)-F338)*G338)</f>
        <v>6.9199999999999591</v>
      </c>
      <c r="I338">
        <f>H338/VLOOKUP(B338,Trades!A$1:$N$100794,9,FALSE)</f>
        <v>6.9199999999999591</v>
      </c>
    </row>
    <row r="339" spans="1:9" x14ac:dyDescent="0.25">
      <c r="A339">
        <f t="shared" si="31"/>
        <v>338</v>
      </c>
      <c r="B339" t="s">
        <v>523</v>
      </c>
      <c r="C339" s="1">
        <v>46184</v>
      </c>
      <c r="D339" t="str">
        <f>VLOOKUP(B339,Trades!A$1:N101131,3,FALSE)</f>
        <v>AAPL</v>
      </c>
      <c r="E339" t="s">
        <v>61</v>
      </c>
      <c r="F339">
        <v>295.14</v>
      </c>
      <c r="G339">
        <v>3</v>
      </c>
      <c r="H339">
        <f>IF(VLOOKUP(B339,Trades!A:N,4,FALSE)="Long",(F339-VLOOKUP(B339,Trades!A:N,6,FALSE))*G339,(VLOOKUP(B339,Trades!A:N,6,FALSE)-F339)*G339)</f>
        <v>8.4300000000000068</v>
      </c>
      <c r="I339">
        <f>H339/VLOOKUP(B339,Trades!A$1:$N$100794,9,FALSE)</f>
        <v>2.8100000000000023</v>
      </c>
    </row>
    <row r="340" spans="1:9" x14ac:dyDescent="0.25">
      <c r="A340">
        <f t="shared" si="31"/>
        <v>339</v>
      </c>
      <c r="B340" t="s">
        <v>524</v>
      </c>
      <c r="C340" s="1">
        <v>46184</v>
      </c>
      <c r="D340" t="str">
        <f>VLOOKUP(B340,Trades!A$1:N101132,3,FALSE)</f>
        <v>ANET</v>
      </c>
      <c r="E340" t="s">
        <v>61</v>
      </c>
      <c r="F340">
        <v>155.82</v>
      </c>
      <c r="G340">
        <v>3</v>
      </c>
      <c r="H340">
        <f>IF(VLOOKUP(B340,Trades!A:N,4,FALSE)="Long",(F340-VLOOKUP(B340,Trades!A:N,6,FALSE))*G340,(VLOOKUP(B340,Trades!A:N,6,FALSE)-F340)*G340)</f>
        <v>7.4099999999999966</v>
      </c>
      <c r="I340">
        <f>H340/VLOOKUP(B340,Trades!A$1:$N$100794,9,FALSE)</f>
        <v>2.4699999999999989</v>
      </c>
    </row>
    <row r="341" spans="1:9" x14ac:dyDescent="0.25">
      <c r="A341">
        <f t="shared" ref="A341:A351" si="32">ROW()-1</f>
        <v>340</v>
      </c>
      <c r="B341" t="s">
        <v>525</v>
      </c>
      <c r="C341" s="1">
        <v>46185</v>
      </c>
      <c r="D341" t="str">
        <f>VLOOKUP(B341,Trades!A$1:N101133,3,FALSE)</f>
        <v>MDT</v>
      </c>
      <c r="E341" t="s">
        <v>61</v>
      </c>
      <c r="F341">
        <v>79.72</v>
      </c>
      <c r="G341">
        <v>5</v>
      </c>
      <c r="H341">
        <f>IF(VLOOKUP(B341,Trades!A:N,4,FALSE)="Long",(F341-VLOOKUP(B341,Trades!A:N,6,FALSE))*G341,(VLOOKUP(B341,Trades!A:N,6,FALSE)-F341)*G341)</f>
        <v>-7.1500000000000341</v>
      </c>
      <c r="I341">
        <f>H341/VLOOKUP(B341,Trades!A$1:$N$100794,9,FALSE)</f>
        <v>-1.4300000000000068</v>
      </c>
    </row>
    <row r="342" spans="1:9" x14ac:dyDescent="0.25">
      <c r="A342">
        <f t="shared" si="32"/>
        <v>341</v>
      </c>
      <c r="B342" t="s">
        <v>527</v>
      </c>
      <c r="C342" s="1">
        <v>46185</v>
      </c>
      <c r="D342" t="str">
        <f>VLOOKUP(B342,Trades!A$1:N101134,3,FALSE)</f>
        <v>AMD</v>
      </c>
      <c r="E342" t="s">
        <v>61</v>
      </c>
      <c r="F342">
        <v>501.01</v>
      </c>
      <c r="G342">
        <v>2</v>
      </c>
      <c r="H342">
        <f>IF(VLOOKUP(B342,Trades!A:N,4,FALSE)="Long",(F342-VLOOKUP(B342,Trades!A:N,6,FALSE))*G342,(VLOOKUP(B342,Trades!A:N,6,FALSE)-F342)*G342)</f>
        <v>-11.180000000000064</v>
      </c>
      <c r="I342">
        <f>H342/VLOOKUP(B342,Trades!A$1:$N$100794,9,FALSE)</f>
        <v>-5.5900000000000318</v>
      </c>
    </row>
    <row r="343" spans="1:9" x14ac:dyDescent="0.25">
      <c r="A343">
        <f t="shared" si="32"/>
        <v>342</v>
      </c>
      <c r="B343" t="s">
        <v>528</v>
      </c>
      <c r="C343" s="1">
        <v>46185</v>
      </c>
      <c r="D343" t="str">
        <f>VLOOKUP(B343,Trades!A$1:N101135,3,FALSE)</f>
        <v>NVDA</v>
      </c>
      <c r="E343" t="s">
        <v>61</v>
      </c>
      <c r="F343">
        <v>204.06</v>
      </c>
      <c r="G343">
        <v>4</v>
      </c>
      <c r="H343">
        <f>IF(VLOOKUP(B343,Trades!A:N,4,FALSE)="Long",(F343-VLOOKUP(B343,Trades!A:N,6,FALSE))*G343,(VLOOKUP(B343,Trades!A:N,6,FALSE)-F343)*G343)</f>
        <v>-8.0800000000000409</v>
      </c>
      <c r="I343">
        <f>H343/VLOOKUP(B343,Trades!A$1:$N$100794,9,FALSE)</f>
        <v>-2.0200000000000102</v>
      </c>
    </row>
    <row r="344" spans="1:9" x14ac:dyDescent="0.25">
      <c r="A344">
        <f t="shared" si="32"/>
        <v>343</v>
      </c>
      <c r="B344" t="s">
        <v>530</v>
      </c>
      <c r="C344" s="1">
        <v>46185</v>
      </c>
      <c r="D344" t="str">
        <f>VLOOKUP(B344,Trades!A$1:N101136,3,FALSE)</f>
        <v>APP</v>
      </c>
      <c r="E344" t="s">
        <v>61</v>
      </c>
      <c r="F344">
        <v>480.16</v>
      </c>
      <c r="G344">
        <v>2</v>
      </c>
      <c r="H344">
        <f>IF(VLOOKUP(B344,Trades!A:N,4,FALSE)="Long",(F344-VLOOKUP(B344,Trades!A:N,6,FALSE))*G344,(VLOOKUP(B344,Trades!A:N,6,FALSE)-F344)*G344)</f>
        <v>-8.4399999999999409</v>
      </c>
      <c r="I344">
        <f>H344/VLOOKUP(B344,Trades!A$1:$N$100794,9,FALSE)</f>
        <v>-4.2199999999999704</v>
      </c>
    </row>
    <row r="345" spans="1:9" x14ac:dyDescent="0.25">
      <c r="A345">
        <f t="shared" si="32"/>
        <v>344</v>
      </c>
      <c r="B345" t="s">
        <v>531</v>
      </c>
      <c r="C345" s="1">
        <v>46185</v>
      </c>
      <c r="D345" t="str">
        <f>VLOOKUP(B345,Trades!A$1:N101137,3,FALSE)</f>
        <v>NVDA</v>
      </c>
      <c r="E345" t="s">
        <v>61</v>
      </c>
      <c r="F345">
        <v>204.04</v>
      </c>
      <c r="G345">
        <v>4</v>
      </c>
      <c r="H345">
        <f>IF(VLOOKUP(B345,Trades!A:N,4,FALSE)="Long",(F345-VLOOKUP(B345,Trades!A:N,6,FALSE))*G345,(VLOOKUP(B345,Trades!A:N,6,FALSE)-F345)*G345)</f>
        <v>-4</v>
      </c>
      <c r="I345">
        <f>H345/VLOOKUP(B345,Trades!A$1:$N$100794,9,FALSE)</f>
        <v>-1</v>
      </c>
    </row>
    <row r="346" spans="1:9" x14ac:dyDescent="0.25">
      <c r="A346">
        <f t="shared" si="32"/>
        <v>345</v>
      </c>
      <c r="B346" t="s">
        <v>532</v>
      </c>
      <c r="C346" s="1">
        <v>46185</v>
      </c>
      <c r="D346" t="str">
        <f>VLOOKUP(B346,Trades!A$1:N101138,3,FALSE)</f>
        <v>AAPL</v>
      </c>
      <c r="E346" t="s">
        <v>61</v>
      </c>
      <c r="F346">
        <v>291.83999999999997</v>
      </c>
      <c r="G346">
        <v>3</v>
      </c>
      <c r="H346">
        <f>IF(VLOOKUP(B346,Trades!A:N,4,FALSE)="Long",(F346-VLOOKUP(B346,Trades!A:N,6,FALSE))*G346,(VLOOKUP(B346,Trades!A:N,6,FALSE)-F346)*G346)</f>
        <v>-2.9700000000000273</v>
      </c>
      <c r="I346">
        <f>H346/VLOOKUP(B346,Trades!A$1:$N$100794,9,FALSE)</f>
        <v>-0.99000000000000909</v>
      </c>
    </row>
    <row r="347" spans="1:9" x14ac:dyDescent="0.25">
      <c r="A347">
        <f t="shared" si="32"/>
        <v>346</v>
      </c>
      <c r="B347" t="s">
        <v>534</v>
      </c>
      <c r="C347" s="1">
        <v>46185</v>
      </c>
      <c r="D347" t="str">
        <f>VLOOKUP(B347,Trades!A$1:N101139,3,FALSE)</f>
        <v>SPCX</v>
      </c>
      <c r="E347" t="s">
        <v>61</v>
      </c>
      <c r="F347">
        <v>161.43</v>
      </c>
      <c r="G347">
        <v>2</v>
      </c>
      <c r="H347">
        <f>IF(VLOOKUP(B347,Trades!A:N,4,FALSE)="Long",(F347-VLOOKUP(B347,Trades!A:N,6,FALSE))*G347,(VLOOKUP(B347,Trades!A:N,6,FALSE)-F347)*G347)</f>
        <v>-8.9799999999999613</v>
      </c>
      <c r="I347">
        <f>H347/VLOOKUP(B347,Trades!A$1:$N$100794,9,FALSE)</f>
        <v>-4.4899999999999807</v>
      </c>
    </row>
    <row r="348" spans="1:9" x14ac:dyDescent="0.25">
      <c r="A348">
        <f t="shared" si="32"/>
        <v>347</v>
      </c>
      <c r="B348" t="s">
        <v>535</v>
      </c>
      <c r="C348" s="1">
        <v>46185</v>
      </c>
      <c r="D348" t="str">
        <f>VLOOKUP(B348,Trades!A$1:N101140,3,FALSE)</f>
        <v>UPS</v>
      </c>
      <c r="E348" t="s">
        <v>61</v>
      </c>
      <c r="F348">
        <v>107.36</v>
      </c>
      <c r="G348">
        <v>5</v>
      </c>
      <c r="H348">
        <f>IF(VLOOKUP(B348,Trades!A:N,4,FALSE)="Long",(F348-VLOOKUP(B348,Trades!A:N,6,FALSE))*G348,(VLOOKUP(B348,Trades!A:N,6,FALSE)-F348)*G348)</f>
        <v>-5.0500000000000256</v>
      </c>
      <c r="I348">
        <f>H348/VLOOKUP(B348,Trades!A$1:$N$100794,9,FALSE)</f>
        <v>-1.0100000000000051</v>
      </c>
    </row>
    <row r="349" spans="1:9" x14ac:dyDescent="0.25">
      <c r="A349">
        <f t="shared" si="32"/>
        <v>348</v>
      </c>
      <c r="B349" t="s">
        <v>536</v>
      </c>
      <c r="C349" s="1">
        <v>46185</v>
      </c>
      <c r="D349" t="str">
        <f>VLOOKUP(B349,Trades!A$1:N101141,3,FALSE)</f>
        <v>AMD</v>
      </c>
      <c r="E349" t="s">
        <v>61</v>
      </c>
      <c r="F349">
        <v>518.5</v>
      </c>
      <c r="G349">
        <v>2</v>
      </c>
      <c r="H349">
        <f>IF(VLOOKUP(B349,Trades!A:N,4,FALSE)="Long",(F349-VLOOKUP(B349,Trades!A:N,6,FALSE))*G349,(VLOOKUP(B349,Trades!A:N,6,FALSE)-F349)*G349)</f>
        <v>21.899999999999977</v>
      </c>
      <c r="I349">
        <f>H349/VLOOKUP(B349,Trades!A$1:$N$100794,9,FALSE)</f>
        <v>10.949999999999989</v>
      </c>
    </row>
    <row r="350" spans="1:9" x14ac:dyDescent="0.25">
      <c r="A350">
        <f t="shared" si="32"/>
        <v>349</v>
      </c>
      <c r="B350" t="s">
        <v>537</v>
      </c>
      <c r="C350" s="1">
        <v>46185</v>
      </c>
      <c r="D350" t="str">
        <f>VLOOKUP(B350,Trades!A$1:N101142,3,FALSE)</f>
        <v>SOUN</v>
      </c>
      <c r="E350" t="s">
        <v>61</v>
      </c>
      <c r="F350">
        <v>7.83</v>
      </c>
      <c r="G350">
        <v>10</v>
      </c>
      <c r="H350">
        <f>IF(VLOOKUP(B350,Trades!A:N,4,FALSE)="Long",(F350-VLOOKUP(B350,Trades!A:N,6,FALSE))*G350,(VLOOKUP(B350,Trades!A:N,6,FALSE)-F350)*G350)</f>
        <v>-5.8999999999999986</v>
      </c>
      <c r="I350">
        <f>H350/VLOOKUP(B350,Trades!A$1:$N$100794,9,FALSE)</f>
        <v>-0.58999999999999986</v>
      </c>
    </row>
    <row r="351" spans="1:9" x14ac:dyDescent="0.25">
      <c r="A351">
        <f t="shared" si="32"/>
        <v>350</v>
      </c>
      <c r="B351" t="s">
        <v>538</v>
      </c>
      <c r="C351" s="1">
        <v>46185</v>
      </c>
      <c r="D351" t="str">
        <f>VLOOKUP(B351,Trades!A$1:N101143,3,FALSE)</f>
        <v>MU</v>
      </c>
      <c r="E351" t="s">
        <v>61</v>
      </c>
      <c r="F351">
        <v>986.79</v>
      </c>
      <c r="G351">
        <v>1</v>
      </c>
      <c r="H351">
        <f>IF(VLOOKUP(B351,Trades!A:N,4,FALSE)="Long",(F351-VLOOKUP(B351,Trades!A:N,6,FALSE))*G351,(VLOOKUP(B351,Trades!A:N,6,FALSE)-F351)*G351)</f>
        <v>15.309999999999945</v>
      </c>
      <c r="I351">
        <f>H351/VLOOKUP(B351,Trades!A$1:$N$100794,9,FALSE)</f>
        <v>15.309999999999945</v>
      </c>
    </row>
    <row r="352" spans="1:9" x14ac:dyDescent="0.25">
      <c r="A352">
        <f t="shared" ref="A352:A359" si="33">ROW()-1</f>
        <v>351</v>
      </c>
      <c r="B352" t="s">
        <v>540</v>
      </c>
      <c r="C352" s="1">
        <v>46188</v>
      </c>
      <c r="D352" t="str">
        <f>VLOOKUP(B352,Trades!A$1:N101144,3,FALSE)</f>
        <v>INTC</v>
      </c>
      <c r="E352" t="s">
        <v>61</v>
      </c>
      <c r="F352">
        <v>128.35</v>
      </c>
      <c r="G352">
        <v>6</v>
      </c>
      <c r="H352">
        <f>IF(VLOOKUP(B352,Trades!A:N,4,FALSE)="Long",(F352-VLOOKUP(B352,Trades!A:N,6,FALSE))*G352,(VLOOKUP(B352,Trades!A:N,6,FALSE)-F352)*G352)</f>
        <v>-10.560000000000116</v>
      </c>
      <c r="I352">
        <f>H352/VLOOKUP(B352,Trades!A$1:$N$100794,9,FALSE)</f>
        <v>-1.7600000000000193</v>
      </c>
    </row>
    <row r="353" spans="1:9" x14ac:dyDescent="0.25">
      <c r="A353">
        <f t="shared" si="33"/>
        <v>352</v>
      </c>
      <c r="B353" t="s">
        <v>541</v>
      </c>
      <c r="C353" s="1">
        <v>46188</v>
      </c>
      <c r="D353" t="str">
        <f>VLOOKUP(B353,Trades!A$1:N101145,3,FALSE)</f>
        <v>POET</v>
      </c>
      <c r="E353" t="s">
        <v>61</v>
      </c>
      <c r="F353">
        <v>12.87</v>
      </c>
      <c r="G353">
        <v>10</v>
      </c>
      <c r="H353">
        <f>IF(VLOOKUP(B353,Trades!A:N,4,FALSE)="Long",(F353-VLOOKUP(B353,Trades!A:N,6,FALSE))*G353,(VLOOKUP(B353,Trades!A:N,6,FALSE)-F353)*G353)</f>
        <v>13.499999999999996</v>
      </c>
      <c r="I353">
        <f>H353/VLOOKUP(B353,Trades!A$1:$N$100794,9,FALSE)</f>
        <v>1.3499999999999996</v>
      </c>
    </row>
    <row r="354" spans="1:9" x14ac:dyDescent="0.25">
      <c r="A354">
        <f t="shared" si="33"/>
        <v>353</v>
      </c>
      <c r="B354" t="s">
        <v>542</v>
      </c>
      <c r="C354" s="1">
        <v>46188</v>
      </c>
      <c r="D354" t="str">
        <f>VLOOKUP(B354,Trades!A$1:N101146,3,FALSE)</f>
        <v>AMD</v>
      </c>
      <c r="E354" t="s">
        <v>61</v>
      </c>
      <c r="F354">
        <v>548.01</v>
      </c>
      <c r="G354">
        <v>2</v>
      </c>
      <c r="H354">
        <f>IF(VLOOKUP(B354,Trades!A:N,4,FALSE)="Long",(F354-VLOOKUP(B354,Trades!A:N,6,FALSE))*G354,(VLOOKUP(B354,Trades!A:N,6,FALSE)-F354)*G354)</f>
        <v>-10.779999999999973</v>
      </c>
      <c r="I354">
        <f>H354/VLOOKUP(B354,Trades!A$1:$N$100794,9,FALSE)</f>
        <v>-5.3899999999999864</v>
      </c>
    </row>
    <row r="355" spans="1:9" x14ac:dyDescent="0.25">
      <c r="A355">
        <f t="shared" si="33"/>
        <v>354</v>
      </c>
      <c r="B355" t="s">
        <v>543</v>
      </c>
      <c r="C355" s="1">
        <v>46188</v>
      </c>
      <c r="D355" t="str">
        <f>VLOOKUP(B355,Trades!A$1:N101147,3,FALSE)</f>
        <v>SPCX</v>
      </c>
      <c r="E355" t="s">
        <v>61</v>
      </c>
      <c r="F355">
        <v>171.42</v>
      </c>
      <c r="G355">
        <v>4</v>
      </c>
      <c r="H355">
        <f>IF(VLOOKUP(B355,Trades!A:N,4,FALSE)="Long",(F355-VLOOKUP(B355,Trades!A:N,6,FALSE))*G355,(VLOOKUP(B355,Trades!A:N,6,FALSE)-F355)*G355)</f>
        <v>-10.440000000000055</v>
      </c>
      <c r="I355">
        <f>H355/VLOOKUP(B355,Trades!A$1:$N$100794,9,FALSE)</f>
        <v>-2.6100000000000136</v>
      </c>
    </row>
    <row r="356" spans="1:9" x14ac:dyDescent="0.25">
      <c r="A356">
        <f t="shared" si="33"/>
        <v>355</v>
      </c>
      <c r="B356" t="s">
        <v>544</v>
      </c>
      <c r="C356" s="1">
        <v>46188</v>
      </c>
      <c r="D356" t="str">
        <f>VLOOKUP(B356,Trades!A$1:N101148,3,FALSE)</f>
        <v>INTC</v>
      </c>
      <c r="E356" t="s">
        <v>61</v>
      </c>
      <c r="F356">
        <v>126.96</v>
      </c>
      <c r="G356">
        <v>8</v>
      </c>
      <c r="H356">
        <f>IF(VLOOKUP(B356,Trades!A:N,4,FALSE)="Long",(F356-VLOOKUP(B356,Trades!A:N,6,FALSE))*G356,(VLOOKUP(B356,Trades!A:N,6,FALSE)-F356)*G356)</f>
        <v>-11.520000000000095</v>
      </c>
      <c r="I356">
        <f>H356/VLOOKUP(B356,Trades!A$1:$N$100794,9,FALSE)</f>
        <v>-1.4400000000000119</v>
      </c>
    </row>
    <row r="357" spans="1:9" x14ac:dyDescent="0.25">
      <c r="A357">
        <f t="shared" si="33"/>
        <v>356</v>
      </c>
      <c r="B357" t="s">
        <v>545</v>
      </c>
      <c r="C357" s="1">
        <v>46188</v>
      </c>
      <c r="D357" t="str">
        <f>VLOOKUP(B357,Trades!A$1:N101149,3,FALSE)</f>
        <v>MA</v>
      </c>
      <c r="E357" t="s">
        <v>61</v>
      </c>
      <c r="F357">
        <v>488.67</v>
      </c>
      <c r="G357">
        <v>2</v>
      </c>
      <c r="H357">
        <f>IF(VLOOKUP(B357,Trades!A:N,4,FALSE)="Long",(F357-VLOOKUP(B357,Trades!A:N,6,FALSE))*G357,(VLOOKUP(B357,Trades!A:N,6,FALSE)-F357)*G357)</f>
        <v>-4.1399999999999864</v>
      </c>
      <c r="I357">
        <f>H357/VLOOKUP(B357,Trades!A$1:$N$100794,9,FALSE)</f>
        <v>-2.0699999999999932</v>
      </c>
    </row>
    <row r="358" spans="1:9" x14ac:dyDescent="0.25">
      <c r="A358">
        <f t="shared" si="33"/>
        <v>357</v>
      </c>
      <c r="B358" t="s">
        <v>546</v>
      </c>
      <c r="C358" s="1">
        <v>46188</v>
      </c>
      <c r="D358" t="str">
        <f>VLOOKUP(B358,Trades!A$1:N101150,3,FALSE)</f>
        <v>NVDA</v>
      </c>
      <c r="E358" t="s">
        <v>61</v>
      </c>
      <c r="F358">
        <v>211.97</v>
      </c>
      <c r="G358">
        <v>4</v>
      </c>
      <c r="H358">
        <f>IF(VLOOKUP(B358,Trades!A:N,4,FALSE)="Long",(F358-VLOOKUP(B358,Trades!A:N,6,FALSE))*G358,(VLOOKUP(B358,Trades!A:N,6,FALSE)-F358)*G358)</f>
        <v>7.5199999999999818</v>
      </c>
      <c r="I358">
        <f>H358/VLOOKUP(B358,Trades!A$1:$N$100794,9,FALSE)</f>
        <v>1.8799999999999955</v>
      </c>
    </row>
    <row r="359" spans="1:9" x14ac:dyDescent="0.25">
      <c r="A359">
        <f t="shared" si="33"/>
        <v>358</v>
      </c>
      <c r="B359" t="s">
        <v>548</v>
      </c>
      <c r="C359" s="1">
        <v>46188</v>
      </c>
      <c r="D359" t="str">
        <f>VLOOKUP(B359,Trades!A$1:N101151,3,FALSE)</f>
        <v>APP</v>
      </c>
      <c r="E359" t="s">
        <v>61</v>
      </c>
      <c r="F359">
        <v>522.58000000000004</v>
      </c>
      <c r="G359">
        <v>2</v>
      </c>
      <c r="H359">
        <f>IF(VLOOKUP(B359,Trades!A:N,4,FALSE)="Long",(F359-VLOOKUP(B359,Trades!A:N,6,FALSE))*G359,(VLOOKUP(B359,Trades!A:N,6,FALSE)-F359)*G359)</f>
        <v>11.880000000000109</v>
      </c>
      <c r="I359">
        <f>H359/VLOOKUP(B359,Trades!A$1:$N$100794,9,FALSE)</f>
        <v>5.9400000000000546</v>
      </c>
    </row>
    <row r="360" spans="1:9" x14ac:dyDescent="0.25">
      <c r="A360">
        <f t="shared" ref="A360:A367" si="34">ROW()-1</f>
        <v>359</v>
      </c>
      <c r="B360" t="s">
        <v>549</v>
      </c>
      <c r="C360" s="1">
        <v>46189</v>
      </c>
      <c r="D360" t="str">
        <f>VLOOKUP(B360,Trades!A$1:N101152,3,FALSE)</f>
        <v>NIO</v>
      </c>
      <c r="E360" t="s">
        <v>61</v>
      </c>
      <c r="F360">
        <v>5</v>
      </c>
      <c r="G360">
        <v>10</v>
      </c>
      <c r="H360">
        <f>IF(VLOOKUP(B360,Trades!A:N,4,FALSE)="Long",(F360-VLOOKUP(B360,Trades!A:N,6,FALSE))*G360,(VLOOKUP(B360,Trades!A:N,6,FALSE)-F360)*G360)</f>
        <v>-4.1999999999999993</v>
      </c>
      <c r="I360">
        <f>H360/VLOOKUP(B360,Trades!A$1:$N$100794,9,FALSE)</f>
        <v>-0.41999999999999993</v>
      </c>
    </row>
    <row r="361" spans="1:9" x14ac:dyDescent="0.25">
      <c r="A361">
        <f t="shared" si="34"/>
        <v>360</v>
      </c>
      <c r="B361" t="s">
        <v>551</v>
      </c>
      <c r="C361" s="1">
        <v>46189</v>
      </c>
      <c r="D361" t="str">
        <f>VLOOKUP(B361,Trades!A$1:N101153,3,FALSE)</f>
        <v>AFRM</v>
      </c>
      <c r="E361" t="s">
        <v>61</v>
      </c>
      <c r="F361">
        <v>75.11</v>
      </c>
      <c r="G361">
        <v>20</v>
      </c>
      <c r="H361">
        <f>IF(VLOOKUP(B361,Trades!A:N,4,FALSE)="Long",(F361-VLOOKUP(B361,Trades!A:N,6,FALSE))*G361,(VLOOKUP(B361,Trades!A:N,6,FALSE)-F361)*G361)</f>
        <v>31.999999999999886</v>
      </c>
      <c r="I361">
        <f>H361/VLOOKUP(B361,Trades!A$1:$N$100794,9,FALSE)</f>
        <v>1.5999999999999943</v>
      </c>
    </row>
    <row r="362" spans="1:9" x14ac:dyDescent="0.25">
      <c r="A362">
        <f t="shared" si="34"/>
        <v>361</v>
      </c>
      <c r="B362" t="s">
        <v>552</v>
      </c>
      <c r="C362" s="1">
        <v>46189</v>
      </c>
      <c r="D362" t="str">
        <f>VLOOKUP(B362,Trades!A$1:N101154,3,FALSE)</f>
        <v>PLTR</v>
      </c>
      <c r="E362" t="s">
        <v>61</v>
      </c>
      <c r="F362">
        <v>132.19</v>
      </c>
      <c r="G362">
        <v>7</v>
      </c>
      <c r="H362">
        <f>IF(VLOOKUP(B362,Trades!A:N,4,FALSE)="Long",(F362-VLOOKUP(B362,Trades!A:N,6,FALSE))*G362,(VLOOKUP(B362,Trades!A:N,6,FALSE)-F362)*G362)</f>
        <v>-5.1099999999999284</v>
      </c>
      <c r="I362">
        <f>H362/VLOOKUP(B362,Trades!A$1:$N$100794,9,FALSE)</f>
        <v>-0.72999999999998977</v>
      </c>
    </row>
    <row r="363" spans="1:9" x14ac:dyDescent="0.25">
      <c r="A363">
        <f t="shared" si="34"/>
        <v>362</v>
      </c>
      <c r="B363" t="s">
        <v>553</v>
      </c>
      <c r="C363" s="1">
        <v>46189</v>
      </c>
      <c r="D363" t="str">
        <f>VLOOKUP(B363,Trades!A$1:N101155,3,FALSE)</f>
        <v>ARM</v>
      </c>
      <c r="E363" t="s">
        <v>61</v>
      </c>
      <c r="F363">
        <v>418.56</v>
      </c>
      <c r="G363">
        <v>2</v>
      </c>
      <c r="H363">
        <f>IF(VLOOKUP(B363,Trades!A:N,4,FALSE)="Long",(F363-VLOOKUP(B363,Trades!A:N,6,FALSE))*G363,(VLOOKUP(B363,Trades!A:N,6,FALSE)-F363)*G363)</f>
        <v>-7.6599999999999682</v>
      </c>
      <c r="I363">
        <f>H363/VLOOKUP(B363,Trades!A$1:$N$100794,9,FALSE)</f>
        <v>-3.8299999999999841</v>
      </c>
    </row>
    <row r="364" spans="1:9" x14ac:dyDescent="0.25">
      <c r="A364">
        <f t="shared" si="34"/>
        <v>363</v>
      </c>
      <c r="B364" t="s">
        <v>555</v>
      </c>
      <c r="C364" s="1">
        <v>46189</v>
      </c>
      <c r="D364" t="str">
        <f>VLOOKUP(B364,Trades!A$1:N101156,3,FALSE)</f>
        <v>WDC</v>
      </c>
      <c r="E364" t="s">
        <v>61</v>
      </c>
      <c r="F364">
        <v>699.08</v>
      </c>
      <c r="G364">
        <v>2</v>
      </c>
      <c r="H364">
        <f>IF(VLOOKUP(B364,Trades!A:N,4,FALSE)="Long",(F364-VLOOKUP(B364,Trades!A:N,6,FALSE))*G364,(VLOOKUP(B364,Trades!A:N,6,FALSE)-F364)*G364)</f>
        <v>-13.179999999999836</v>
      </c>
      <c r="I364">
        <f>H364/VLOOKUP(B364,Trades!A$1:$N$100794,9,FALSE)</f>
        <v>-6.5899999999999181</v>
      </c>
    </row>
    <row r="365" spans="1:9" x14ac:dyDescent="0.25">
      <c r="A365">
        <f t="shared" si="34"/>
        <v>364</v>
      </c>
      <c r="B365" t="s">
        <v>556</v>
      </c>
      <c r="C365" s="1">
        <v>46189</v>
      </c>
      <c r="D365" t="str">
        <f>VLOOKUP(B365,Trades!A$1:N101157,3,FALSE)</f>
        <v>NVDA</v>
      </c>
      <c r="E365" t="s">
        <v>61</v>
      </c>
      <c r="F365">
        <v>208.6</v>
      </c>
      <c r="G365">
        <v>4</v>
      </c>
      <c r="H365">
        <f>IF(VLOOKUP(B365,Trades!A:N,4,FALSE)="Long",(F365-VLOOKUP(B365,Trades!A:N,6,FALSE))*G365,(VLOOKUP(B365,Trades!A:N,6,FALSE)-F365)*G365)</f>
        <v>-4.0400000000000773</v>
      </c>
      <c r="I365">
        <f>H365/VLOOKUP(B365,Trades!A$1:$N$100794,9,FALSE)</f>
        <v>-1.0100000000000193</v>
      </c>
    </row>
    <row r="366" spans="1:9" x14ac:dyDescent="0.25">
      <c r="A366">
        <f t="shared" si="34"/>
        <v>365</v>
      </c>
      <c r="B366" t="s">
        <v>558</v>
      </c>
      <c r="C366" s="1">
        <v>46189</v>
      </c>
      <c r="D366" t="str">
        <f>VLOOKUP(B366,Trades!A$1:N101158,3,FALSE)</f>
        <v>MSFT</v>
      </c>
      <c r="E366" t="s">
        <v>61</v>
      </c>
      <c r="F366">
        <v>392.07</v>
      </c>
      <c r="G366">
        <v>2</v>
      </c>
      <c r="H366">
        <f>IF(VLOOKUP(B366,Trades!A:N,4,FALSE)="Long",(F366-VLOOKUP(B366,Trades!A:N,6,FALSE))*G366,(VLOOKUP(B366,Trades!A:N,6,FALSE)-F366)*G366)</f>
        <v>-11.960000000000036</v>
      </c>
      <c r="I366">
        <f>H366/VLOOKUP(B366,Trades!A$1:$N$100794,9,FALSE)</f>
        <v>-5.9800000000000182</v>
      </c>
    </row>
    <row r="367" spans="1:9" x14ac:dyDescent="0.25">
      <c r="A367">
        <f t="shared" si="34"/>
        <v>366</v>
      </c>
      <c r="B367" t="s">
        <v>559</v>
      </c>
      <c r="C367" s="1">
        <v>46189</v>
      </c>
      <c r="D367" t="str">
        <f>VLOOKUP(B367,Trades!A$1:N101159,3,FALSE)</f>
        <v>UBER</v>
      </c>
      <c r="E367" t="s">
        <v>61</v>
      </c>
      <c r="F367">
        <v>73.27</v>
      </c>
      <c r="G367">
        <v>7</v>
      </c>
      <c r="H367">
        <f>IF(VLOOKUP(B367,Trades!A:N,4,FALSE)="Long",(F367-VLOOKUP(B367,Trades!A:N,6,FALSE))*G367,(VLOOKUP(B367,Trades!A:N,6,FALSE)-F367)*G367)</f>
        <v>-2.5900000000000318</v>
      </c>
      <c r="I367">
        <f>H367/VLOOKUP(B367,Trades!A$1:$N$100794,9,FALSE)</f>
        <v>-0.37000000000000455</v>
      </c>
    </row>
    <row r="368" spans="1:9" x14ac:dyDescent="0.25">
      <c r="A368">
        <f t="shared" ref="A368:A378" si="35">ROW()-1</f>
        <v>367</v>
      </c>
      <c r="B368" t="s">
        <v>562</v>
      </c>
      <c r="C368" s="1">
        <v>46190</v>
      </c>
      <c r="D368" t="str">
        <f>VLOOKUP(B368,Trades!A$1:N101160,3,FALSE)</f>
        <v>AFRM</v>
      </c>
      <c r="E368" t="s">
        <v>61</v>
      </c>
      <c r="F368">
        <v>76.52</v>
      </c>
      <c r="G368">
        <v>15</v>
      </c>
      <c r="H368">
        <f>IF(VLOOKUP(B368,Trades!A:N,4,FALSE)="Long",(F368-VLOOKUP(B368,Trades!A:N,6,FALSE))*G368,(VLOOKUP(B368,Trades!A:N,6,FALSE)-F368)*G368)</f>
        <v>25.799999999999983</v>
      </c>
      <c r="I368">
        <f>H368/VLOOKUP(B368,Trades!A$1:$N$100794,9,FALSE)</f>
        <v>1.7199999999999989</v>
      </c>
    </row>
    <row r="369" spans="1:9" x14ac:dyDescent="0.25">
      <c r="A369">
        <f t="shared" si="35"/>
        <v>368</v>
      </c>
      <c r="B369" t="s">
        <v>563</v>
      </c>
      <c r="C369" s="1">
        <v>46190</v>
      </c>
      <c r="D369" t="str">
        <f>VLOOKUP(B369,Trades!A$1:N101161,3,FALSE)</f>
        <v>D</v>
      </c>
      <c r="E369" t="s">
        <v>61</v>
      </c>
      <c r="F369">
        <v>68.44</v>
      </c>
      <c r="G369">
        <v>15</v>
      </c>
      <c r="H369">
        <f>IF(VLOOKUP(B369,Trades!A:N,4,FALSE)="Long",(F369-VLOOKUP(B369,Trades!A:N,6,FALSE))*G369,(VLOOKUP(B369,Trades!A:N,6,FALSE)-F369)*G369)</f>
        <v>-3.4500000000000597</v>
      </c>
      <c r="I369">
        <f>H369/VLOOKUP(B369,Trades!A$1:$N$100794,9,FALSE)</f>
        <v>-0.23000000000000398</v>
      </c>
    </row>
    <row r="370" spans="1:9" x14ac:dyDescent="0.25">
      <c r="A370">
        <f t="shared" si="35"/>
        <v>369</v>
      </c>
      <c r="B370" t="s">
        <v>565</v>
      </c>
      <c r="C370" s="1">
        <v>46190</v>
      </c>
      <c r="D370" t="str">
        <f>VLOOKUP(B370,Trades!A$1:N101162,3,FALSE)</f>
        <v>PTRN</v>
      </c>
      <c r="E370" t="s">
        <v>61</v>
      </c>
      <c r="F370">
        <v>19.25</v>
      </c>
      <c r="G370">
        <v>30</v>
      </c>
      <c r="H370">
        <f>IF(VLOOKUP(B370,Trades!A:N,4,FALSE)="Long",(F370-VLOOKUP(B370,Trades!A:N,6,FALSE))*G370,(VLOOKUP(B370,Trades!A:N,6,FALSE)-F370)*G370)</f>
        <v>-6.3000000000000256</v>
      </c>
      <c r="I370">
        <f>H370/VLOOKUP(B370,Trades!A$1:$N$100794,9,FALSE)</f>
        <v>-0.21000000000000085</v>
      </c>
    </row>
    <row r="371" spans="1:9" x14ac:dyDescent="0.25">
      <c r="A371">
        <f t="shared" si="35"/>
        <v>370</v>
      </c>
      <c r="B371" t="s">
        <v>566</v>
      </c>
      <c r="C371" s="1">
        <v>46190</v>
      </c>
      <c r="D371" t="str">
        <f>VLOOKUP(B371,Trades!A$1:N101163,3,FALSE)</f>
        <v>INTC</v>
      </c>
      <c r="E371" t="s">
        <v>61</v>
      </c>
      <c r="F371">
        <v>121.35</v>
      </c>
      <c r="G371">
        <v>8</v>
      </c>
      <c r="H371">
        <f>IF(VLOOKUP(B371,Trades!A:N,4,FALSE)="Long",(F371-VLOOKUP(B371,Trades!A:N,6,FALSE))*G371,(VLOOKUP(B371,Trades!A:N,6,FALSE)-F371)*G371)</f>
        <v>13.839999999999918</v>
      </c>
      <c r="I371">
        <f>H371/VLOOKUP(B371,Trades!A$1:$N$100794,9,FALSE)</f>
        <v>1.7299999999999898</v>
      </c>
    </row>
    <row r="372" spans="1:9" x14ac:dyDescent="0.25">
      <c r="A372">
        <f t="shared" si="35"/>
        <v>371</v>
      </c>
      <c r="B372" t="s">
        <v>568</v>
      </c>
      <c r="C372" s="1">
        <v>46190</v>
      </c>
      <c r="D372" t="str">
        <f>VLOOKUP(B372,Trades!A$1:N101164,3,FALSE)</f>
        <v>WFC</v>
      </c>
      <c r="E372" t="s">
        <v>61</v>
      </c>
      <c r="F372">
        <v>85.82</v>
      </c>
      <c r="G372">
        <v>10</v>
      </c>
      <c r="H372">
        <f>IF(VLOOKUP(B372,Trades!A:N,4,FALSE)="Long",(F372-VLOOKUP(B372,Trades!A:N,6,FALSE))*G372,(VLOOKUP(B372,Trades!A:N,6,FALSE)-F372)*G372)</f>
        <v>-5</v>
      </c>
      <c r="I372">
        <f>H372/VLOOKUP(B372,Trades!A$1:$N$100794,9,FALSE)</f>
        <v>-0.5</v>
      </c>
    </row>
    <row r="373" spans="1:9" x14ac:dyDescent="0.25">
      <c r="A373">
        <f t="shared" si="35"/>
        <v>372</v>
      </c>
      <c r="B373" t="s">
        <v>569</v>
      </c>
      <c r="C373" s="1">
        <v>46190</v>
      </c>
      <c r="D373" t="str">
        <f>VLOOKUP(B373,Trades!A$1:N101165,3,FALSE)</f>
        <v>ABNB</v>
      </c>
      <c r="E373" t="s">
        <v>61</v>
      </c>
      <c r="F373">
        <v>142.63</v>
      </c>
      <c r="G373">
        <v>5</v>
      </c>
      <c r="H373">
        <f>IF(VLOOKUP(B373,Trades!A:N,4,FALSE)="Long",(F373-VLOOKUP(B373,Trades!A:N,6,FALSE))*G373,(VLOOKUP(B373,Trades!A:N,6,FALSE)-F373)*G373)</f>
        <v>5.8499999999999375</v>
      </c>
      <c r="I373">
        <f>H373/VLOOKUP(B373,Trades!A$1:$N$100794,9,FALSE)</f>
        <v>1.1699999999999875</v>
      </c>
    </row>
    <row r="374" spans="1:9" x14ac:dyDescent="0.25">
      <c r="A374">
        <f t="shared" si="35"/>
        <v>373</v>
      </c>
      <c r="B374" t="s">
        <v>571</v>
      </c>
      <c r="C374" s="1">
        <v>46190</v>
      </c>
      <c r="D374" t="str">
        <f>VLOOKUP(B374,Trades!A$1:N101166,3,FALSE)</f>
        <v>DOW</v>
      </c>
      <c r="E374" t="s">
        <v>61</v>
      </c>
      <c r="F374">
        <v>33.234999999999999</v>
      </c>
      <c r="G374">
        <v>20</v>
      </c>
      <c r="H374">
        <f>IF(VLOOKUP(B374,Trades!A:N,4,FALSE)="Long",(F374-VLOOKUP(B374,Trades!A:N,6,FALSE))*G374,(VLOOKUP(B374,Trades!A:N,6,FALSE)-F374)*G374)</f>
        <v>-4.0999999999999659</v>
      </c>
      <c r="I374">
        <f>H374/VLOOKUP(B374,Trades!A$1:$N$100794,9,FALSE)</f>
        <v>-0.20499999999999829</v>
      </c>
    </row>
    <row r="375" spans="1:9" x14ac:dyDescent="0.25">
      <c r="A375">
        <f t="shared" si="35"/>
        <v>374</v>
      </c>
      <c r="B375" t="s">
        <v>572</v>
      </c>
      <c r="C375" s="1">
        <v>46190</v>
      </c>
      <c r="D375" t="str">
        <f>VLOOKUP(B375,Trades!A$1:N101167,3,FALSE)</f>
        <v>AFRM</v>
      </c>
      <c r="E375" t="s">
        <v>61</v>
      </c>
      <c r="F375">
        <v>75.319999999999993</v>
      </c>
      <c r="G375">
        <v>15</v>
      </c>
      <c r="H375">
        <f>IF(VLOOKUP(B375,Trades!A:N,4,FALSE)="Long",(F375-VLOOKUP(B375,Trades!A:N,6,FALSE))*G375,(VLOOKUP(B375,Trades!A:N,6,FALSE)-F375)*G375)</f>
        <v>-3.1500000000001194</v>
      </c>
      <c r="I375">
        <f>H375/VLOOKUP(B375,Trades!A$1:$N$100794,9,FALSE)</f>
        <v>-0.21000000000000796</v>
      </c>
    </row>
    <row r="376" spans="1:9" x14ac:dyDescent="0.25">
      <c r="A376">
        <f t="shared" si="35"/>
        <v>375</v>
      </c>
      <c r="B376" t="s">
        <v>573</v>
      </c>
      <c r="C376" s="1">
        <v>46190</v>
      </c>
      <c r="D376" t="str">
        <f>VLOOKUP(B376,Trades!A$1:N101168,3,FALSE)</f>
        <v>DKNG</v>
      </c>
      <c r="E376" t="s">
        <v>61</v>
      </c>
      <c r="F376">
        <v>27.36</v>
      </c>
      <c r="G376">
        <v>3</v>
      </c>
      <c r="H376">
        <f>IF(VLOOKUP(B376,Trades!A:N,4,FALSE)="Long",(F376-VLOOKUP(B376,Trades!A:N,6,FALSE))*G376,(VLOOKUP(B376,Trades!A:N,6,FALSE)-F376)*G376)</f>
        <v>-5.1300000000000026</v>
      </c>
      <c r="I376">
        <f>H376/VLOOKUP(B376,Trades!A$1:$N$100794,9,FALSE)</f>
        <v>-1.7100000000000009</v>
      </c>
    </row>
    <row r="377" spans="1:9" x14ac:dyDescent="0.25">
      <c r="A377">
        <f t="shared" si="35"/>
        <v>376</v>
      </c>
      <c r="B377" t="s">
        <v>574</v>
      </c>
      <c r="C377" s="1">
        <v>46190</v>
      </c>
      <c r="D377" t="str">
        <f>VLOOKUP(B377,Trades!A$1:N101169,3,FALSE)</f>
        <v>HPE</v>
      </c>
      <c r="E377" t="s">
        <v>61</v>
      </c>
      <c r="F377">
        <v>49.51</v>
      </c>
      <c r="G377">
        <v>12</v>
      </c>
      <c r="H377">
        <f>IF(VLOOKUP(B377,Trades!A:N,4,FALSE)="Long",(F377-VLOOKUP(B377,Trades!A:N,6,FALSE))*G377,(VLOOKUP(B377,Trades!A:N,6,FALSE)-F377)*G377)</f>
        <v>-2.6399999999999864</v>
      </c>
      <c r="I377">
        <f>H377/VLOOKUP(B377,Trades!A$1:$N$100794,9,FALSE)</f>
        <v>-0.21999999999999886</v>
      </c>
    </row>
    <row r="378" spans="1:9" x14ac:dyDescent="0.25">
      <c r="A378">
        <f t="shared" si="35"/>
        <v>377</v>
      </c>
      <c r="B378" t="s">
        <v>575</v>
      </c>
      <c r="C378" s="1">
        <v>46190</v>
      </c>
      <c r="D378" t="str">
        <f>VLOOKUP(B378,Trades!A$1:N101170,3,FALSE)</f>
        <v>SMCI</v>
      </c>
      <c r="E378" t="s">
        <v>61</v>
      </c>
      <c r="F378">
        <v>28.57</v>
      </c>
      <c r="G378">
        <v>3</v>
      </c>
      <c r="H378">
        <f>IF(VLOOKUP(B378,Trades!A:N,4,FALSE)="Long",(F378-VLOOKUP(B378,Trades!A:N,6,FALSE))*G378,(VLOOKUP(B378,Trades!A:N,6,FALSE)-F378)*G378)</f>
        <v>-4.1999999999999957</v>
      </c>
      <c r="I378">
        <f>H378/VLOOKUP(B378,Trades!A$1:$N$100794,9,FALSE)</f>
        <v>-1.3999999999999986</v>
      </c>
    </row>
    <row r="379" spans="1:9" x14ac:dyDescent="0.25">
      <c r="A379">
        <f t="shared" ref="A379:A388" si="36">ROW()-1</f>
        <v>378</v>
      </c>
      <c r="B379" t="s">
        <v>577</v>
      </c>
      <c r="C379" s="1">
        <v>46191</v>
      </c>
      <c r="D379" t="str">
        <f>VLOOKUP(B379,Trades!A$1:N101171,3,FALSE)</f>
        <v>INTC</v>
      </c>
      <c r="E379" t="s">
        <v>61</v>
      </c>
      <c r="F379">
        <v>132.13999999999999</v>
      </c>
      <c r="G379">
        <v>8</v>
      </c>
      <c r="H379">
        <f>IF(VLOOKUP(B379,Trades!A:N,4,FALSE)="Long",(F379-VLOOKUP(B379,Trades!A:N,6,FALSE))*G379,(VLOOKUP(B379,Trades!A:N,6,FALSE)-F379)*G379)</f>
        <v>-8.8000000000001819</v>
      </c>
      <c r="I379">
        <f>H379/VLOOKUP(B379,Trades!A$1:$N$100794,9,FALSE)</f>
        <v>-1.1000000000000227</v>
      </c>
    </row>
    <row r="380" spans="1:9" x14ac:dyDescent="0.25">
      <c r="A380">
        <f t="shared" si="36"/>
        <v>379</v>
      </c>
      <c r="B380" t="s">
        <v>578</v>
      </c>
      <c r="C380" s="1">
        <v>46191</v>
      </c>
      <c r="D380" t="str">
        <f>VLOOKUP(B380,Trades!A$1:N101172,3,FALSE)</f>
        <v>PLTR</v>
      </c>
      <c r="E380" t="s">
        <v>61</v>
      </c>
      <c r="F380">
        <v>127.04</v>
      </c>
      <c r="G380">
        <v>5</v>
      </c>
      <c r="H380">
        <f>IF(VLOOKUP(B380,Trades!A:N,4,FALSE)="Long",(F380-VLOOKUP(B380,Trades!A:N,6,FALSE))*G380,(VLOOKUP(B380,Trades!A:N,6,FALSE)-F380)*G380)</f>
        <v>-5.5499999999999972</v>
      </c>
      <c r="I380">
        <f>H380/VLOOKUP(B380,Trades!A$1:$N$100794,9,FALSE)</f>
        <v>-1.1099999999999994</v>
      </c>
    </row>
    <row r="381" spans="1:9" x14ac:dyDescent="0.25">
      <c r="A381">
        <f t="shared" si="36"/>
        <v>380</v>
      </c>
      <c r="B381" t="s">
        <v>579</v>
      </c>
      <c r="C381" s="1">
        <v>46191</v>
      </c>
      <c r="D381" t="str">
        <f>VLOOKUP(B381,Trades!A$1:N101173,3,FALSE)</f>
        <v>SOFI</v>
      </c>
      <c r="E381" t="s">
        <v>61</v>
      </c>
      <c r="F381">
        <v>17.510000000000002</v>
      </c>
      <c r="G381">
        <v>50</v>
      </c>
      <c r="H381">
        <f>IF(VLOOKUP(B381,Trades!A:N,4,FALSE)="Long",(F381-VLOOKUP(B381,Trades!A:N,6,FALSE))*G381,(VLOOKUP(B381,Trades!A:N,6,FALSE)-F381)*G381)</f>
        <v>-6.9999999999998508</v>
      </c>
      <c r="I381">
        <f>H381/VLOOKUP(B381,Trades!A$1:$N$100794,9,FALSE)</f>
        <v>-0.13999999999999702</v>
      </c>
    </row>
    <row r="382" spans="1:9" x14ac:dyDescent="0.25">
      <c r="A382">
        <f t="shared" si="36"/>
        <v>381</v>
      </c>
      <c r="B382" t="s">
        <v>580</v>
      </c>
      <c r="C382" s="1">
        <v>46191</v>
      </c>
      <c r="D382" t="str">
        <f>VLOOKUP(B382,Trades!A$1:N101174,3,FALSE)</f>
        <v>INTC</v>
      </c>
      <c r="E382" t="s">
        <v>61</v>
      </c>
      <c r="F382">
        <v>129.41999999999999</v>
      </c>
      <c r="G382">
        <v>8</v>
      </c>
      <c r="H382">
        <f>IF(VLOOKUP(B382,Trades!A:N,4,FALSE)="Long",(F382-VLOOKUP(B382,Trades!A:N,6,FALSE))*G382,(VLOOKUP(B382,Trades!A:N,6,FALSE)-F382)*G382)</f>
        <v>-12.560000000000173</v>
      </c>
      <c r="I382">
        <f>H382/VLOOKUP(B382,Trades!A$1:$N$100794,9,FALSE)</f>
        <v>-1.5700000000000216</v>
      </c>
    </row>
    <row r="383" spans="1:9" x14ac:dyDescent="0.25">
      <c r="A383">
        <f t="shared" si="36"/>
        <v>382</v>
      </c>
      <c r="B383" s="1" t="s">
        <v>581</v>
      </c>
      <c r="C383" s="1">
        <v>46191</v>
      </c>
      <c r="D383" t="str">
        <f>VLOOKUP(B383,Trades!A$1:N101175,3,FALSE)</f>
        <v>INTC</v>
      </c>
      <c r="E383" t="s">
        <v>61</v>
      </c>
      <c r="F383">
        <v>128.85</v>
      </c>
      <c r="G383">
        <v>8</v>
      </c>
      <c r="H383">
        <f>IF(VLOOKUP(B383,Trades!A:N,4,FALSE)="Long",(F383-VLOOKUP(B383,Trades!A:N,6,FALSE))*G383,(VLOOKUP(B383,Trades!A:N,6,FALSE)-F383)*G383)</f>
        <v>-8</v>
      </c>
      <c r="I383">
        <f>H383/VLOOKUP(B383,Trades!A$1:$N$100794,9,FALSE)</f>
        <v>-1</v>
      </c>
    </row>
    <row r="384" spans="1:9" x14ac:dyDescent="0.25">
      <c r="A384">
        <f t="shared" si="36"/>
        <v>383</v>
      </c>
      <c r="B384" s="1" t="s">
        <v>583</v>
      </c>
      <c r="C384" s="1">
        <v>46191</v>
      </c>
      <c r="D384" t="str">
        <f>VLOOKUP(B384,Trades!A$1:N101176,3,FALSE)</f>
        <v>MRNA</v>
      </c>
      <c r="E384" t="s">
        <v>61</v>
      </c>
      <c r="F384">
        <v>61.4</v>
      </c>
      <c r="G384">
        <v>15</v>
      </c>
      <c r="H384">
        <f>IF(VLOOKUP(B384,Trades!A:N,4,FALSE)="Long",(F384-VLOOKUP(B384,Trades!A:N,6,FALSE))*G384,(VLOOKUP(B384,Trades!A:N,6,FALSE)-F384)*G384)</f>
        <v>-8.6999999999999744</v>
      </c>
      <c r="I384">
        <f>H384/VLOOKUP(B384,Trades!A$1:$N$100794,9,FALSE)</f>
        <v>-0.57999999999999829</v>
      </c>
    </row>
    <row r="385" spans="1:9" x14ac:dyDescent="0.25">
      <c r="A385">
        <f t="shared" si="36"/>
        <v>384</v>
      </c>
      <c r="B385" s="1" t="s">
        <v>584</v>
      </c>
      <c r="C385" s="1">
        <v>46191</v>
      </c>
      <c r="D385" t="str">
        <f>VLOOKUP(B385,Trades!A$1:N101177,3,FALSE)</f>
        <v>DIS</v>
      </c>
      <c r="E385" t="s">
        <v>61</v>
      </c>
      <c r="F385">
        <v>103.55</v>
      </c>
      <c r="G385">
        <v>5</v>
      </c>
      <c r="H385">
        <f>IF(VLOOKUP(B385,Trades!A:N,4,FALSE)="Long",(F385-VLOOKUP(B385,Trades!A:N,6,FALSE))*G385,(VLOOKUP(B385,Trades!A:N,6,FALSE)-F385)*G385)</f>
        <v>9.0999999999999659</v>
      </c>
      <c r="I385">
        <f>H385/VLOOKUP(B385,Trades!A$1:$N$100794,9,FALSE)</f>
        <v>1.8199999999999932</v>
      </c>
    </row>
    <row r="386" spans="1:9" x14ac:dyDescent="0.25">
      <c r="A386">
        <f t="shared" si="36"/>
        <v>385</v>
      </c>
      <c r="B386" s="1" t="s">
        <v>585</v>
      </c>
      <c r="C386" s="1">
        <v>46191</v>
      </c>
      <c r="D386" t="str">
        <f>VLOOKUP(B386,Trades!A$1:N101178,3,FALSE)</f>
        <v>PLTR</v>
      </c>
      <c r="E386" t="s">
        <v>61</v>
      </c>
      <c r="F386">
        <v>126.23</v>
      </c>
      <c r="G386">
        <v>5</v>
      </c>
      <c r="H386">
        <f>IF(VLOOKUP(B386,Trades!A:N,4,FALSE)="Long",(F386-VLOOKUP(B386,Trades!A:N,6,FALSE))*G386,(VLOOKUP(B386,Trades!A:N,6,FALSE)-F386)*G386)</f>
        <v>-6.1999999999999744</v>
      </c>
      <c r="I386">
        <f>H386/VLOOKUP(B386,Trades!A$1:$N$100794,9,FALSE)</f>
        <v>-1.2399999999999949</v>
      </c>
    </row>
    <row r="387" spans="1:9" x14ac:dyDescent="0.25">
      <c r="A387">
        <f t="shared" si="36"/>
        <v>386</v>
      </c>
      <c r="B387" s="1" t="s">
        <v>586</v>
      </c>
      <c r="C387" s="1">
        <v>46191</v>
      </c>
      <c r="D387" t="str">
        <f>VLOOKUP(B387,Trades!A$1:N101179,3,FALSE)</f>
        <v>WMT</v>
      </c>
      <c r="E387" t="s">
        <v>61</v>
      </c>
      <c r="F387">
        <v>116.83</v>
      </c>
      <c r="G387">
        <v>2</v>
      </c>
      <c r="H387">
        <f>IF(VLOOKUP(B387,Trades!A:N,4,FALSE)="Long",(F387-VLOOKUP(B387,Trades!A:N,6,FALSE))*G387,(VLOOKUP(B387,Trades!A:N,6,FALSE)-F387)*G387)</f>
        <v>-5.9799999999999898</v>
      </c>
      <c r="I387">
        <f>H387/VLOOKUP(B387,Trades!A$1:$N$100794,9,FALSE)</f>
        <v>-2.9899999999999949</v>
      </c>
    </row>
    <row r="388" spans="1:9" x14ac:dyDescent="0.25">
      <c r="A388">
        <f t="shared" si="36"/>
        <v>387</v>
      </c>
      <c r="B388" s="1" t="s">
        <v>587</v>
      </c>
      <c r="C388" s="1">
        <v>46191</v>
      </c>
      <c r="D388" t="str">
        <f>VLOOKUP(B388,Trades!A$1:N101180,3,FALSE)</f>
        <v>MRNA</v>
      </c>
      <c r="E388" t="s">
        <v>61</v>
      </c>
      <c r="F388">
        <v>64.17</v>
      </c>
      <c r="G388">
        <v>15</v>
      </c>
      <c r="H388">
        <f>IF(VLOOKUP(B388,Trades!A:N,4,FALSE)="Long",(F388-VLOOKUP(B388,Trades!A:N,6,FALSE))*G388,(VLOOKUP(B388,Trades!A:N,6,FALSE)-F388)*G388)</f>
        <v>27.000000000000064</v>
      </c>
      <c r="I388">
        <f>H388/VLOOKUP(B388,Trades!A$1:$N$100794,9,FALSE)</f>
        <v>1.8000000000000043</v>
      </c>
    </row>
    <row r="389" spans="1:9" x14ac:dyDescent="0.25">
      <c r="A389">
        <f t="shared" ref="A389:A398" si="37">ROW()-1</f>
        <v>388</v>
      </c>
      <c r="B389" s="1" t="s">
        <v>590</v>
      </c>
      <c r="C389" s="1">
        <v>46195</v>
      </c>
      <c r="D389" t="str">
        <f>VLOOKUP(B389,Trades!A$1:N101181,3,FALSE)</f>
        <v>ARM</v>
      </c>
      <c r="E389" t="s">
        <v>61</v>
      </c>
      <c r="F389">
        <v>419.46</v>
      </c>
      <c r="G389">
        <v>2</v>
      </c>
      <c r="H389">
        <f>IF(VLOOKUP(B389,Trades!A:N,4,FALSE)="Long",(F389-VLOOKUP(B389,Trades!A:N,6,FALSE))*G389,(VLOOKUP(B389,Trades!A:N,6,FALSE)-F389)*G389)</f>
        <v>-12.440000000000055</v>
      </c>
      <c r="I389">
        <f>H389/VLOOKUP(B389,Trades!A$1:$N$100794,9,FALSE)</f>
        <v>-6.2200000000000273</v>
      </c>
    </row>
    <row r="390" spans="1:9" x14ac:dyDescent="0.25">
      <c r="A390">
        <f t="shared" si="37"/>
        <v>389</v>
      </c>
      <c r="B390" s="1" t="s">
        <v>591</v>
      </c>
      <c r="C390" s="1">
        <v>46195</v>
      </c>
      <c r="D390" t="str">
        <f>VLOOKUP(B390,Trades!A$1:N101182,3,FALSE)</f>
        <v>HIMS</v>
      </c>
      <c r="E390" t="s">
        <v>61</v>
      </c>
      <c r="F390">
        <v>35.78</v>
      </c>
      <c r="G390">
        <v>15</v>
      </c>
      <c r="H390">
        <f>IF(VLOOKUP(B390,Trades!A:N,4,FALSE)="Long",(F390-VLOOKUP(B390,Trades!A:N,6,FALSE))*G390,(VLOOKUP(B390,Trades!A:N,6,FALSE)-F390)*G390)</f>
        <v>16.649999999999991</v>
      </c>
      <c r="I390">
        <f>H390/VLOOKUP(B390,Trades!A$1:$N$100794,9,FALSE)</f>
        <v>0.55499999999999972</v>
      </c>
    </row>
    <row r="391" spans="1:9" x14ac:dyDescent="0.25">
      <c r="A391">
        <f t="shared" si="37"/>
        <v>390</v>
      </c>
      <c r="B391" s="1" t="s">
        <v>592</v>
      </c>
      <c r="C391" s="1">
        <v>46195</v>
      </c>
      <c r="D391" t="str">
        <f>VLOOKUP(B391,Trades!A$1:N101183,3,FALSE)</f>
        <v>SOFI</v>
      </c>
      <c r="E391" t="s">
        <v>61</v>
      </c>
      <c r="F391">
        <v>17.57</v>
      </c>
      <c r="G391">
        <v>50</v>
      </c>
      <c r="H391">
        <f>IF(VLOOKUP(B391,Trades!A:N,4,FALSE)="Long",(F391-VLOOKUP(B391,Trades!A:N,6,FALSE))*G391,(VLOOKUP(B391,Trades!A:N,6,FALSE)-F391)*G391)</f>
        <v>-6.0000000000000497</v>
      </c>
      <c r="I391">
        <f>H391/VLOOKUP(B391,Trades!A$1:$N$100794,9,FALSE)</f>
        <v>-0.12000000000000099</v>
      </c>
    </row>
    <row r="392" spans="1:9" x14ac:dyDescent="0.25">
      <c r="A392">
        <f t="shared" si="37"/>
        <v>391</v>
      </c>
      <c r="B392" s="1" t="s">
        <v>593</v>
      </c>
      <c r="C392" s="1">
        <v>46195</v>
      </c>
      <c r="D392" t="str">
        <f>VLOOKUP(B392,Trades!A$1:N101184,3,FALSE)</f>
        <v>HOOD</v>
      </c>
      <c r="E392" t="s">
        <v>61</v>
      </c>
      <c r="F392">
        <v>108.68</v>
      </c>
      <c r="G392">
        <v>8</v>
      </c>
      <c r="H392">
        <f>IF(VLOOKUP(B392,Trades!A:N,4,FALSE)="Long",(F392-VLOOKUP(B392,Trades!A:N,6,FALSE))*G392,(VLOOKUP(B392,Trades!A:N,6,FALSE)-F392)*G392)</f>
        <v>-8.1599999999999682</v>
      </c>
      <c r="I392">
        <f>H392/VLOOKUP(B392,Trades!A$1:$N$100794,9,FALSE)</f>
        <v>-1.019999999999996</v>
      </c>
    </row>
    <row r="393" spans="1:9" x14ac:dyDescent="0.25">
      <c r="A393">
        <f t="shared" si="37"/>
        <v>392</v>
      </c>
      <c r="B393" s="1" t="s">
        <v>594</v>
      </c>
      <c r="C393" s="1">
        <v>46195</v>
      </c>
      <c r="D393" t="str">
        <f>VLOOKUP(B393,Trades!A$1:N101185,3,FALSE)</f>
        <v>ABNB</v>
      </c>
      <c r="E393" t="s">
        <v>61</v>
      </c>
      <c r="F393">
        <v>139.94</v>
      </c>
      <c r="G393">
        <v>8</v>
      </c>
      <c r="H393">
        <f>IF(VLOOKUP(B393,Trades!A:N,4,FALSE)="Long",(F393-VLOOKUP(B393,Trades!A:N,6,FALSE))*G393,(VLOOKUP(B393,Trades!A:N,6,FALSE)-F393)*G393)</f>
        <v>-8.0799999999999272</v>
      </c>
      <c r="I393">
        <f>H393/VLOOKUP(B393,Trades!A$1:$N$100794,9,FALSE)</f>
        <v>-1.0099999999999909</v>
      </c>
    </row>
    <row r="394" spans="1:9" x14ac:dyDescent="0.25">
      <c r="A394">
        <f t="shared" si="37"/>
        <v>393</v>
      </c>
      <c r="B394" s="1" t="s">
        <v>595</v>
      </c>
      <c r="C394" s="1">
        <v>46195</v>
      </c>
      <c r="D394" t="str">
        <f>VLOOKUP(B394,Trades!A$1:N101186,3,FALSE)</f>
        <v>INTC</v>
      </c>
      <c r="E394" t="s">
        <v>61</v>
      </c>
      <c r="F394">
        <v>137.78</v>
      </c>
      <c r="G394">
        <v>10</v>
      </c>
      <c r="H394">
        <f>IF(VLOOKUP(B394,Trades!A:N,4,FALSE)="Long",(F394-VLOOKUP(B394,Trades!A:N,6,FALSE))*G394,(VLOOKUP(B394,Trades!A:N,6,FALSE)-F394)*G394)</f>
        <v>-20.099999999999909</v>
      </c>
      <c r="I394">
        <f>H394/VLOOKUP(B394,Trades!A$1:$N$100794,9,FALSE)</f>
        <v>-2.0099999999999909</v>
      </c>
    </row>
    <row r="395" spans="1:9" x14ac:dyDescent="0.25">
      <c r="A395">
        <f t="shared" si="37"/>
        <v>394</v>
      </c>
      <c r="B395" s="1" t="s">
        <v>596</v>
      </c>
      <c r="C395" s="1">
        <v>46195</v>
      </c>
      <c r="D395" t="str">
        <f>VLOOKUP(B395,Trades!A$1:N101187,3,FALSE)</f>
        <v>ARM</v>
      </c>
      <c r="E395" t="s">
        <v>61</v>
      </c>
      <c r="F395">
        <v>414.65</v>
      </c>
      <c r="G395">
        <v>4</v>
      </c>
      <c r="H395">
        <f>IF(VLOOKUP(B395,Trades!A:N,4,FALSE)="Long",(F395-VLOOKUP(B395,Trades!A:N,6,FALSE))*G395,(VLOOKUP(B395,Trades!A:N,6,FALSE)-F395)*G395)</f>
        <v>-14.600000000000136</v>
      </c>
      <c r="I395">
        <f>H395/VLOOKUP(B395,Trades!A$1:$N$100794,9,FALSE)</f>
        <v>-3.6500000000000341</v>
      </c>
    </row>
    <row r="396" spans="1:9" x14ac:dyDescent="0.25">
      <c r="A396">
        <f t="shared" si="37"/>
        <v>395</v>
      </c>
      <c r="B396" s="1" t="s">
        <v>591</v>
      </c>
      <c r="C396" s="1">
        <v>46195</v>
      </c>
      <c r="D396" t="str">
        <f>VLOOKUP(B396,Trades!A$1:N101188,3,FALSE)</f>
        <v>HIMS</v>
      </c>
      <c r="E396" t="s">
        <v>61</v>
      </c>
      <c r="F396">
        <v>34.29</v>
      </c>
      <c r="G396">
        <v>15</v>
      </c>
      <c r="H396">
        <f>IF(VLOOKUP(B396,Trades!A:N,4,FALSE)="Long",(F396-VLOOKUP(B396,Trades!A:N,6,FALSE))*G396,(VLOOKUP(B396,Trades!A:N,6,FALSE)-F396)*G396)</f>
        <v>-5.7000000000000384</v>
      </c>
      <c r="I396">
        <f>H396/VLOOKUP(B396,Trades!A$1:$N$100794,9,FALSE)</f>
        <v>-0.19000000000000128</v>
      </c>
    </row>
    <row r="397" spans="1:9" x14ac:dyDescent="0.25">
      <c r="A397">
        <f t="shared" si="37"/>
        <v>396</v>
      </c>
      <c r="B397" s="1" t="s">
        <v>597</v>
      </c>
      <c r="C397" s="1">
        <v>46195</v>
      </c>
      <c r="D397" t="str">
        <f>VLOOKUP(B397,Trades!A$1:N101189,3,FALSE)</f>
        <v>ATEC</v>
      </c>
      <c r="E397" t="s">
        <v>61</v>
      </c>
      <c r="F397">
        <v>8.89</v>
      </c>
      <c r="G397">
        <v>20</v>
      </c>
      <c r="H397">
        <f>IF(VLOOKUP(B397,Trades!A:N,4,FALSE)="Long",(F397-VLOOKUP(B397,Trades!A:N,6,FALSE))*G397,(VLOOKUP(B397,Trades!A:N,6,FALSE)-F397)*G397)</f>
        <v>-2.1999999999999886</v>
      </c>
      <c r="I397">
        <f>H397/VLOOKUP(B397,Trades!A$1:$N$100794,9,FALSE)</f>
        <v>-0.10999999999999943</v>
      </c>
    </row>
    <row r="398" spans="1:9" x14ac:dyDescent="0.25">
      <c r="A398">
        <f t="shared" si="37"/>
        <v>397</v>
      </c>
      <c r="B398" s="1" t="s">
        <v>598</v>
      </c>
      <c r="C398" s="1">
        <v>46195</v>
      </c>
      <c r="D398" t="str">
        <f>VLOOKUP(B398,Trades!A$1:N101190,3,FALSE)</f>
        <v>NCPL</v>
      </c>
      <c r="E398" t="s">
        <v>61</v>
      </c>
      <c r="F398">
        <v>0.60009999999999997</v>
      </c>
      <c r="G398">
        <v>10</v>
      </c>
      <c r="H398">
        <f>IF(VLOOKUP(B398,Trades!A:N,4,FALSE)="Long",(F398-VLOOKUP(B398,Trades!A:N,6,FALSE))*G398,(VLOOKUP(B398,Trades!A:N,6,FALSE)-F398)*G398)</f>
        <v>-2.0990000000000011</v>
      </c>
      <c r="I398">
        <f>H398/VLOOKUP(B398,Trades!A$1:$N$100794,9,FALSE)</f>
        <v>-0.20990000000000011</v>
      </c>
    </row>
    <row r="399" spans="1:9" x14ac:dyDescent="0.25">
      <c r="A399">
        <f t="shared" ref="A399:A405" si="38">ROW()-1</f>
        <v>398</v>
      </c>
      <c r="B399" s="1" t="s">
        <v>599</v>
      </c>
      <c r="C399" s="1">
        <v>46196</v>
      </c>
      <c r="D399" t="str">
        <f>VLOOKUP(B399,Trades!A$1:N101191,3,FALSE)</f>
        <v>QBTS</v>
      </c>
      <c r="E399" t="s">
        <v>61</v>
      </c>
      <c r="F399">
        <v>25.76</v>
      </c>
      <c r="G399">
        <v>50</v>
      </c>
      <c r="H399">
        <f>IF(VLOOKUP(B399,Trades!A:N,4,FALSE)="Long",(F399-VLOOKUP(B399,Trades!A:N,6,FALSE))*G399,(VLOOKUP(B399,Trades!A:N,6,FALSE)-F399)*G399)</f>
        <v>-9.4999999999998863</v>
      </c>
      <c r="I399">
        <f>H399/VLOOKUP(B399,Trades!A$1:$N$100794,9,FALSE)</f>
        <v>-0.18999999999999773</v>
      </c>
    </row>
    <row r="400" spans="1:9" x14ac:dyDescent="0.25">
      <c r="A400">
        <f t="shared" si="38"/>
        <v>399</v>
      </c>
      <c r="B400" s="1" t="s">
        <v>600</v>
      </c>
      <c r="C400" s="1">
        <v>46196</v>
      </c>
      <c r="D400" t="str">
        <f>VLOOKUP(B400,Trades!A$1:N101192,3,FALSE)</f>
        <v>QUBT</v>
      </c>
      <c r="E400" t="s">
        <v>61</v>
      </c>
      <c r="F400">
        <v>10.92</v>
      </c>
      <c r="G400">
        <v>50</v>
      </c>
      <c r="H400">
        <f>IF(VLOOKUP(B400,Trades!A:N,4,FALSE)="Long",(F400-VLOOKUP(B400,Trades!A:N,6,FALSE))*G400,(VLOOKUP(B400,Trades!A:N,6,FALSE)-F400)*G400)</f>
        <v>-12.999999999999989</v>
      </c>
      <c r="I400">
        <f>H400/VLOOKUP(B400,Trades!A$1:$N$100794,9,FALSE)</f>
        <v>-0.25999999999999979</v>
      </c>
    </row>
    <row r="401" spans="1:9" x14ac:dyDescent="0.25">
      <c r="A401">
        <f t="shared" si="38"/>
        <v>400</v>
      </c>
      <c r="B401" s="1" t="s">
        <v>602</v>
      </c>
      <c r="C401" s="1">
        <v>46196</v>
      </c>
      <c r="D401" t="str">
        <f>VLOOKUP(B401,Trades!A$1:N101193,3,FALSE)</f>
        <v>INFQ</v>
      </c>
      <c r="E401" t="s">
        <v>61</v>
      </c>
      <c r="F401">
        <v>15.3</v>
      </c>
      <c r="G401">
        <v>50</v>
      </c>
      <c r="H401">
        <f>IF(VLOOKUP(B401,Trades!A:N,4,FALSE)="Long",(F401-VLOOKUP(B401,Trades!A:N,6,FALSE))*G401,(VLOOKUP(B401,Trades!A:N,6,FALSE)-F401)*G401)</f>
        <v>-14.999999999999947</v>
      </c>
      <c r="I401">
        <f>H401/VLOOKUP(B401,Trades!A$1:$N$100794,9,FALSE)</f>
        <v>-0.29999999999999893</v>
      </c>
    </row>
    <row r="402" spans="1:9" x14ac:dyDescent="0.25">
      <c r="A402">
        <f t="shared" si="38"/>
        <v>401</v>
      </c>
      <c r="B402" s="1" t="s">
        <v>604</v>
      </c>
      <c r="C402" s="1">
        <v>46196</v>
      </c>
      <c r="D402" t="str">
        <f>VLOOKUP(B402,Trades!A$1:N101194,3,FALSE)</f>
        <v>QUBTS</v>
      </c>
      <c r="E402" t="s">
        <v>61</v>
      </c>
      <c r="F402">
        <v>25.93</v>
      </c>
      <c r="G402">
        <v>100</v>
      </c>
      <c r="H402">
        <f>IF(VLOOKUP(B402,Trades!A:N,4,FALSE)="Long",(F402-VLOOKUP(B402,Trades!A:N,6,FALSE))*G402,(VLOOKUP(B402,Trades!A:N,6,FALSE)-F402)*G402)</f>
        <v>0.99999999999980105</v>
      </c>
      <c r="I402">
        <f>H402/VLOOKUP(B402,Trades!A$1:$N$100794,9,FALSE)</f>
        <v>9.9999999999980105E-3</v>
      </c>
    </row>
    <row r="403" spans="1:9" x14ac:dyDescent="0.25">
      <c r="A403">
        <f t="shared" si="38"/>
        <v>402</v>
      </c>
      <c r="B403" s="1" t="s">
        <v>605</v>
      </c>
      <c r="C403" s="1">
        <v>46196</v>
      </c>
      <c r="D403" t="str">
        <f>VLOOKUP(B403,Trades!A$1:N101195,3,FALSE)</f>
        <v>QUBT</v>
      </c>
      <c r="E403" t="s">
        <v>61</v>
      </c>
      <c r="F403">
        <v>10.95</v>
      </c>
      <c r="G403">
        <v>50</v>
      </c>
      <c r="H403">
        <f>IF(VLOOKUP(B403,Trades!A:N,4,FALSE)="Long",(F403-VLOOKUP(B403,Trades!A:N,6,FALSE))*G403,(VLOOKUP(B403,Trades!A:N,6,FALSE)-F403)*G403)</f>
        <v>-3.0000000000000249</v>
      </c>
      <c r="I403">
        <f>H403/VLOOKUP(B403,Trades!A$1:$N$100794,9,FALSE)</f>
        <v>-6.0000000000000497E-2</v>
      </c>
    </row>
    <row r="404" spans="1:9" x14ac:dyDescent="0.25">
      <c r="A404">
        <f t="shared" si="38"/>
        <v>403</v>
      </c>
      <c r="B404" s="1" t="s">
        <v>607</v>
      </c>
      <c r="C404" s="1">
        <v>46196</v>
      </c>
      <c r="D404" t="str">
        <f>VLOOKUP(B404,Trades!A$1:N101196,3,FALSE)</f>
        <v>APP</v>
      </c>
      <c r="E404" t="s">
        <v>61</v>
      </c>
      <c r="F404">
        <v>469.19</v>
      </c>
      <c r="G404">
        <v>2</v>
      </c>
      <c r="H404">
        <f>IF(VLOOKUP(B404,Trades!A:N,4,FALSE)="Long",(F404-VLOOKUP(B404,Trades!A:N,6,FALSE))*G404,(VLOOKUP(B404,Trades!A:N,6,FALSE)-F404)*G404)</f>
        <v>2.7000000000000455</v>
      </c>
      <c r="I404">
        <f>H404/VLOOKUP(B404,Trades!A$1:$N$100794,9,FALSE)</f>
        <v>1.3500000000000227</v>
      </c>
    </row>
    <row r="405" spans="1:9" x14ac:dyDescent="0.25">
      <c r="A405">
        <f t="shared" si="38"/>
        <v>404</v>
      </c>
      <c r="B405" s="1" t="s">
        <v>608</v>
      </c>
      <c r="C405" s="1">
        <v>46196</v>
      </c>
      <c r="D405" t="str">
        <f>VLOOKUP(B405,Trades!A$1:N101197,3,FALSE)</f>
        <v>RKT</v>
      </c>
      <c r="E405" t="s">
        <v>61</v>
      </c>
      <c r="F405">
        <v>13.494999999999999</v>
      </c>
      <c r="G405">
        <v>50</v>
      </c>
      <c r="H405">
        <f>IF(VLOOKUP(B405,Trades!A:N,4,FALSE)="Long",(F405-VLOOKUP(B405,Trades!A:N,6,FALSE))*G405,(VLOOKUP(B405,Trades!A:N,6,FALSE)-F405)*G405)</f>
        <v>-3.2500000000000639</v>
      </c>
      <c r="I405">
        <f>H405/VLOOKUP(B405,Trades!A$1:$N$100794,9,FALSE)</f>
        <v>-6.5000000000001279E-2</v>
      </c>
    </row>
    <row r="406" spans="1:9" x14ac:dyDescent="0.25">
      <c r="A406">
        <f t="shared" ref="A406:A415" si="39">ROW()-1</f>
        <v>405</v>
      </c>
      <c r="B406" s="1" t="s">
        <v>610</v>
      </c>
      <c r="C406" s="1">
        <v>46197</v>
      </c>
      <c r="D406" t="str">
        <f>VLOOKUP(B406,Trades!A$1:N101198,3,FALSE)</f>
        <v>AFRM</v>
      </c>
      <c r="E406" t="s">
        <v>61</v>
      </c>
      <c r="F406">
        <v>74.849999999999994</v>
      </c>
      <c r="G406">
        <v>20</v>
      </c>
      <c r="H406">
        <f>IF(VLOOKUP(B406,Trades!A:N,4,FALSE)="Long",(F406-VLOOKUP(B406,Trades!A:N,6,FALSE))*G406,(VLOOKUP(B406,Trades!A:N,6,FALSE)-F406)*G406)</f>
        <v>4.3999999999999773</v>
      </c>
      <c r="I406">
        <f>H406/VLOOKUP(B406,Trades!A$1:$N$100794,9,FALSE)</f>
        <v>0.21999999999999886</v>
      </c>
    </row>
    <row r="407" spans="1:9" x14ac:dyDescent="0.25">
      <c r="A407">
        <f t="shared" si="39"/>
        <v>406</v>
      </c>
      <c r="B407" s="1" t="s">
        <v>611</v>
      </c>
      <c r="C407" s="1">
        <v>46197</v>
      </c>
      <c r="D407" t="str">
        <f>VLOOKUP(B407,Trades!A$1:N101199,3,FALSE)</f>
        <v>QUBT</v>
      </c>
      <c r="E407" t="s">
        <v>61</v>
      </c>
      <c r="F407">
        <v>10.039999999999999</v>
      </c>
      <c r="G407">
        <v>60</v>
      </c>
      <c r="H407">
        <f>IF(VLOOKUP(B407,Trades!A:N,4,FALSE)="Long",(F407-VLOOKUP(B407,Trades!A:N,6,FALSE))*G407,(VLOOKUP(B407,Trades!A:N,6,FALSE)-F407)*G407)</f>
        <v>-7.8000000000000469</v>
      </c>
      <c r="I407">
        <f>H407/VLOOKUP(B407,Trades!A$1:$N$100794,9,FALSE)</f>
        <v>-0.13000000000000078</v>
      </c>
    </row>
    <row r="408" spans="1:9" x14ac:dyDescent="0.25">
      <c r="A408">
        <f t="shared" si="39"/>
        <v>407</v>
      </c>
      <c r="B408" s="1" t="s">
        <v>613</v>
      </c>
      <c r="C408" s="1">
        <v>46197</v>
      </c>
      <c r="D408" t="str">
        <f>VLOOKUP(B408,Trades!A$1:N101200,3,FALSE)</f>
        <v>BUSE</v>
      </c>
      <c r="E408" t="s">
        <v>61</v>
      </c>
      <c r="F408">
        <v>29.13</v>
      </c>
      <c r="G408">
        <v>3</v>
      </c>
      <c r="H408">
        <f>IF(VLOOKUP(B408,Trades!A:N,4,FALSE)="Long",(F408-VLOOKUP(B408,Trades!A:N,6,FALSE))*G408,(VLOOKUP(B408,Trades!A:N,6,FALSE)-F408)*G408)</f>
        <v>4.3799999999999919</v>
      </c>
      <c r="I408">
        <f>H408/VLOOKUP(B408,Trades!A$1:$N$100794,9,FALSE)</f>
        <v>1.4599999999999973</v>
      </c>
    </row>
    <row r="409" spans="1:9" x14ac:dyDescent="0.25">
      <c r="A409">
        <f t="shared" si="39"/>
        <v>408</v>
      </c>
      <c r="B409" s="1" t="s">
        <v>614</v>
      </c>
      <c r="C409" s="1">
        <v>46197</v>
      </c>
      <c r="D409" t="str">
        <f>VLOOKUP(B409,Trades!A$1:N101201,3,FALSE)</f>
        <v>GTLB</v>
      </c>
      <c r="E409" t="s">
        <v>61</v>
      </c>
      <c r="F409">
        <v>27.64</v>
      </c>
      <c r="G409">
        <v>40</v>
      </c>
      <c r="H409">
        <f>IF(VLOOKUP(B409,Trades!A:N,4,FALSE)="Long",(F409-VLOOKUP(B409,Trades!A:N,6,FALSE))*G409,(VLOOKUP(B409,Trades!A:N,6,FALSE)-F409)*G409)</f>
        <v>10</v>
      </c>
      <c r="I409">
        <f>H409/VLOOKUP(B409,Trades!A$1:$N$100794,9,FALSE)</f>
        <v>0.25</v>
      </c>
    </row>
    <row r="410" spans="1:9" x14ac:dyDescent="0.25">
      <c r="A410">
        <f t="shared" si="39"/>
        <v>409</v>
      </c>
      <c r="B410" s="1" t="s">
        <v>615</v>
      </c>
      <c r="C410" s="1">
        <v>46197</v>
      </c>
      <c r="D410" t="str">
        <f>VLOOKUP(B410,Trades!A$1:N101202,3,FALSE)</f>
        <v>RCL</v>
      </c>
      <c r="E410" t="s">
        <v>61</v>
      </c>
      <c r="F410">
        <v>327.93</v>
      </c>
      <c r="G410">
        <v>3</v>
      </c>
      <c r="H410">
        <f>IF(VLOOKUP(B410,Trades!A:N,4,FALSE)="Long",(F410-VLOOKUP(B410,Trades!A:N,6,FALSE))*G410,(VLOOKUP(B410,Trades!A:N,6,FALSE)-F410)*G410)</f>
        <v>19.319999999999993</v>
      </c>
      <c r="I410">
        <f>H410/VLOOKUP(B410,Trades!A$1:$N$100794,9,FALSE)</f>
        <v>6.4399999999999977</v>
      </c>
    </row>
    <row r="411" spans="1:9" x14ac:dyDescent="0.25">
      <c r="A411">
        <f t="shared" si="39"/>
        <v>410</v>
      </c>
      <c r="B411" s="1" t="s">
        <v>618</v>
      </c>
      <c r="C411" s="1">
        <v>46197</v>
      </c>
      <c r="D411" t="str">
        <f>VLOOKUP(B411,Trades!A$1:N101203,3,FALSE)</f>
        <v>ACGL</v>
      </c>
      <c r="E411" t="s">
        <v>61</v>
      </c>
      <c r="F411">
        <v>95.19</v>
      </c>
      <c r="G411">
        <v>10</v>
      </c>
      <c r="H411">
        <f>IF(VLOOKUP(B411,Trades!A:N,4,FALSE)="Long",(F411-VLOOKUP(B411,Trades!A:N,6,FALSE))*G411,(VLOOKUP(B411,Trades!A:N,6,FALSE)-F411)*G411)</f>
        <v>7.8000000000000114</v>
      </c>
      <c r="I411">
        <f>H411/VLOOKUP(B411,Trades!A$1:$N$100794,9,FALSE)</f>
        <v>0.78000000000000114</v>
      </c>
    </row>
    <row r="412" spans="1:9" x14ac:dyDescent="0.25">
      <c r="A412">
        <f t="shared" si="39"/>
        <v>411</v>
      </c>
      <c r="B412" s="1" t="s">
        <v>619</v>
      </c>
      <c r="C412" s="1">
        <v>46197</v>
      </c>
      <c r="D412" t="str">
        <f>VLOOKUP(B412,Trades!A$1:N101204,3,FALSE)</f>
        <v>QUBT</v>
      </c>
      <c r="E412" t="s">
        <v>61</v>
      </c>
      <c r="F412">
        <v>10.039999999999999</v>
      </c>
      <c r="G412">
        <v>35</v>
      </c>
      <c r="H412">
        <f>IF(VLOOKUP(B412,Trades!A:N,4,FALSE)="Long",(F412-VLOOKUP(B412,Trades!A:N,6,FALSE))*G412,(VLOOKUP(B412,Trades!A:N,6,FALSE)-F412)*G412)</f>
        <v>4.1999999999999726</v>
      </c>
      <c r="I412">
        <f>H412/VLOOKUP(B412,Trades!A$1:$N$100794,9,FALSE)</f>
        <v>0.11999999999999922</v>
      </c>
    </row>
    <row r="413" spans="1:9" x14ac:dyDescent="0.25">
      <c r="A413">
        <f t="shared" si="39"/>
        <v>412</v>
      </c>
      <c r="B413" s="1" t="s">
        <v>621</v>
      </c>
      <c r="C413" s="1">
        <v>46197</v>
      </c>
      <c r="D413" t="str">
        <f>VLOOKUP(B413,Trades!A$1:N101205,3,FALSE)</f>
        <v>UBER</v>
      </c>
      <c r="E413" t="s">
        <v>61</v>
      </c>
      <c r="F413">
        <v>74.02</v>
      </c>
      <c r="G413">
        <v>12</v>
      </c>
      <c r="H413">
        <f>IF(VLOOKUP(B413,Trades!A:N,4,FALSE)="Long",(F413-VLOOKUP(B413,Trades!A:N,6,FALSE))*G413,(VLOOKUP(B413,Trades!A:N,6,FALSE)-F413)*G413)</f>
        <v>3.5999999999999659</v>
      </c>
      <c r="I413">
        <f>H413/VLOOKUP(B413,Trades!A$1:$N$100794,9,FALSE)</f>
        <v>0.29999999999999716</v>
      </c>
    </row>
    <row r="414" spans="1:9" x14ac:dyDescent="0.25">
      <c r="A414">
        <f t="shared" si="39"/>
        <v>413</v>
      </c>
      <c r="B414" s="1" t="s">
        <v>622</v>
      </c>
      <c r="C414" s="1">
        <v>46197</v>
      </c>
      <c r="D414" t="str">
        <f>VLOOKUP(B414,Trades!A$1:N101206,3,FALSE)</f>
        <v>ABNB</v>
      </c>
      <c r="E414" t="s">
        <v>61</v>
      </c>
      <c r="F414">
        <v>145.07</v>
      </c>
      <c r="G414">
        <v>5</v>
      </c>
      <c r="H414">
        <f>IF(VLOOKUP(B414,Trades!A:N,4,FALSE)="Long",(F414-VLOOKUP(B414,Trades!A:N,6,FALSE))*G414,(VLOOKUP(B414,Trades!A:N,6,FALSE)-F414)*G414)</f>
        <v>-2.6000000000000512</v>
      </c>
      <c r="I414">
        <f>H414/VLOOKUP(B414,Trades!A$1:$N$100794,9,FALSE)</f>
        <v>-0.52000000000001023</v>
      </c>
    </row>
    <row r="415" spans="1:9" x14ac:dyDescent="0.25">
      <c r="A415">
        <f t="shared" si="39"/>
        <v>414</v>
      </c>
      <c r="B415" s="1" t="s">
        <v>623</v>
      </c>
      <c r="C415" s="1">
        <v>46197</v>
      </c>
      <c r="D415" t="str">
        <f>VLOOKUP(B415,Trades!A$1:N101207,3,FALSE)</f>
        <v>MRK</v>
      </c>
      <c r="E415" t="s">
        <v>61</v>
      </c>
      <c r="F415">
        <v>121.33</v>
      </c>
      <c r="G415">
        <v>5</v>
      </c>
      <c r="H415">
        <f>IF(VLOOKUP(B415,Trades!A:N,4,FALSE)="Long",(F415-VLOOKUP(B415,Trades!A:N,6,FALSE))*G415,(VLOOKUP(B415,Trades!A:N,6,FALSE)-F415)*G415)</f>
        <v>2.2500000000000142</v>
      </c>
      <c r="I415">
        <f>H415/VLOOKUP(B415,Trades!A$1:$N$100794,9,FALSE)</f>
        <v>0.45000000000000284</v>
      </c>
    </row>
    <row r="416" spans="1:9" x14ac:dyDescent="0.25">
      <c r="A416">
        <f t="shared" ref="A416:A424" si="40">ROW()-1</f>
        <v>415</v>
      </c>
      <c r="B416" s="1" t="s">
        <v>624</v>
      </c>
      <c r="C416" s="1">
        <v>46198</v>
      </c>
      <c r="D416" t="str">
        <f>VLOOKUP(B416,Trades!A$1:N101208,3,FALSE)</f>
        <v>AFRM</v>
      </c>
      <c r="E416" t="s">
        <v>61</v>
      </c>
      <c r="F416">
        <v>77.209999999999994</v>
      </c>
      <c r="G416">
        <v>10</v>
      </c>
      <c r="H416">
        <f>IF(VLOOKUP(B416,Trades!A:N,4,FALSE)="Long",(F416-VLOOKUP(B416,Trades!A:N,6,FALSE))*G416,(VLOOKUP(B416,Trades!A:N,6,FALSE)-F416)*G416)</f>
        <v>-9.6000000000000796</v>
      </c>
      <c r="I416">
        <f>H416/VLOOKUP(B416,Trades!A$1:$N$100794,9,FALSE)</f>
        <v>-0.96000000000000796</v>
      </c>
    </row>
    <row r="417" spans="1:9" x14ac:dyDescent="0.25">
      <c r="A417">
        <f t="shared" si="40"/>
        <v>416</v>
      </c>
      <c r="B417" s="1" t="s">
        <v>625</v>
      </c>
      <c r="C417" s="1">
        <v>46198</v>
      </c>
      <c r="D417" t="str">
        <f>VLOOKUP(B417,Trades!A$1:N101209,3,FALSE)</f>
        <v>ON</v>
      </c>
      <c r="E417" t="s">
        <v>61</v>
      </c>
      <c r="F417">
        <v>115.88</v>
      </c>
      <c r="G417">
        <v>10</v>
      </c>
      <c r="H417">
        <f>IF(VLOOKUP(B417,Trades!A:N,4,FALSE)="Long",(F417-VLOOKUP(B417,Trades!A:N,6,FALSE))*G417,(VLOOKUP(B417,Trades!A:N,6,FALSE)-F417)*G417)</f>
        <v>19.799999999999898</v>
      </c>
      <c r="I417">
        <f>H417/VLOOKUP(B417,Trades!A$1:$N$100794,9,FALSE)</f>
        <v>1.9799999999999898</v>
      </c>
    </row>
    <row r="418" spans="1:9" x14ac:dyDescent="0.25">
      <c r="A418">
        <f t="shared" si="40"/>
        <v>417</v>
      </c>
      <c r="B418" s="1" t="s">
        <v>626</v>
      </c>
      <c r="C418" s="1">
        <v>46198</v>
      </c>
      <c r="D418" t="str">
        <f>VLOOKUP(B418,Trades!A$1:N101210,3,FALSE)</f>
        <v>APPS</v>
      </c>
      <c r="E418" t="s">
        <v>61</v>
      </c>
      <c r="F418">
        <v>9.98</v>
      </c>
      <c r="G418">
        <v>50</v>
      </c>
      <c r="H418">
        <f>IF(VLOOKUP(B418,Trades!A:N,4,FALSE)="Long",(F418-VLOOKUP(B418,Trades!A:N,6,FALSE))*G418,(VLOOKUP(B418,Trades!A:N,6,FALSE)-F418)*G418)</f>
        <v>-9.4999999999999751</v>
      </c>
      <c r="I418">
        <f>H418/VLOOKUP(B418,Trades!A$1:$N$100794,9,FALSE)</f>
        <v>-0.1899999999999995</v>
      </c>
    </row>
    <row r="419" spans="1:9" x14ac:dyDescent="0.25">
      <c r="A419">
        <f t="shared" si="40"/>
        <v>418</v>
      </c>
      <c r="B419" s="1" t="s">
        <v>627</v>
      </c>
      <c r="C419" s="1">
        <v>46198</v>
      </c>
      <c r="D419" t="str">
        <f>VLOOKUP(B419,Trades!A$1:N101211,3,FALSE)</f>
        <v>AFRM</v>
      </c>
      <c r="E419" t="s">
        <v>61</v>
      </c>
      <c r="F419">
        <v>78.13</v>
      </c>
      <c r="G419">
        <v>10</v>
      </c>
      <c r="H419">
        <f>IF(VLOOKUP(B419,Trades!A:N,4,FALSE)="Long",(F419-VLOOKUP(B419,Trades!A:N,6,FALSE))*G419,(VLOOKUP(B419,Trades!A:N,6,FALSE)-F419)*G419)</f>
        <v>7.3999999999999488</v>
      </c>
      <c r="I419">
        <f>H419/VLOOKUP(B419,Trades!A$1:$N$100794,9,FALSE)</f>
        <v>0.73999999999999488</v>
      </c>
    </row>
    <row r="420" spans="1:9" x14ac:dyDescent="0.25">
      <c r="A420">
        <f t="shared" si="40"/>
        <v>419</v>
      </c>
      <c r="B420" s="1" t="s">
        <v>629</v>
      </c>
      <c r="C420" s="1">
        <v>46198</v>
      </c>
      <c r="D420" t="str">
        <f>VLOOKUP(B420,Trades!A$1:N101212,3,FALSE)</f>
        <v>AAPL</v>
      </c>
      <c r="E420" t="s">
        <v>61</v>
      </c>
      <c r="F420">
        <v>276.27</v>
      </c>
      <c r="G420">
        <v>5</v>
      </c>
      <c r="H420">
        <f>IF(VLOOKUP(B420,Trades!A:N,4,FALSE)="Long",(F420-VLOOKUP(B420,Trades!A:N,6,FALSE))*G420,(VLOOKUP(B420,Trades!A:N,6,FALSE)-F420)*G420)</f>
        <v>-8.4000000000000341</v>
      </c>
      <c r="I420">
        <f>H420/VLOOKUP(B420,Trades!A$1:$N$100794,9,FALSE)</f>
        <v>-1.6800000000000068</v>
      </c>
    </row>
    <row r="421" spans="1:9" x14ac:dyDescent="0.25">
      <c r="A421">
        <f t="shared" si="40"/>
        <v>420</v>
      </c>
      <c r="B421" s="1" t="s">
        <v>630</v>
      </c>
      <c r="C421" s="1">
        <v>46198</v>
      </c>
      <c r="D421" t="str">
        <f>VLOOKUP(B421,Trades!A$1:N101213,3,FALSE)</f>
        <v>NVDA</v>
      </c>
      <c r="E421" t="s">
        <v>61</v>
      </c>
      <c r="F421">
        <v>194.53</v>
      </c>
      <c r="G421">
        <v>5</v>
      </c>
      <c r="H421">
        <f>IF(VLOOKUP(B421,Trades!A:N,4,FALSE)="Long",(F421-VLOOKUP(B421,Trades!A:N,6,FALSE))*G421,(VLOOKUP(B421,Trades!A:N,6,FALSE)-F421)*G421)</f>
        <v>-5.3000000000000114</v>
      </c>
      <c r="I421">
        <f>H421/VLOOKUP(B421,Trades!A$1:$N$100794,9,FALSE)</f>
        <v>-1.0600000000000023</v>
      </c>
    </row>
    <row r="422" spans="1:9" x14ac:dyDescent="0.25">
      <c r="A422">
        <f t="shared" si="40"/>
        <v>421</v>
      </c>
      <c r="B422" s="1" t="s">
        <v>633</v>
      </c>
      <c r="C422" s="1">
        <v>46198</v>
      </c>
      <c r="D422" t="str">
        <f>VLOOKUP(B422,Trades!A$1:N101214,3,FALSE)</f>
        <v>WEN</v>
      </c>
      <c r="E422" t="s">
        <v>61</v>
      </c>
      <c r="F422">
        <v>7.42</v>
      </c>
      <c r="G422">
        <v>20</v>
      </c>
      <c r="H422">
        <f>IF(VLOOKUP(B422,Trades!A:N,4,FALSE)="Long",(F422-VLOOKUP(B422,Trades!A:N,6,FALSE))*G422,(VLOOKUP(B422,Trades!A:N,6,FALSE)-F422)*G422)</f>
        <v>-4.1999999999999993</v>
      </c>
      <c r="I422">
        <f>H422/VLOOKUP(B422,Trades!A$1:$N$100794,9,FALSE)</f>
        <v>-0.20999999999999996</v>
      </c>
    </row>
    <row r="423" spans="1:9" x14ac:dyDescent="0.25">
      <c r="A423">
        <f t="shared" si="40"/>
        <v>422</v>
      </c>
      <c r="B423" s="1" t="s">
        <v>634</v>
      </c>
      <c r="C423" s="1">
        <v>46198</v>
      </c>
      <c r="D423" t="str">
        <f>VLOOKUP(B423,Trades!A$1:N101215,3,FALSE)</f>
        <v>KHC</v>
      </c>
      <c r="E423" t="s">
        <v>61</v>
      </c>
      <c r="F423">
        <v>23.54</v>
      </c>
      <c r="G423">
        <v>30</v>
      </c>
      <c r="H423">
        <f>IF(VLOOKUP(B423,Trades!A:N,4,FALSE)="Long",(F423-VLOOKUP(B423,Trades!A:N,6,FALSE))*G423,(VLOOKUP(B423,Trades!A:N,6,FALSE)-F423)*G423)</f>
        <v>-1.8000000000000682</v>
      </c>
      <c r="I423">
        <f>H423/VLOOKUP(B423,Trades!A$1:$N$100794,9,FALSE)</f>
        <v>-6.0000000000002274E-2</v>
      </c>
    </row>
    <row r="424" spans="1:9" x14ac:dyDescent="0.25">
      <c r="A424">
        <f t="shared" si="40"/>
        <v>423</v>
      </c>
      <c r="B424" s="1" t="s">
        <v>635</v>
      </c>
      <c r="C424" s="1">
        <v>46198</v>
      </c>
      <c r="D424" t="str">
        <f>VLOOKUP(B424,Trades!A$1:N101216,3,FALSE)</f>
        <v>NEE</v>
      </c>
      <c r="E424" t="s">
        <v>61</v>
      </c>
      <c r="F424">
        <v>87.83</v>
      </c>
      <c r="G424">
        <v>15</v>
      </c>
      <c r="H424">
        <f>IF(VLOOKUP(B424,Trades!A:N,4,FALSE)="Long",(F424-VLOOKUP(B424,Trades!A:N,6,FALSE))*G424,(VLOOKUP(B424,Trades!A:N,6,FALSE)-F424)*G424)</f>
        <v>2.2499999999998721</v>
      </c>
      <c r="I424">
        <f>H424/VLOOKUP(B424,Trades!A$1:$N$100794,9,FALSE)</f>
        <v>0.14999999999999147</v>
      </c>
    </row>
    <row r="425" spans="1:9" x14ac:dyDescent="0.25">
      <c r="A425">
        <f t="shared" ref="A425:A430" si="41">ROW()-1</f>
        <v>424</v>
      </c>
      <c r="B425" s="1" t="s">
        <v>636</v>
      </c>
      <c r="C425" s="1">
        <v>46199</v>
      </c>
      <c r="D425" t="str">
        <f>VLOOKUP(B425,Trades!A$1:N101217,3,FALSE)</f>
        <v>APPS</v>
      </c>
      <c r="E425" t="s">
        <v>61</v>
      </c>
      <c r="F425">
        <v>10.23</v>
      </c>
      <c r="G425">
        <v>60</v>
      </c>
      <c r="H425">
        <f>IF(VLOOKUP(B425,Trades!A:N,4,FALSE)="Long",(F425-VLOOKUP(B425,Trades!A:N,6,FALSE))*G425,(VLOOKUP(B425,Trades!A:N,6,FALSE)-F425)*G425)</f>
        <v>-9.6000000000000085</v>
      </c>
      <c r="I425">
        <f>H425/VLOOKUP(B425,Trades!A$1:$N$100794,9,FALSE)</f>
        <v>-0.16000000000000014</v>
      </c>
    </row>
    <row r="426" spans="1:9" x14ac:dyDescent="0.25">
      <c r="A426">
        <f t="shared" si="41"/>
        <v>425</v>
      </c>
      <c r="B426" s="1" t="s">
        <v>638</v>
      </c>
      <c r="C426" s="1">
        <v>46199</v>
      </c>
      <c r="D426" t="str">
        <f>VLOOKUP(B426,Trades!A$1:N101218,3,FALSE)</f>
        <v>MNST</v>
      </c>
      <c r="E426" t="s">
        <v>61</v>
      </c>
      <c r="F426">
        <v>97.44</v>
      </c>
      <c r="G426">
        <v>10</v>
      </c>
      <c r="H426">
        <f>IF(VLOOKUP(B426,Trades!A:N,4,FALSE)="Long",(F426-VLOOKUP(B426,Trades!A:N,6,FALSE))*G426,(VLOOKUP(B426,Trades!A:N,6,FALSE)-F426)*G426)</f>
        <v>5.6999999999999318</v>
      </c>
      <c r="I426">
        <f>H426/VLOOKUP(B426,Trades!A$1:$N$100794,9,FALSE)</f>
        <v>0.56999999999999318</v>
      </c>
    </row>
    <row r="427" spans="1:9" x14ac:dyDescent="0.25">
      <c r="A427">
        <f t="shared" si="41"/>
        <v>426</v>
      </c>
      <c r="B427" s="1" t="s">
        <v>639</v>
      </c>
      <c r="C427" s="1">
        <v>46199</v>
      </c>
      <c r="D427" t="str">
        <f>VLOOKUP(B427,Trades!A$1:N101219,3,FALSE)</f>
        <v>AFRM</v>
      </c>
      <c r="E427" t="s">
        <v>61</v>
      </c>
      <c r="F427">
        <v>79.73</v>
      </c>
      <c r="G427">
        <v>10</v>
      </c>
      <c r="H427">
        <f>IF(VLOOKUP(B427,Trades!A:N,4,FALSE)="Long",(F427-VLOOKUP(B427,Trades!A:N,6,FALSE))*G427,(VLOOKUP(B427,Trades!A:N,6,FALSE)-F427)*G427)</f>
        <v>28.400000000000034</v>
      </c>
      <c r="I427">
        <f>H427/VLOOKUP(B427,Trades!A$1:$N$100794,9,FALSE)</f>
        <v>2.8400000000000034</v>
      </c>
    </row>
    <row r="428" spans="1:9" x14ac:dyDescent="0.25">
      <c r="A428">
        <f t="shared" si="41"/>
        <v>427</v>
      </c>
      <c r="B428" s="1" t="s">
        <v>640</v>
      </c>
      <c r="C428" s="1">
        <v>46199</v>
      </c>
      <c r="D428" t="str">
        <f>VLOOKUP(B428,Trades!A$1:N101220,3,FALSE)</f>
        <v>AMAT</v>
      </c>
      <c r="E428" t="s">
        <v>61</v>
      </c>
      <c r="F428">
        <v>646.82000000000005</v>
      </c>
      <c r="G428">
        <v>5</v>
      </c>
      <c r="H428">
        <f>IF(VLOOKUP(B428,Trades!A:N,4,FALSE)="Long",(F428-VLOOKUP(B428,Trades!A:N,6,FALSE))*G428,(VLOOKUP(B428,Trades!A:N,6,FALSE)-F428)*G428)</f>
        <v>18.450000000000273</v>
      </c>
      <c r="I428">
        <f>H428/VLOOKUP(B428,Trades!A$1:$N$100794,9,FALSE)</f>
        <v>3.6900000000000546</v>
      </c>
    </row>
    <row r="429" spans="1:9" x14ac:dyDescent="0.25">
      <c r="A429">
        <f t="shared" si="41"/>
        <v>428</v>
      </c>
      <c r="B429" s="1" t="s">
        <v>641</v>
      </c>
      <c r="C429" s="1">
        <v>46199</v>
      </c>
      <c r="D429" t="str">
        <f>VLOOKUP(B429,Trades!A$1:N101221,3,FALSE)</f>
        <v>INTC</v>
      </c>
      <c r="E429" t="s">
        <v>61</v>
      </c>
      <c r="F429">
        <v>127.87</v>
      </c>
      <c r="G429">
        <v>4</v>
      </c>
      <c r="H429">
        <f>IF(VLOOKUP(B429,Trades!A:N,4,FALSE)="Long",(F429-VLOOKUP(B429,Trades!A:N,6,FALSE))*G429,(VLOOKUP(B429,Trades!A:N,6,FALSE)-F429)*G429)</f>
        <v>-3.9600000000000364</v>
      </c>
      <c r="I429">
        <f>H429/VLOOKUP(B429,Trades!A$1:$N$100794,9,FALSE)</f>
        <v>-0.99000000000000909</v>
      </c>
    </row>
    <row r="430" spans="1:9" x14ac:dyDescent="0.25">
      <c r="A430">
        <f t="shared" si="41"/>
        <v>429</v>
      </c>
      <c r="B430" s="1" t="s">
        <v>642</v>
      </c>
      <c r="C430" s="1">
        <v>46199</v>
      </c>
      <c r="D430" t="str">
        <f>VLOOKUP(B430,Trades!A$1:N101222,3,FALSE)</f>
        <v>CNC</v>
      </c>
      <c r="E430" t="s">
        <v>61</v>
      </c>
      <c r="F430">
        <v>64.98</v>
      </c>
      <c r="G430">
        <v>30</v>
      </c>
      <c r="H430">
        <f>IF(VLOOKUP(B430,Trades!A:N,4,FALSE)="Long",(F430-VLOOKUP(B430,Trades!A:N,6,FALSE))*G430,(VLOOKUP(B430,Trades!A:N,6,FALSE)-F430)*G430)</f>
        <v>-8.4000000000000341</v>
      </c>
      <c r="I430">
        <f>H430/VLOOKUP(B430,Trades!A$1:$N$100794,9,FALSE)</f>
        <v>-0.28000000000000114</v>
      </c>
    </row>
    <row r="431" spans="1:9" x14ac:dyDescent="0.25">
      <c r="A431">
        <f t="shared" ref="A431:A438" si="42">ROW()-1</f>
        <v>430</v>
      </c>
      <c r="B431" s="1" t="s">
        <v>643</v>
      </c>
      <c r="C431" s="1">
        <v>46202</v>
      </c>
      <c r="D431" t="str">
        <f>VLOOKUP(B431,Trades!A$1:N101223,3,FALSE)</f>
        <v>AMAT</v>
      </c>
      <c r="E431" t="s">
        <v>61</v>
      </c>
      <c r="F431">
        <v>664.91</v>
      </c>
      <c r="G431">
        <v>2</v>
      </c>
      <c r="H431">
        <f>IF(VLOOKUP(B431,Trades!A:N,4,FALSE)="Long",(F431-VLOOKUP(B431,Trades!A:N,6,FALSE))*G431,(VLOOKUP(B431,Trades!A:N,6,FALSE)-F431)*G431)</f>
        <v>33.079999999999927</v>
      </c>
      <c r="I431">
        <f>H431/VLOOKUP(B431,Trades!A$1:$N$100794,9,FALSE)</f>
        <v>16.539999999999964</v>
      </c>
    </row>
    <row r="432" spans="1:9" x14ac:dyDescent="0.25">
      <c r="A432">
        <f t="shared" si="42"/>
        <v>431</v>
      </c>
      <c r="B432" s="1" t="s">
        <v>644</v>
      </c>
      <c r="C432" s="1">
        <v>46202</v>
      </c>
      <c r="D432" t="str">
        <f>VLOOKUP(B432,Trades!A$1:N101224,3,FALSE)</f>
        <v>AFRM</v>
      </c>
      <c r="E432" t="s">
        <v>61</v>
      </c>
      <c r="F432">
        <v>79.59</v>
      </c>
      <c r="G432">
        <v>15</v>
      </c>
      <c r="H432">
        <f>IF(VLOOKUP(B432,Trades!A:N,4,FALSE)="Long",(F432-VLOOKUP(B432,Trades!A:N,6,FALSE))*G432,(VLOOKUP(B432,Trades!A:N,6,FALSE)-F432)*G432)</f>
        <v>-13.949999999999889</v>
      </c>
      <c r="I432">
        <f>H432/VLOOKUP(B432,Trades!A$1:$N$100794,9,FALSE)</f>
        <v>-0.92999999999999261</v>
      </c>
    </row>
    <row r="433" spans="1:9" x14ac:dyDescent="0.25">
      <c r="A433">
        <f t="shared" si="42"/>
        <v>432</v>
      </c>
      <c r="B433" s="1" t="s">
        <v>645</v>
      </c>
      <c r="C433" s="1">
        <v>46202</v>
      </c>
      <c r="D433" t="str">
        <f>VLOOKUP(B433,Trades!A$1:N101225,3,FALSE)</f>
        <v>AMAT</v>
      </c>
      <c r="E433" t="s">
        <v>61</v>
      </c>
      <c r="F433">
        <v>650.91999999999996</v>
      </c>
      <c r="G433">
        <v>2</v>
      </c>
      <c r="H433">
        <f>IF(VLOOKUP(B433,Trades!A:N,4,FALSE)="Long",(F433-VLOOKUP(B433,Trades!A:N,6,FALSE))*G433,(VLOOKUP(B433,Trades!A:N,6,FALSE)-F433)*G433)</f>
        <v>-8.1600000000000819</v>
      </c>
      <c r="I433">
        <f>H433/VLOOKUP(B433,Trades!A$1:$N$100794,9,FALSE)</f>
        <v>-4.0800000000000409</v>
      </c>
    </row>
    <row r="434" spans="1:9" x14ac:dyDescent="0.25">
      <c r="A434">
        <f t="shared" si="42"/>
        <v>433</v>
      </c>
      <c r="B434" s="1" t="s">
        <v>646</v>
      </c>
      <c r="C434" s="1">
        <v>46202</v>
      </c>
      <c r="D434" t="str">
        <f>VLOOKUP(B434,Trades!A$1:N101226,3,FALSE)</f>
        <v>ABBV</v>
      </c>
      <c r="E434" t="s">
        <v>61</v>
      </c>
      <c r="F434">
        <v>250.85</v>
      </c>
      <c r="G434">
        <v>4</v>
      </c>
      <c r="H434">
        <f>IF(VLOOKUP(B434,Trades!A:N,4,FALSE)="Long",(F434-VLOOKUP(B434,Trades!A:N,6,FALSE))*G434,(VLOOKUP(B434,Trades!A:N,6,FALSE)-F434)*G434)</f>
        <v>-3.8400000000000318</v>
      </c>
      <c r="I434">
        <f>H434/VLOOKUP(B434,Trades!A$1:$N$100794,9,FALSE)</f>
        <v>-0.96000000000000796</v>
      </c>
    </row>
    <row r="435" spans="1:9" x14ac:dyDescent="0.25">
      <c r="A435">
        <f t="shared" si="42"/>
        <v>434</v>
      </c>
      <c r="B435" s="1" t="s">
        <v>647</v>
      </c>
      <c r="C435" s="1">
        <v>46202</v>
      </c>
      <c r="D435" t="str">
        <f>VLOOKUP(B435,Trades!A$1:N101227,3,FALSE)</f>
        <v>APPS</v>
      </c>
      <c r="E435" t="s">
        <v>61</v>
      </c>
      <c r="F435">
        <v>12.16</v>
      </c>
      <c r="G435">
        <v>50</v>
      </c>
      <c r="H435">
        <f>IF(VLOOKUP(B435,Trades!A:N,4,FALSE)="Long",(F435-VLOOKUP(B435,Trades!A:N,6,FALSE))*G435,(VLOOKUP(B435,Trades!A:N,6,FALSE)-F435)*G435)</f>
        <v>8.9999999999999858</v>
      </c>
      <c r="I435">
        <f>H435/VLOOKUP(B435,Trades!A$1:$N$100794,9,FALSE)</f>
        <v>0.17999999999999972</v>
      </c>
    </row>
    <row r="436" spans="1:9" x14ac:dyDescent="0.25">
      <c r="A436">
        <f t="shared" si="42"/>
        <v>435</v>
      </c>
      <c r="B436" s="1" t="s">
        <v>648</v>
      </c>
      <c r="C436" s="1">
        <v>46202</v>
      </c>
      <c r="D436" t="str">
        <f>VLOOKUP(B436,Trades!A$1:N101228,3,FALSE)</f>
        <v>AFRM</v>
      </c>
      <c r="E436" t="s">
        <v>61</v>
      </c>
      <c r="F436">
        <v>80.2</v>
      </c>
      <c r="G436">
        <v>10</v>
      </c>
      <c r="H436">
        <f>IF(VLOOKUP(B436,Trades!A:N,4,FALSE)="Long",(F436-VLOOKUP(B436,Trades!A:N,6,FALSE))*G436,(VLOOKUP(B436,Trades!A:N,6,FALSE)-F436)*G436)</f>
        <v>3.5000000000000853</v>
      </c>
      <c r="I436">
        <f>H436/VLOOKUP(B436,Trades!A$1:$N$100794,9,FALSE)</f>
        <v>0.35000000000000853</v>
      </c>
    </row>
    <row r="437" spans="1:9" x14ac:dyDescent="0.25">
      <c r="A437">
        <f t="shared" si="42"/>
        <v>436</v>
      </c>
      <c r="B437" s="1" t="s">
        <v>649</v>
      </c>
      <c r="C437" s="1">
        <v>46202</v>
      </c>
      <c r="D437" t="str">
        <f>VLOOKUP(B437,Trades!A$1:N101229,3,FALSE)</f>
        <v>APPS</v>
      </c>
      <c r="E437" t="s">
        <v>61</v>
      </c>
      <c r="F437">
        <v>12.72</v>
      </c>
      <c r="G437">
        <v>40</v>
      </c>
      <c r="H437">
        <f>IF(VLOOKUP(B437,Trades!A:N,4,FALSE)="Long",(F437-VLOOKUP(B437,Trades!A:N,6,FALSE))*G437,(VLOOKUP(B437,Trades!A:N,6,FALSE)-F437)*G437)</f>
        <v>10.800000000000054</v>
      </c>
      <c r="I437">
        <f>H437/VLOOKUP(B437,Trades!A$1:$N$100794,9,FALSE)</f>
        <v>0.27000000000000135</v>
      </c>
    </row>
    <row r="438" spans="1:9" x14ac:dyDescent="0.25">
      <c r="A438">
        <f t="shared" si="42"/>
        <v>437</v>
      </c>
      <c r="B438" s="1" t="s">
        <v>650</v>
      </c>
      <c r="C438" s="1">
        <v>46202</v>
      </c>
      <c r="D438" t="str">
        <f>VLOOKUP(B438,Trades!A$1:N101230,3,FALSE)</f>
        <v>APP</v>
      </c>
      <c r="E438" t="s">
        <v>61</v>
      </c>
      <c r="F438">
        <v>492.63</v>
      </c>
      <c r="G438">
        <v>2</v>
      </c>
      <c r="H438">
        <f>IF(VLOOKUP(B438,Trades!A:N,4,FALSE)="Long",(F438-VLOOKUP(B438,Trades!A:N,6,FALSE))*G438,(VLOOKUP(B438,Trades!A:N,6,FALSE)-F438)*G438)</f>
        <v>-8.1599999999999682</v>
      </c>
      <c r="I438">
        <f>H438/VLOOKUP(B438,Trades!A$1:$N$100794,9,FALSE)</f>
        <v>-4.0799999999999841</v>
      </c>
    </row>
    <row r="439" spans="1:9" x14ac:dyDescent="0.25">
      <c r="A439">
        <f t="shared" ref="A439:A447" si="43">ROW()-1</f>
        <v>438</v>
      </c>
      <c r="B439" s="1" t="s">
        <v>652</v>
      </c>
      <c r="C439" s="1">
        <v>46203</v>
      </c>
      <c r="D439" t="str">
        <f>VLOOKUP(B439,Trades!A$1:N101231,3,FALSE)</f>
        <v>APPS</v>
      </c>
      <c r="E439" t="s">
        <v>61</v>
      </c>
      <c r="F439">
        <v>13.07</v>
      </c>
      <c r="G439">
        <v>50</v>
      </c>
      <c r="H439">
        <f>IF(VLOOKUP(B439,Trades!A:N,4,FALSE)="Long",(F439-VLOOKUP(B439,Trades!A:N,6,FALSE))*G439,(VLOOKUP(B439,Trades!A:N,6,FALSE)-F439)*G439)</f>
        <v>-7.5000000000000178</v>
      </c>
      <c r="I439">
        <f>H439/VLOOKUP(B439,Trades!A$1:$N$100794,9,FALSE)</f>
        <v>-0.15000000000000036</v>
      </c>
    </row>
    <row r="440" spans="1:9" x14ac:dyDescent="0.25">
      <c r="A440">
        <f t="shared" si="43"/>
        <v>439</v>
      </c>
      <c r="B440" s="1" t="s">
        <v>653</v>
      </c>
      <c r="C440" s="1">
        <v>46203</v>
      </c>
      <c r="D440" t="str">
        <f>VLOOKUP(B440,Trades!A$1:N101232,3,FALSE)</f>
        <v>AMAT</v>
      </c>
      <c r="E440" t="s">
        <v>61</v>
      </c>
      <c r="F440">
        <v>726.44</v>
      </c>
      <c r="G440">
        <v>1</v>
      </c>
      <c r="H440">
        <f>IF(VLOOKUP(B440,Trades!A:N,4,FALSE)="Long",(F440-VLOOKUP(B440,Trades!A:N,6,FALSE))*G440,(VLOOKUP(B440,Trades!A:N,6,FALSE)-F440)*G440)</f>
        <v>20.030000000000086</v>
      </c>
      <c r="I440">
        <f>H440/VLOOKUP(B440,Trades!A$1:$N$100794,9,FALSE)</f>
        <v>10.015000000000043</v>
      </c>
    </row>
    <row r="441" spans="1:9" x14ac:dyDescent="0.25">
      <c r="A441">
        <f t="shared" si="43"/>
        <v>440</v>
      </c>
      <c r="B441" s="1" t="s">
        <v>654</v>
      </c>
      <c r="C441" s="1">
        <v>46203</v>
      </c>
      <c r="D441" t="str">
        <f>VLOOKUP(B441,Trades!A$1:N101233,3,FALSE)</f>
        <v>CNP</v>
      </c>
      <c r="E441" t="s">
        <v>61</v>
      </c>
      <c r="F441">
        <v>44.13</v>
      </c>
      <c r="G441">
        <v>50</v>
      </c>
      <c r="H441">
        <f>IF(VLOOKUP(B441,Trades!A:N,4,FALSE)="Long",(F441-VLOOKUP(B441,Trades!A:N,6,FALSE))*G441,(VLOOKUP(B441,Trades!A:N,6,FALSE)-F441)*G441)</f>
        <v>-5.9999999999998721</v>
      </c>
      <c r="I441">
        <f>H441/VLOOKUP(B441,Trades!A$1:$N$100794,9,FALSE)</f>
        <v>-0.11999999999999744</v>
      </c>
    </row>
    <row r="442" spans="1:9" x14ac:dyDescent="0.25">
      <c r="A442">
        <f t="shared" si="43"/>
        <v>441</v>
      </c>
      <c r="B442" s="1" t="s">
        <v>655</v>
      </c>
      <c r="C442" s="1">
        <v>46203</v>
      </c>
      <c r="D442" t="str">
        <f>VLOOKUP(B442,Trades!A$1:N101234,3,FALSE)</f>
        <v>APPS</v>
      </c>
      <c r="E442" t="s">
        <v>61</v>
      </c>
      <c r="F442">
        <v>13.13</v>
      </c>
      <c r="G442">
        <v>50</v>
      </c>
      <c r="H442">
        <f>IF(VLOOKUP(B442,Trades!A:N,4,FALSE)="Long",(F442-VLOOKUP(B442,Trades!A:N,6,FALSE))*G442,(VLOOKUP(B442,Trades!A:N,6,FALSE)-F442)*G442)</f>
        <v>-6.9999999999999396</v>
      </c>
      <c r="I442">
        <f>H442/VLOOKUP(B442,Trades!A$1:$N$100794,9,FALSE)</f>
        <v>-0.13999999999999879</v>
      </c>
    </row>
    <row r="443" spans="1:9" x14ac:dyDescent="0.25">
      <c r="A443">
        <f t="shared" si="43"/>
        <v>442</v>
      </c>
      <c r="B443" s="1" t="s">
        <v>656</v>
      </c>
      <c r="C443" s="1">
        <v>46203</v>
      </c>
      <c r="D443" t="str">
        <f>VLOOKUP(B443,Trades!A$1:N101235,3,FALSE)</f>
        <v>APP</v>
      </c>
      <c r="E443" t="s">
        <v>61</v>
      </c>
      <c r="F443">
        <v>501.59</v>
      </c>
      <c r="G443">
        <v>2</v>
      </c>
      <c r="H443">
        <f>IF(VLOOKUP(B443,Trades!A:N,4,FALSE)="Long",(F443-VLOOKUP(B443,Trades!A:N,6,FALSE))*G443,(VLOOKUP(B443,Trades!A:N,6,FALSE)-F443)*G443)</f>
        <v>-5.7000000000000455</v>
      </c>
      <c r="I443">
        <f>H443/VLOOKUP(B443,Trades!A$1:$N$100794,9,FALSE)</f>
        <v>-2.8500000000000227</v>
      </c>
    </row>
    <row r="444" spans="1:9" x14ac:dyDescent="0.25">
      <c r="A444">
        <f t="shared" si="43"/>
        <v>443</v>
      </c>
      <c r="B444" s="1" t="s">
        <v>653</v>
      </c>
      <c r="C444" s="1">
        <v>46203</v>
      </c>
      <c r="D444" t="str">
        <f>VLOOKUP(B444,Trades!A$1:N101236,3,FALSE)</f>
        <v>AMAT</v>
      </c>
      <c r="E444" t="s">
        <v>61</v>
      </c>
      <c r="F444">
        <v>731.67</v>
      </c>
      <c r="G444">
        <v>1</v>
      </c>
      <c r="H444">
        <f>IF(VLOOKUP(B444,Trades!A:N,4,FALSE)="Long",(F444-VLOOKUP(B444,Trades!A:N,6,FALSE))*G444,(VLOOKUP(B444,Trades!A:N,6,FALSE)-F444)*G444)</f>
        <v>25.259999999999991</v>
      </c>
      <c r="I444">
        <f>H444/VLOOKUP(B444,Trades!A$1:$N$100794,9,FALSE)</f>
        <v>12.629999999999995</v>
      </c>
    </row>
    <row r="445" spans="1:9" x14ac:dyDescent="0.25">
      <c r="A445">
        <f t="shared" si="43"/>
        <v>444</v>
      </c>
      <c r="B445" s="1" t="s">
        <v>657</v>
      </c>
      <c r="C445" s="1">
        <v>46203</v>
      </c>
      <c r="D445" t="str">
        <f>VLOOKUP(B445,Trades!A$1:N101237,3,FALSE)</f>
        <v>FROG</v>
      </c>
      <c r="E445" t="s">
        <v>61</v>
      </c>
      <c r="F445">
        <v>91.79</v>
      </c>
      <c r="G445">
        <v>10</v>
      </c>
      <c r="H445">
        <f>IF(VLOOKUP(B445,Trades!A:N,4,FALSE)="Long",(F445-VLOOKUP(B445,Trades!A:N,6,FALSE))*G445,(VLOOKUP(B445,Trades!A:N,6,FALSE)-F445)*G445)</f>
        <v>8.9000000000000057</v>
      </c>
      <c r="I445">
        <f>H445/VLOOKUP(B445,Trades!A$1:$N$100794,9,FALSE)</f>
        <v>0.89000000000000057</v>
      </c>
    </row>
    <row r="446" spans="1:9" x14ac:dyDescent="0.25">
      <c r="A446">
        <f t="shared" si="43"/>
        <v>445</v>
      </c>
      <c r="B446" s="1" t="s">
        <v>658</v>
      </c>
      <c r="C446" s="1">
        <v>46203</v>
      </c>
      <c r="D446" t="str">
        <f>VLOOKUP(B446,Trades!A$1:N101238,3,FALSE)</f>
        <v>AFRM</v>
      </c>
      <c r="E446" t="s">
        <v>61</v>
      </c>
      <c r="F446">
        <v>80.930000000000007</v>
      </c>
      <c r="G446">
        <v>10</v>
      </c>
      <c r="H446">
        <f>IF(VLOOKUP(B446,Trades!A:N,4,FALSE)="Long",(F446-VLOOKUP(B446,Trades!A:N,6,FALSE))*G446,(VLOOKUP(B446,Trades!A:N,6,FALSE)-F446)*G446)</f>
        <v>-7.9999999999999716</v>
      </c>
      <c r="I446">
        <f>H446/VLOOKUP(B446,Trades!A$1:$N$100794,9,FALSE)</f>
        <v>-0.79999999999999716</v>
      </c>
    </row>
    <row r="447" spans="1:9" x14ac:dyDescent="0.25">
      <c r="A447">
        <f t="shared" si="43"/>
        <v>446</v>
      </c>
      <c r="B447" s="1" t="s">
        <v>659</v>
      </c>
      <c r="C447" s="1">
        <v>46203</v>
      </c>
      <c r="D447" t="str">
        <f>VLOOKUP(B447,Trades!A$1:N101239,3,FALSE)</f>
        <v>GTLB</v>
      </c>
      <c r="E447" t="s">
        <v>61</v>
      </c>
      <c r="F447">
        <v>30.31</v>
      </c>
      <c r="G447">
        <v>12</v>
      </c>
      <c r="H447">
        <f>IF(VLOOKUP(B447,Trades!A:N,4,FALSE)="Long",(F447-VLOOKUP(B447,Trades!A:N,6,FALSE))*G447,(VLOOKUP(B447,Trades!A:N,6,FALSE)-F447)*G447)</f>
        <v>4.4399999999999693</v>
      </c>
      <c r="I447">
        <f>H447/VLOOKUP(B447,Trades!A$1:$N$100794,9,FALSE)</f>
        <v>0.36999999999999744</v>
      </c>
    </row>
    <row r="448" spans="1:9" x14ac:dyDescent="0.25">
      <c r="A448">
        <f t="shared" ref="A448:A457" si="44">ROW()-1</f>
        <v>447</v>
      </c>
      <c r="B448" s="1" t="s">
        <v>660</v>
      </c>
      <c r="C448" s="1">
        <v>46204</v>
      </c>
      <c r="D448" t="str">
        <f>VLOOKUP(B448,Trades!A$1:N101240,3,FALSE)</f>
        <v>AFRM</v>
      </c>
      <c r="E448" t="s">
        <v>61</v>
      </c>
      <c r="F448">
        <v>82.57</v>
      </c>
      <c r="G448">
        <v>10</v>
      </c>
      <c r="H448">
        <f>IF(VLOOKUP(B448,Trades!A:N,4,FALSE)="Long",(F448-VLOOKUP(B448,Trades!A:N,6,FALSE))*G448,(VLOOKUP(B448,Trades!A:N,6,FALSE)-F448)*G448)</f>
        <v>-4.0000000000000568</v>
      </c>
      <c r="I448">
        <f>H448/VLOOKUP(B448,Trades!A$1:$N$100794,9,FALSE)</f>
        <v>-0.40000000000000568</v>
      </c>
    </row>
    <row r="449" spans="1:9" x14ac:dyDescent="0.25">
      <c r="A449">
        <f t="shared" si="44"/>
        <v>448</v>
      </c>
      <c r="B449" s="1" t="s">
        <v>661</v>
      </c>
      <c r="C449" s="1">
        <v>46204</v>
      </c>
      <c r="D449" t="str">
        <f>VLOOKUP(B449,Trades!A$1:N101241,3,FALSE)</f>
        <v>INTC</v>
      </c>
      <c r="E449" t="s">
        <v>61</v>
      </c>
      <c r="F449">
        <v>133.16999999999999</v>
      </c>
      <c r="G449">
        <v>10</v>
      </c>
      <c r="H449">
        <f>IF(VLOOKUP(B449,Trades!A:N,4,FALSE)="Long",(F449-VLOOKUP(B449,Trades!A:N,6,FALSE))*G449,(VLOOKUP(B449,Trades!A:N,6,FALSE)-F449)*G449)</f>
        <v>-7.8000000000000114</v>
      </c>
      <c r="I449">
        <f>H449/VLOOKUP(B449,Trades!A$1:$N$100794,9,FALSE)</f>
        <v>-0.78000000000000114</v>
      </c>
    </row>
    <row r="450" spans="1:9" x14ac:dyDescent="0.25">
      <c r="A450">
        <f t="shared" si="44"/>
        <v>449</v>
      </c>
      <c r="B450" s="1" t="s">
        <v>662</v>
      </c>
      <c r="C450" s="1">
        <v>46204</v>
      </c>
      <c r="D450" t="str">
        <f>VLOOKUP(B450,Trades!A$1:N101242,3,FALSE)</f>
        <v>APP</v>
      </c>
      <c r="E450" t="s">
        <v>61</v>
      </c>
      <c r="F450">
        <v>552.14</v>
      </c>
      <c r="G450">
        <v>1</v>
      </c>
      <c r="H450">
        <f>IF(VLOOKUP(B450,Trades!A:N,4,FALSE)="Long",(F450-VLOOKUP(B450,Trades!A:N,6,FALSE))*G450,(VLOOKUP(B450,Trades!A:N,6,FALSE)-F450)*G450)</f>
        <v>18.139999999999986</v>
      </c>
      <c r="I450">
        <f>H450/VLOOKUP(B450,Trades!A$1:$N$100794,9,FALSE)</f>
        <v>9.0699999999999932</v>
      </c>
    </row>
    <row r="451" spans="1:9" x14ac:dyDescent="0.25">
      <c r="A451">
        <f t="shared" si="44"/>
        <v>450</v>
      </c>
      <c r="B451" s="1" t="s">
        <v>663</v>
      </c>
      <c r="C451" s="1">
        <v>46204</v>
      </c>
      <c r="D451" t="str">
        <f>VLOOKUP(B451,Trades!A$1:N101243,3,FALSE)</f>
        <v>AMAT</v>
      </c>
      <c r="E451" t="s">
        <v>61</v>
      </c>
      <c r="F451">
        <v>676.8</v>
      </c>
      <c r="G451">
        <v>2</v>
      </c>
      <c r="H451">
        <f>IF(VLOOKUP(B451,Trades!A:N,4,FALSE)="Long",(F451-VLOOKUP(B451,Trades!A:N,6,FALSE))*G451,(VLOOKUP(B451,Trades!A:N,6,FALSE)-F451)*G451)</f>
        <v>-10.960000000000036</v>
      </c>
      <c r="I451">
        <f>H451/VLOOKUP(B451,Trades!A$1:$N$100794,9,FALSE)</f>
        <v>-5.4800000000000182</v>
      </c>
    </row>
    <row r="452" spans="1:9" x14ac:dyDescent="0.25">
      <c r="A452">
        <f t="shared" si="44"/>
        <v>451</v>
      </c>
      <c r="B452" s="1" t="s">
        <v>662</v>
      </c>
      <c r="C452" s="1">
        <v>46204</v>
      </c>
      <c r="D452" t="str">
        <f>VLOOKUP(B452,Trades!A$1:N101244,3,FALSE)</f>
        <v>APP</v>
      </c>
      <c r="E452" t="s">
        <v>61</v>
      </c>
      <c r="F452">
        <v>558.80999999999995</v>
      </c>
      <c r="G452">
        <v>1</v>
      </c>
      <c r="H452">
        <f>IF(VLOOKUP(B452,Trades!A:N,4,FALSE)="Long",(F452-VLOOKUP(B452,Trades!A:N,6,FALSE))*G452,(VLOOKUP(B452,Trades!A:N,6,FALSE)-F452)*G452)</f>
        <v>24.809999999999945</v>
      </c>
      <c r="I452">
        <f>H452/VLOOKUP(B452,Trades!A$1:$N$100794,9,FALSE)</f>
        <v>12.404999999999973</v>
      </c>
    </row>
    <row r="453" spans="1:9" x14ac:dyDescent="0.25">
      <c r="A453">
        <f t="shared" si="44"/>
        <v>452</v>
      </c>
      <c r="B453" s="1" t="s">
        <v>664</v>
      </c>
      <c r="C453" s="1">
        <v>46204</v>
      </c>
      <c r="D453" t="str">
        <f>VLOOKUP(B453,Trades!A$1:N101245,3,FALSE)</f>
        <v>GTLB</v>
      </c>
      <c r="E453" t="s">
        <v>61</v>
      </c>
      <c r="F453">
        <v>32.47</v>
      </c>
      <c r="G453">
        <v>14</v>
      </c>
      <c r="H453">
        <f>IF(VLOOKUP(B453,Trades!A:N,4,FALSE)="Long",(F453-VLOOKUP(B453,Trades!A:N,6,FALSE))*G453,(VLOOKUP(B453,Trades!A:N,6,FALSE)-F453)*G453)</f>
        <v>8.960000000000008</v>
      </c>
      <c r="I453">
        <f>H453/VLOOKUP(B453,Trades!A$1:$N$100794,9,FALSE)</f>
        <v>0.32000000000000028</v>
      </c>
    </row>
    <row r="454" spans="1:9" x14ac:dyDescent="0.25">
      <c r="A454">
        <f t="shared" si="44"/>
        <v>453</v>
      </c>
      <c r="B454" s="1" t="s">
        <v>665</v>
      </c>
      <c r="C454" s="1">
        <v>46204</v>
      </c>
      <c r="D454" t="str">
        <f>VLOOKUP(B454,Trades!A$1:N101246,3,FALSE)</f>
        <v>APPS</v>
      </c>
      <c r="E454" t="s">
        <v>61</v>
      </c>
      <c r="F454">
        <v>12.98</v>
      </c>
      <c r="G454">
        <v>70</v>
      </c>
      <c r="H454">
        <f>IF(VLOOKUP(B454,Trades!A:N,4,FALSE)="Long",(F454-VLOOKUP(B454,Trades!A:N,6,FALSE))*G454,(VLOOKUP(B454,Trades!A:N,6,FALSE)-F454)*G454)</f>
        <v>-7.6999999999999602</v>
      </c>
      <c r="I454">
        <f>H454/VLOOKUP(B454,Trades!A$1:$N$100794,9,FALSE)</f>
        <v>-0.10999999999999943</v>
      </c>
    </row>
    <row r="455" spans="1:9" x14ac:dyDescent="0.25">
      <c r="A455">
        <f t="shared" si="44"/>
        <v>454</v>
      </c>
      <c r="B455" s="1" t="s">
        <v>664</v>
      </c>
      <c r="C455" s="1">
        <v>46204</v>
      </c>
      <c r="D455" t="str">
        <f>VLOOKUP(B455,Trades!A$1:N101247,3,FALSE)</f>
        <v>GTLB</v>
      </c>
      <c r="E455" t="s">
        <v>61</v>
      </c>
      <c r="F455">
        <v>32.130000000000003</v>
      </c>
      <c r="G455">
        <v>14</v>
      </c>
      <c r="H455">
        <f>IF(VLOOKUP(B455,Trades!A:N,4,FALSE)="Long",(F455-VLOOKUP(B455,Trades!A:N,6,FALSE))*G455,(VLOOKUP(B455,Trades!A:N,6,FALSE)-F455)*G455)</f>
        <v>4.2000000000000597</v>
      </c>
      <c r="I455">
        <f>H455/VLOOKUP(B455,Trades!A$1:$N$100794,9,FALSE)</f>
        <v>0.15000000000000213</v>
      </c>
    </row>
    <row r="456" spans="1:9" x14ac:dyDescent="0.25">
      <c r="A456">
        <f t="shared" si="44"/>
        <v>455</v>
      </c>
      <c r="B456" s="1" t="s">
        <v>666</v>
      </c>
      <c r="C456" s="1">
        <v>46204</v>
      </c>
      <c r="D456" t="str">
        <f>VLOOKUP(B456,Trades!A$1:N101248,3,FALSE)</f>
        <v>GOOG</v>
      </c>
      <c r="E456" t="s">
        <v>61</v>
      </c>
      <c r="F456">
        <v>354.95</v>
      </c>
      <c r="G456">
        <v>3</v>
      </c>
      <c r="H456">
        <f>IF(VLOOKUP(B456,Trades!A:N,4,FALSE)="Long",(F456-VLOOKUP(B456,Trades!A:N,6,FALSE))*G456,(VLOOKUP(B456,Trades!A:N,6,FALSE)-F456)*G456)</f>
        <v>-6</v>
      </c>
      <c r="I456">
        <f>H456/VLOOKUP(B456,Trades!A$1:$N$100794,9,FALSE)</f>
        <v>-2</v>
      </c>
    </row>
    <row r="457" spans="1:9" x14ac:dyDescent="0.25">
      <c r="A457">
        <f t="shared" si="44"/>
        <v>456</v>
      </c>
      <c r="B457" s="1" t="s">
        <v>667</v>
      </c>
      <c r="C457" s="1">
        <v>46204</v>
      </c>
      <c r="D457" t="str">
        <f>VLOOKUP(B457,Trades!A$1:N101249,3,FALSE)</f>
        <v>ANET</v>
      </c>
      <c r="E457" t="s">
        <v>61</v>
      </c>
      <c r="F457">
        <v>167.89</v>
      </c>
      <c r="G457">
        <v>2</v>
      </c>
      <c r="H457">
        <f>IF(VLOOKUP(B457,Trades!A:N,4,FALSE)="Long",(F457-VLOOKUP(B457,Trades!A:N,6,FALSE))*G457,(VLOOKUP(B457,Trades!A:N,6,FALSE)-F457)*G457)</f>
        <v>1.6199999999999477</v>
      </c>
      <c r="I457">
        <f>H457/VLOOKUP(B457,Trades!A$1:$N$100794,9,FALSE)</f>
        <v>0.80999999999997385</v>
      </c>
    </row>
    <row r="458" spans="1:9" x14ac:dyDescent="0.25">
      <c r="A458">
        <f t="shared" ref="A458:A466" si="45">ROW()-1</f>
        <v>457</v>
      </c>
      <c r="B458" s="1" t="s">
        <v>669</v>
      </c>
      <c r="C458" s="1">
        <v>46205</v>
      </c>
      <c r="D458" t="str">
        <f>VLOOKUP(B458,Trades!A$1:N101250,3,FALSE)</f>
        <v>GTLB</v>
      </c>
      <c r="E458" t="s">
        <v>61</v>
      </c>
      <c r="F458">
        <v>31.94</v>
      </c>
      <c r="G458">
        <v>40</v>
      </c>
      <c r="H458">
        <f>IF(VLOOKUP(B458,Trades!A:N,4,FALSE)="Long",(F458-VLOOKUP(B458,Trades!A:N,6,FALSE))*G458,(VLOOKUP(B458,Trades!A:N,6,FALSE)-F458)*G458)</f>
        <v>-12.000000000000028</v>
      </c>
      <c r="I458">
        <f>H458/VLOOKUP(B458,Trades!A$1:$N$100794,9,FALSE)</f>
        <v>-0.30000000000000071</v>
      </c>
    </row>
    <row r="459" spans="1:9" x14ac:dyDescent="0.25">
      <c r="A459">
        <f t="shared" si="45"/>
        <v>458</v>
      </c>
      <c r="B459" s="1" t="s">
        <v>670</v>
      </c>
      <c r="C459" s="1">
        <v>46205</v>
      </c>
      <c r="D459" t="str">
        <f>VLOOKUP(B459,Trades!A$1:N101251,3,FALSE)</f>
        <v>PLTR</v>
      </c>
      <c r="E459" t="s">
        <v>61</v>
      </c>
      <c r="F459">
        <v>130.72</v>
      </c>
      <c r="G459">
        <v>10</v>
      </c>
      <c r="H459">
        <f>IF(VLOOKUP(B459,Trades!A:N,4,FALSE)="Long",(F459-VLOOKUP(B459,Trades!A:N,6,FALSE))*G459,(VLOOKUP(B459,Trades!A:N,6,FALSE)-F459)*G459)</f>
        <v>0</v>
      </c>
      <c r="I459">
        <f>H459/VLOOKUP(B459,Trades!A$1:$N$100794,9,FALSE)</f>
        <v>0</v>
      </c>
    </row>
    <row r="460" spans="1:9" x14ac:dyDescent="0.25">
      <c r="A460">
        <f t="shared" si="45"/>
        <v>459</v>
      </c>
      <c r="B460" s="1" t="s">
        <v>671</v>
      </c>
      <c r="C460" s="1">
        <v>46205</v>
      </c>
      <c r="D460" t="str">
        <f>VLOOKUP(B460,Trades!A$1:N101252,3,FALSE)</f>
        <v>PATH</v>
      </c>
      <c r="E460" t="s">
        <v>61</v>
      </c>
      <c r="F460">
        <v>11.44</v>
      </c>
      <c r="G460">
        <v>40</v>
      </c>
      <c r="H460">
        <f>IF(VLOOKUP(B460,Trades!A:N,4,FALSE)="Long",(F460-VLOOKUP(B460,Trades!A:N,6,FALSE))*G460,(VLOOKUP(B460,Trades!A:N,6,FALSE)-F460)*G460)</f>
        <v>-8.0000000000000426</v>
      </c>
      <c r="I460">
        <f>H460/VLOOKUP(B460,Trades!A$1:$N$100794,9,FALSE)</f>
        <v>-0.20000000000000107</v>
      </c>
    </row>
    <row r="461" spans="1:9" x14ac:dyDescent="0.25">
      <c r="A461">
        <f t="shared" si="45"/>
        <v>460</v>
      </c>
      <c r="B461" s="1" t="s">
        <v>672</v>
      </c>
      <c r="C461" s="1">
        <v>46205</v>
      </c>
      <c r="D461" t="str">
        <f>VLOOKUP(B461,Trades!A$1:N101253,3,FALSE)</f>
        <v>GOOG</v>
      </c>
      <c r="E461" t="s">
        <v>61</v>
      </c>
      <c r="F461">
        <v>358.38</v>
      </c>
      <c r="G461">
        <v>3</v>
      </c>
      <c r="H461">
        <f>IF(VLOOKUP(B461,Trades!A:N,4,FALSE)="Long",(F461-VLOOKUP(B461,Trades!A:N,6,FALSE))*G461,(VLOOKUP(B461,Trades!A:N,6,FALSE)-F461)*G461)</f>
        <v>-3.1500000000000341</v>
      </c>
      <c r="I461">
        <f>H461/VLOOKUP(B461,Trades!A$1:$N$100794,9,FALSE)</f>
        <v>-1.0500000000000114</v>
      </c>
    </row>
    <row r="462" spans="1:9" x14ac:dyDescent="0.25">
      <c r="A462">
        <f t="shared" si="45"/>
        <v>461</v>
      </c>
      <c r="B462" s="1" t="s">
        <v>673</v>
      </c>
      <c r="C462" s="1">
        <v>46205</v>
      </c>
      <c r="D462" t="str">
        <f>VLOOKUP(B462,Trades!A$1:N101254,3,FALSE)</f>
        <v>APP</v>
      </c>
      <c r="E462" t="s">
        <v>61</v>
      </c>
      <c r="F462">
        <v>559.26</v>
      </c>
      <c r="G462">
        <v>2</v>
      </c>
      <c r="H462">
        <f>IF(VLOOKUP(B462,Trades!A:N,4,FALSE)="Long",(F462-VLOOKUP(B462,Trades!A:N,6,FALSE))*G462,(VLOOKUP(B462,Trades!A:N,6,FALSE)-F462)*G462)</f>
        <v>-10.720000000000027</v>
      </c>
      <c r="I462">
        <f>H462/VLOOKUP(B462,Trades!A$1:$N$100794,9,FALSE)</f>
        <v>-5.3600000000000136</v>
      </c>
    </row>
    <row r="463" spans="1:9" x14ac:dyDescent="0.25">
      <c r="A463">
        <f t="shared" si="45"/>
        <v>462</v>
      </c>
      <c r="B463" s="1" t="s">
        <v>674</v>
      </c>
      <c r="C463" s="1">
        <v>46205</v>
      </c>
      <c r="D463" t="str">
        <f>VLOOKUP(B463,Trades!A$1:N101255,3,FALSE)</f>
        <v>MU</v>
      </c>
      <c r="E463" t="s">
        <v>61</v>
      </c>
      <c r="F463">
        <v>975.07</v>
      </c>
      <c r="G463">
        <v>1</v>
      </c>
      <c r="H463">
        <f>IF(VLOOKUP(B463,Trades!A:N,4,FALSE)="Long",(F463-VLOOKUP(B463,Trades!A:N,6,FALSE))*G463,(VLOOKUP(B463,Trades!A:N,6,FALSE)-F463)*G463)</f>
        <v>-28.17999999999995</v>
      </c>
      <c r="I463">
        <f>H463/VLOOKUP(B463,Trades!A$1:$N$100794,9,FALSE)</f>
        <v>-28.17999999999995</v>
      </c>
    </row>
    <row r="464" spans="1:9" x14ac:dyDescent="0.25">
      <c r="A464">
        <f t="shared" si="45"/>
        <v>463</v>
      </c>
      <c r="B464" s="1" t="s">
        <v>675</v>
      </c>
      <c r="C464" s="1">
        <v>46205</v>
      </c>
      <c r="D464" t="str">
        <f>VLOOKUP(B464,Trades!A$1:N101256,3,FALSE)</f>
        <v>BABA</v>
      </c>
      <c r="E464" t="s">
        <v>61</v>
      </c>
      <c r="F464">
        <v>95.42</v>
      </c>
      <c r="G464">
        <v>2</v>
      </c>
      <c r="H464">
        <f>IF(VLOOKUP(B464,Trades!A:N,4,FALSE)="Long",(F464-VLOOKUP(B464,Trades!A:N,6,FALSE))*G464,(VLOOKUP(B464,Trades!A:N,6,FALSE)-F464)*G464)</f>
        <v>-8.0799999999999841</v>
      </c>
      <c r="I464">
        <f>H464/VLOOKUP(B464,Trades!A$1:$N$100794,9,FALSE)</f>
        <v>-4.039999999999992</v>
      </c>
    </row>
    <row r="465" spans="1:9" x14ac:dyDescent="0.25">
      <c r="A465">
        <f t="shared" si="45"/>
        <v>464</v>
      </c>
      <c r="B465" s="1" t="s">
        <v>676</v>
      </c>
      <c r="C465" s="1">
        <v>46205</v>
      </c>
      <c r="D465" t="str">
        <f>VLOOKUP(B465,Trades!A$1:N101257,3,FALSE)</f>
        <v>APP</v>
      </c>
      <c r="E465" t="s">
        <v>61</v>
      </c>
      <c r="F465">
        <v>527.92999999999995</v>
      </c>
      <c r="G465">
        <v>1</v>
      </c>
      <c r="H465">
        <f>IF(VLOOKUP(B465,Trades!A:N,4,FALSE)="Long",(F465-VLOOKUP(B465,Trades!A:N,6,FALSE))*G465,(VLOOKUP(B465,Trades!A:N,6,FALSE)-F465)*G465)</f>
        <v>-8.2100000000000364</v>
      </c>
      <c r="I465">
        <f>H465/VLOOKUP(B465,Trades!A$1:$N$100794,9,FALSE)</f>
        <v>-8.2100000000000364</v>
      </c>
    </row>
    <row r="466" spans="1:9" x14ac:dyDescent="0.25">
      <c r="A466">
        <f t="shared" si="45"/>
        <v>465</v>
      </c>
      <c r="B466" s="1" t="s">
        <v>677</v>
      </c>
      <c r="C466" s="1">
        <v>46205</v>
      </c>
      <c r="D466" t="str">
        <f>VLOOKUP(B466,Trades!A$1:N101258,3,FALSE)</f>
        <v>PATH</v>
      </c>
      <c r="E466" t="s">
        <v>61</v>
      </c>
      <c r="F466">
        <v>11.72</v>
      </c>
      <c r="G466">
        <v>70</v>
      </c>
      <c r="H466">
        <f>IF(VLOOKUP(B466,Trades!A:N,4,FALSE)="Long",(F466-VLOOKUP(B466,Trades!A:N,6,FALSE))*G466,(VLOOKUP(B466,Trades!A:N,6,FALSE)-F466)*G466)</f>
        <v>15.400000000000045</v>
      </c>
      <c r="I466">
        <f>H466/VLOOKUP(B466,Trades!A$1:$N$100794,9,FALSE)</f>
        <v>0.22000000000000064</v>
      </c>
    </row>
    <row r="467" spans="1:9" x14ac:dyDescent="0.25">
      <c r="A467">
        <f t="shared" ref="A467:A474" si="46">ROW()-1</f>
        <v>466</v>
      </c>
      <c r="B467" s="1" t="s">
        <v>679</v>
      </c>
      <c r="C467" s="1">
        <v>46209</v>
      </c>
      <c r="D467" t="str">
        <f>VLOOKUP(B467,Trades!A$1:N101259,3,FALSE)</f>
        <v>AMAT</v>
      </c>
      <c r="E467" t="s">
        <v>61</v>
      </c>
      <c r="F467">
        <v>614.04</v>
      </c>
      <c r="G467">
        <v>2</v>
      </c>
      <c r="H467">
        <f>IF(VLOOKUP(B467,Trades!A:N,4,FALSE)="Long",(F467-VLOOKUP(B467,Trades!A:N,6,FALSE))*G467,(VLOOKUP(B467,Trades!A:N,6,FALSE)-F467)*G467)</f>
        <v>-8</v>
      </c>
      <c r="I467">
        <f>H467/VLOOKUP(B467,Trades!A$1:$N$100794,9,FALSE)</f>
        <v>-4</v>
      </c>
    </row>
    <row r="468" spans="1:9" x14ac:dyDescent="0.25">
      <c r="A468">
        <f t="shared" si="46"/>
        <v>467</v>
      </c>
      <c r="B468" s="1" t="s">
        <v>680</v>
      </c>
      <c r="C468" s="1">
        <v>46209</v>
      </c>
      <c r="D468" t="str">
        <f>VLOOKUP(B468,Trades!A$1:N101260,3,FALSE)</f>
        <v>AFRM</v>
      </c>
      <c r="E468" t="s">
        <v>61</v>
      </c>
      <c r="F468">
        <v>84.25</v>
      </c>
      <c r="G468">
        <v>12</v>
      </c>
      <c r="H468">
        <f>IF(VLOOKUP(B468,Trades!A:N,4,FALSE)="Long",(F468-VLOOKUP(B468,Trades!A:N,6,FALSE))*G468,(VLOOKUP(B468,Trades!A:N,6,FALSE)-F468)*G468)</f>
        <v>-10.080000000000041</v>
      </c>
      <c r="I468">
        <f>H468/VLOOKUP(B468,Trades!A$1:$N$100794,9,FALSE)</f>
        <v>-0.84000000000000341</v>
      </c>
    </row>
    <row r="469" spans="1:9" x14ac:dyDescent="0.25">
      <c r="A469">
        <f t="shared" si="46"/>
        <v>468</v>
      </c>
      <c r="B469" s="1" t="s">
        <v>682</v>
      </c>
      <c r="C469" s="1">
        <v>46209</v>
      </c>
      <c r="D469" t="str">
        <f>VLOOKUP(B469,Trades!A$1:N101261,3,FALSE)</f>
        <v>AMAT</v>
      </c>
      <c r="E469" t="s">
        <v>61</v>
      </c>
      <c r="F469">
        <v>610.09</v>
      </c>
      <c r="G469">
        <v>2</v>
      </c>
      <c r="H469">
        <f>IF(VLOOKUP(B469,Trades!A:N,4,FALSE)="Long",(F469-VLOOKUP(B469,Trades!A:N,6,FALSE))*G469,(VLOOKUP(B469,Trades!A:N,6,FALSE)-F469)*G469)</f>
        <v>-13.980000000000018</v>
      </c>
      <c r="I469">
        <f>H469/VLOOKUP(B469,Trades!A$1:$N$100794,9,FALSE)</f>
        <v>-6.9900000000000091</v>
      </c>
    </row>
    <row r="470" spans="1:9" x14ac:dyDescent="0.25">
      <c r="A470">
        <f t="shared" si="46"/>
        <v>469</v>
      </c>
      <c r="B470" s="1" t="s">
        <v>683</v>
      </c>
      <c r="C470" s="1">
        <v>46209</v>
      </c>
      <c r="D470" t="str">
        <f>VLOOKUP(B470,Trades!A$1:N101262,3,FALSE)</f>
        <v>NVDA</v>
      </c>
      <c r="E470" t="s">
        <v>61</v>
      </c>
      <c r="F470">
        <v>195.71</v>
      </c>
      <c r="G470">
        <v>4</v>
      </c>
      <c r="H470">
        <f>IF(VLOOKUP(B470,Trades!A:N,4,FALSE)="Long",(F470-VLOOKUP(B470,Trades!A:N,6,FALSE))*G470,(VLOOKUP(B470,Trades!A:N,6,FALSE)-F470)*G470)</f>
        <v>3.9600000000000364</v>
      </c>
      <c r="I470">
        <f>H470/VLOOKUP(B470,Trades!A$1:$N$100794,9,FALSE)</f>
        <v>0.99000000000000909</v>
      </c>
    </row>
    <row r="471" spans="1:9" x14ac:dyDescent="0.25">
      <c r="A471">
        <f t="shared" si="46"/>
        <v>470</v>
      </c>
      <c r="B471" s="1" t="s">
        <v>681</v>
      </c>
      <c r="C471" s="1">
        <v>46209</v>
      </c>
      <c r="D471" t="str">
        <f>VLOOKUP(B471,Trades!A$1:N101263,3,FALSE)</f>
        <v>APP</v>
      </c>
      <c r="E471" t="s">
        <v>61</v>
      </c>
      <c r="F471">
        <v>543.1</v>
      </c>
      <c r="G471">
        <v>1</v>
      </c>
      <c r="H471">
        <f>IF(VLOOKUP(B471,Trades!A:N,4,FALSE)="Long",(F471-VLOOKUP(B471,Trades!A:N,6,FALSE))*G471,(VLOOKUP(B471,Trades!A:N,6,FALSE)-F471)*G471)</f>
        <v>14.600000000000023</v>
      </c>
      <c r="I471">
        <f>H471/VLOOKUP(B471,Trades!A$1:$N$100794,9,FALSE)</f>
        <v>7.3000000000000114</v>
      </c>
    </row>
    <row r="472" spans="1:9" x14ac:dyDescent="0.25">
      <c r="A472">
        <f t="shared" si="46"/>
        <v>471</v>
      </c>
      <c r="B472" s="1" t="s">
        <v>684</v>
      </c>
      <c r="C472" s="1">
        <v>46209</v>
      </c>
      <c r="D472" t="str">
        <f>VLOOKUP(B472,Trades!A$1:N101264,3,FALSE)</f>
        <v>AMD</v>
      </c>
      <c r="E472" t="s">
        <v>61</v>
      </c>
      <c r="F472">
        <v>564.23</v>
      </c>
      <c r="G472">
        <v>2</v>
      </c>
      <c r="H472">
        <f>IF(VLOOKUP(B472,Trades!A:N,4,FALSE)="Long",(F472-VLOOKUP(B472,Trades!A:N,6,FALSE))*G472,(VLOOKUP(B472,Trades!A:N,6,FALSE)-F472)*G472)</f>
        <v>0.18000000000006366</v>
      </c>
      <c r="I472">
        <f>H472/VLOOKUP(B472,Trades!A$1:$N$100794,9,FALSE)</f>
        <v>9.0000000000031832E-2</v>
      </c>
    </row>
    <row r="473" spans="1:9" x14ac:dyDescent="0.25">
      <c r="A473">
        <f t="shared" si="46"/>
        <v>472</v>
      </c>
      <c r="B473" s="1" t="s">
        <v>685</v>
      </c>
      <c r="C473" s="1">
        <v>46209</v>
      </c>
      <c r="D473" t="str">
        <f>VLOOKUP(B473,Trades!A$1:N101265,3,FALSE)</f>
        <v>AFRM</v>
      </c>
      <c r="E473" t="s">
        <v>61</v>
      </c>
      <c r="F473">
        <v>86.07</v>
      </c>
      <c r="G473">
        <v>12</v>
      </c>
      <c r="H473">
        <f>IF(VLOOKUP(B473,Trades!A:N,4,FALSE)="Long",(F473-VLOOKUP(B473,Trades!A:N,6,FALSE))*G473,(VLOOKUP(B473,Trades!A:N,6,FALSE)-F473)*G473)</f>
        <v>17.03999999999985</v>
      </c>
      <c r="I473">
        <f>H473/VLOOKUP(B473,Trades!A$1:$N$100794,9,FALSE)</f>
        <v>1.4199999999999875</v>
      </c>
    </row>
    <row r="474" spans="1:9" x14ac:dyDescent="0.25">
      <c r="A474">
        <f t="shared" si="46"/>
        <v>473</v>
      </c>
      <c r="B474" s="1" t="s">
        <v>681</v>
      </c>
      <c r="C474" s="1">
        <v>46209</v>
      </c>
      <c r="D474" t="str">
        <f>VLOOKUP(B474,Trades!A$1:N101266,3,FALSE)</f>
        <v>APP</v>
      </c>
      <c r="E474" t="s">
        <v>61</v>
      </c>
      <c r="F474">
        <v>540.41999999999996</v>
      </c>
      <c r="G474">
        <v>1</v>
      </c>
      <c r="H474">
        <f>IF(VLOOKUP(B474,Trades!A:N,4,FALSE)="Long",(F474-VLOOKUP(B474,Trades!A:N,6,FALSE))*G474,(VLOOKUP(B474,Trades!A:N,6,FALSE)-F474)*G474)</f>
        <v>11.919999999999959</v>
      </c>
      <c r="I474">
        <f>H474/VLOOKUP(B474,Trades!A$1:$N$100794,9,FALSE)</f>
        <v>5.9599999999999795</v>
      </c>
    </row>
    <row r="475" spans="1:9" x14ac:dyDescent="0.25">
      <c r="A475">
        <f t="shared" ref="A475:A482" si="47">ROW()-1</f>
        <v>474</v>
      </c>
      <c r="B475" s="1" t="s">
        <v>686</v>
      </c>
      <c r="C475" s="1">
        <v>46210</v>
      </c>
      <c r="D475" t="str">
        <f>VLOOKUP(B475,Trades!A$1:N101267,3,FALSE)</f>
        <v>ELAN</v>
      </c>
      <c r="E475" t="s">
        <v>61</v>
      </c>
      <c r="F475">
        <v>24.68</v>
      </c>
      <c r="G475">
        <v>20</v>
      </c>
      <c r="H475">
        <f>IF(VLOOKUP(B475,Trades!A:N,4,FALSE)="Long",(F475-VLOOKUP(B475,Trades!A:N,6,FALSE))*G475,(VLOOKUP(B475,Trades!A:N,6,FALSE)-F475)*G475)</f>
        <v>-9.3999999999999773</v>
      </c>
      <c r="I475">
        <f>H475/VLOOKUP(B475,Trades!A$1:$N$100794,9,FALSE)</f>
        <v>-0.46999999999999886</v>
      </c>
    </row>
    <row r="476" spans="1:9" x14ac:dyDescent="0.25">
      <c r="A476">
        <f t="shared" si="47"/>
        <v>475</v>
      </c>
      <c r="B476" s="1" t="s">
        <v>687</v>
      </c>
      <c r="C476" s="1">
        <v>46210</v>
      </c>
      <c r="D476" t="str">
        <f>VLOOKUP(B476,Trades!A$1:N101268,3,FALSE)</f>
        <v>PLTR</v>
      </c>
      <c r="E476" t="s">
        <v>61</v>
      </c>
      <c r="F476">
        <v>133.27000000000001</v>
      </c>
      <c r="G476">
        <v>10</v>
      </c>
      <c r="H476">
        <f>IF(VLOOKUP(B476,Trades!A:N,4,FALSE)="Long",(F476-VLOOKUP(B476,Trades!A:N,6,FALSE))*G476,(VLOOKUP(B476,Trades!A:N,6,FALSE)-F476)*G476)</f>
        <v>-7.5</v>
      </c>
      <c r="I476">
        <f>H476/VLOOKUP(B476,Trades!A$1:$N$100794,9,FALSE)</f>
        <v>-0.75</v>
      </c>
    </row>
    <row r="477" spans="1:9" x14ac:dyDescent="0.25">
      <c r="A477">
        <f t="shared" si="47"/>
        <v>476</v>
      </c>
      <c r="B477" s="1" t="s">
        <v>688</v>
      </c>
      <c r="C477" s="1">
        <v>46210</v>
      </c>
      <c r="D477" t="str">
        <f>VLOOKUP(B477,Trades!A$1:N101269,3,FALSE)</f>
        <v>NVDA</v>
      </c>
      <c r="E477" t="s">
        <v>61</v>
      </c>
      <c r="F477">
        <v>191.15</v>
      </c>
      <c r="G477">
        <v>4</v>
      </c>
      <c r="H477">
        <f>IF(VLOOKUP(B477,Trades!A:N,4,FALSE)="Long",(F477-VLOOKUP(B477,Trades!A:N,6,FALSE))*G477,(VLOOKUP(B477,Trades!A:N,6,FALSE)-F477)*G477)</f>
        <v>-6.1200000000000045</v>
      </c>
      <c r="I477">
        <f>H477/VLOOKUP(B477,Trades!A$1:$N$100794,9,FALSE)</f>
        <v>-1.5300000000000011</v>
      </c>
    </row>
    <row r="478" spans="1:9" x14ac:dyDescent="0.25">
      <c r="A478">
        <f t="shared" si="47"/>
        <v>477</v>
      </c>
      <c r="B478" s="1" t="s">
        <v>689</v>
      </c>
      <c r="C478" s="1">
        <v>46210</v>
      </c>
      <c r="D478" t="str">
        <f>VLOOKUP(B478,Trades!A$1:N101270,3,FALSE)</f>
        <v>GOOG</v>
      </c>
      <c r="E478" t="s">
        <v>61</v>
      </c>
      <c r="F478">
        <v>367.41</v>
      </c>
      <c r="G478">
        <v>3</v>
      </c>
      <c r="H478">
        <f>IF(VLOOKUP(B478,Trades!A:N,4,FALSE)="Long",(F478-VLOOKUP(B478,Trades!A:N,6,FALSE))*G478,(VLOOKUP(B478,Trades!A:N,6,FALSE)-F478)*G478)</f>
        <v>-5.939999999999884</v>
      </c>
      <c r="I478">
        <f>H478/VLOOKUP(B478,Trades!A$1:$N$100794,9,FALSE)</f>
        <v>-1.9799999999999613</v>
      </c>
    </row>
    <row r="479" spans="1:9" x14ac:dyDescent="0.25">
      <c r="A479">
        <f t="shared" si="47"/>
        <v>478</v>
      </c>
      <c r="B479" s="1" t="s">
        <v>690</v>
      </c>
      <c r="C479" s="1">
        <v>46210</v>
      </c>
      <c r="D479" t="str">
        <f>VLOOKUP(B479,Trades!A$1:N101271,3,FALSE)</f>
        <v>APP</v>
      </c>
      <c r="E479" t="s">
        <v>61</v>
      </c>
      <c r="F479">
        <v>532.08000000000004</v>
      </c>
      <c r="G479">
        <v>3</v>
      </c>
      <c r="H479">
        <f>IF(VLOOKUP(B479,Trades!A:N,4,FALSE)="Long",(F479-VLOOKUP(B479,Trades!A:N,6,FALSE))*G479,(VLOOKUP(B479,Trades!A:N,6,FALSE)-F479)*G479)</f>
        <v>12.450000000000273</v>
      </c>
      <c r="I479">
        <f>H479/VLOOKUP(B479,Trades!A$1:$N$100794,9,FALSE)</f>
        <v>4.1500000000000909</v>
      </c>
    </row>
    <row r="480" spans="1:9" x14ac:dyDescent="0.25">
      <c r="A480">
        <f t="shared" si="47"/>
        <v>479</v>
      </c>
      <c r="B480" s="1" t="s">
        <v>691</v>
      </c>
      <c r="C480" s="1">
        <v>46210</v>
      </c>
      <c r="D480" t="str">
        <f>VLOOKUP(B480,Trades!A$1:N101272,3,FALSE)</f>
        <v>GTLB</v>
      </c>
      <c r="E480" t="s">
        <v>61</v>
      </c>
      <c r="F480">
        <v>33.090000000000003</v>
      </c>
      <c r="G480">
        <v>20</v>
      </c>
      <c r="H480">
        <f>IF(VLOOKUP(B480,Trades!A:N,4,FALSE)="Long",(F480-VLOOKUP(B480,Trades!A:N,6,FALSE))*G480,(VLOOKUP(B480,Trades!A:N,6,FALSE)-F480)*G480)</f>
        <v>0.20000000000010232</v>
      </c>
      <c r="I480">
        <f>H480/VLOOKUP(B480,Trades!A$1:$N$100794,9,FALSE)</f>
        <v>1.0000000000005116E-2</v>
      </c>
    </row>
    <row r="481" spans="1:9" x14ac:dyDescent="0.25">
      <c r="A481">
        <f t="shared" si="47"/>
        <v>480</v>
      </c>
      <c r="B481" s="1" t="s">
        <v>692</v>
      </c>
      <c r="C481" s="1">
        <v>46210</v>
      </c>
      <c r="D481" t="str">
        <f>VLOOKUP(B481,Trades!A$1:N101273,3,FALSE)</f>
        <v>AAPL</v>
      </c>
      <c r="E481" t="s">
        <v>61</v>
      </c>
      <c r="F481">
        <v>312.08</v>
      </c>
      <c r="G481">
        <v>3</v>
      </c>
      <c r="H481">
        <f>IF(VLOOKUP(B481,Trades!A:N,4,FALSE)="Long",(F481-VLOOKUP(B481,Trades!A:N,6,FALSE))*G481,(VLOOKUP(B481,Trades!A:N,6,FALSE)-F481)*G481)</f>
        <v>-1.980000000000075</v>
      </c>
      <c r="I481">
        <f>H481/VLOOKUP(B481,Trades!A$1:$N$100794,9,FALSE)</f>
        <v>-0.66000000000002501</v>
      </c>
    </row>
    <row r="482" spans="1:9" x14ac:dyDescent="0.25">
      <c r="A482">
        <f t="shared" si="47"/>
        <v>481</v>
      </c>
      <c r="B482" s="1" t="s">
        <v>693</v>
      </c>
      <c r="C482" s="1">
        <v>46210</v>
      </c>
      <c r="D482" t="str">
        <f>VLOOKUP(B482,Trades!A$1:N101274,3,FALSE)</f>
        <v>GOOG</v>
      </c>
      <c r="E482" t="s">
        <v>61</v>
      </c>
      <c r="F482">
        <v>364.51</v>
      </c>
      <c r="G482">
        <v>3</v>
      </c>
      <c r="H482">
        <f>IF(VLOOKUP(B482,Trades!A:N,4,FALSE)="Long",(F482-VLOOKUP(B482,Trades!A:N,6,FALSE))*G482,(VLOOKUP(B482,Trades!A:N,6,FALSE)-F482)*G482)</f>
        <v>-5.9400000000000546</v>
      </c>
      <c r="I482">
        <f>H482/VLOOKUP(B482,Trades!A$1:$N$100794,9,FALSE)</f>
        <v>-1.9800000000000182</v>
      </c>
    </row>
    <row r="483" spans="1:9" x14ac:dyDescent="0.25">
      <c r="A483">
        <f t="shared" ref="A483:A488" si="48">ROW()-1</f>
        <v>482</v>
      </c>
      <c r="B483" s="1" t="s">
        <v>694</v>
      </c>
      <c r="C483" s="1">
        <v>46211</v>
      </c>
      <c r="D483" t="str">
        <f>VLOOKUP(B483,Trades!A$1:N101275,3,FALSE)</f>
        <v>APP</v>
      </c>
      <c r="E483" t="s">
        <v>61</v>
      </c>
      <c r="F483">
        <v>515.36</v>
      </c>
      <c r="G483">
        <v>3</v>
      </c>
      <c r="H483">
        <f>IF(VLOOKUP(B483,Trades!A:N,4,FALSE)="Long",(F483-VLOOKUP(B483,Trades!A:N,6,FALSE))*G483,(VLOOKUP(B483,Trades!A:N,6,FALSE)-F483)*G483)</f>
        <v>-12.809999999999945</v>
      </c>
      <c r="I483">
        <f>H483/VLOOKUP(B483,Trades!A$1:$N$100794,9,FALSE)</f>
        <v>-4.2699999999999818</v>
      </c>
    </row>
    <row r="484" spans="1:9" x14ac:dyDescent="0.25">
      <c r="A484">
        <f t="shared" si="48"/>
        <v>483</v>
      </c>
      <c r="B484" s="1" t="s">
        <v>695</v>
      </c>
      <c r="C484" s="1">
        <v>46211</v>
      </c>
      <c r="D484" t="str">
        <f>VLOOKUP(B484,Trades!A$1:N101276,3,FALSE)</f>
        <v>APP</v>
      </c>
      <c r="E484" t="s">
        <v>61</v>
      </c>
      <c r="F484">
        <v>513.71</v>
      </c>
      <c r="G484">
        <v>3</v>
      </c>
      <c r="H484">
        <f>IF(VLOOKUP(B484,Trades!A:N,4,FALSE)="Long",(F484-VLOOKUP(B484,Trades!A:N,6,FALSE))*G484,(VLOOKUP(B484,Trades!A:N,6,FALSE)-F484)*G484)</f>
        <v>-18.75</v>
      </c>
      <c r="I484">
        <f>H484/VLOOKUP(B484,Trades!A$1:$N$100794,9,FALSE)</f>
        <v>-6.25</v>
      </c>
    </row>
    <row r="485" spans="1:9" x14ac:dyDescent="0.25">
      <c r="A485">
        <f t="shared" si="48"/>
        <v>484</v>
      </c>
      <c r="B485" s="1" t="s">
        <v>696</v>
      </c>
      <c r="C485" s="1">
        <v>46211</v>
      </c>
      <c r="D485" t="str">
        <f>VLOOKUP(B485,Trades!A$1:N101277,3,FALSE)</f>
        <v>NVDA</v>
      </c>
      <c r="E485" t="s">
        <v>61</v>
      </c>
      <c r="F485">
        <v>196.19</v>
      </c>
      <c r="G485">
        <v>6</v>
      </c>
      <c r="H485">
        <f>IF(VLOOKUP(B485,Trades!A:N,4,FALSE)="Long",(F485-VLOOKUP(B485,Trades!A:N,6,FALSE))*G485,(VLOOKUP(B485,Trades!A:N,6,FALSE)-F485)*G485)</f>
        <v>-9.3600000000000136</v>
      </c>
      <c r="I485">
        <f>H485/VLOOKUP(B485,Trades!A$1:$N$100794,9,FALSE)</f>
        <v>-1.5600000000000023</v>
      </c>
    </row>
    <row r="486" spans="1:9" x14ac:dyDescent="0.25">
      <c r="A486">
        <f t="shared" si="48"/>
        <v>485</v>
      </c>
      <c r="B486" s="1" t="s">
        <v>697</v>
      </c>
      <c r="C486" s="1">
        <v>46211</v>
      </c>
      <c r="D486" t="str">
        <f>VLOOKUP(B486,Trades!A$1:N101278,3,FALSE)</f>
        <v>MU</v>
      </c>
      <c r="E486" t="s">
        <v>61</v>
      </c>
      <c r="F486">
        <v>933.89</v>
      </c>
      <c r="G486">
        <v>2</v>
      </c>
      <c r="H486">
        <f>IF(VLOOKUP(B486,Trades!A:N,4,FALSE)="Long",(F486-VLOOKUP(B486,Trades!A:N,6,FALSE))*G486,(VLOOKUP(B486,Trades!A:N,6,FALSE)-F486)*G486)</f>
        <v>-16.220000000000027</v>
      </c>
      <c r="I486">
        <f>H486/VLOOKUP(B486,Trades!A$1:$N$100794,9,FALSE)</f>
        <v>-8.1100000000000136</v>
      </c>
    </row>
    <row r="487" spans="1:9" x14ac:dyDescent="0.25">
      <c r="A487">
        <f t="shared" si="48"/>
        <v>486</v>
      </c>
      <c r="B487" s="1" t="s">
        <v>698</v>
      </c>
      <c r="C487" s="1">
        <v>46211</v>
      </c>
      <c r="D487" t="str">
        <f>VLOOKUP(B487,Trades!A$1:N101279,3,FALSE)</f>
        <v>APP</v>
      </c>
      <c r="E487" t="s">
        <v>61</v>
      </c>
      <c r="F487">
        <v>522.83000000000004</v>
      </c>
      <c r="G487">
        <v>1</v>
      </c>
      <c r="H487">
        <f>IF(VLOOKUP(B487,Trades!A:N,4,FALSE)="Long",(F487-VLOOKUP(B487,Trades!A:N,6,FALSE))*G487,(VLOOKUP(B487,Trades!A:N,6,FALSE)-F487)*G487)</f>
        <v>11.740000000000066</v>
      </c>
      <c r="I487">
        <f>H487/VLOOKUP(B487,Trades!A$1:$N$100794,9,FALSE)</f>
        <v>3.9133333333333553</v>
      </c>
    </row>
    <row r="488" spans="1:9" x14ac:dyDescent="0.25">
      <c r="A488">
        <f t="shared" si="48"/>
        <v>487</v>
      </c>
      <c r="B488" s="1" t="s">
        <v>698</v>
      </c>
      <c r="C488" s="1">
        <v>46211</v>
      </c>
      <c r="D488" t="str">
        <f>VLOOKUP(B488,Trades!A$1:N101280,3,FALSE)</f>
        <v>APP</v>
      </c>
      <c r="E488" t="s">
        <v>61</v>
      </c>
      <c r="F488">
        <v>526.27</v>
      </c>
      <c r="G488">
        <v>2</v>
      </c>
      <c r="H488">
        <f>IF(VLOOKUP(B488,Trades!A:N,4,FALSE)="Long",(F488-VLOOKUP(B488,Trades!A:N,6,FALSE))*G488,(VLOOKUP(B488,Trades!A:N,6,FALSE)-F488)*G488)</f>
        <v>30.360000000000014</v>
      </c>
      <c r="I488">
        <f>H488/VLOOKUP(B488,Trades!A$1:$N$100794,9,FALSE)</f>
        <v>10.120000000000005</v>
      </c>
    </row>
    <row r="489" spans="1:9" x14ac:dyDescent="0.25">
      <c r="A489">
        <f t="shared" ref="A489:A499" si="49">ROW()-1</f>
        <v>488</v>
      </c>
      <c r="B489" s="1" t="s">
        <v>700</v>
      </c>
      <c r="C489" s="1">
        <v>46212</v>
      </c>
      <c r="D489" t="str">
        <f>VLOOKUP(B489,Trades!A$1:N101281,3,FALSE)</f>
        <v>TSM</v>
      </c>
      <c r="E489" t="s">
        <v>61</v>
      </c>
      <c r="F489">
        <v>441.95</v>
      </c>
      <c r="G489">
        <v>3</v>
      </c>
      <c r="H489">
        <f>IF(VLOOKUP(B489,Trades!A:N,4,FALSE)="Long",(F489-VLOOKUP(B489,Trades!A:N,6,FALSE))*G489,(VLOOKUP(B489,Trades!A:N,6,FALSE)-F489)*G489)</f>
        <v>-7.0800000000000409</v>
      </c>
      <c r="I489">
        <f>H489/VLOOKUP(B489,Trades!A$1:$N$100794,9,FALSE)</f>
        <v>-2.3600000000000136</v>
      </c>
    </row>
    <row r="490" spans="1:9" x14ac:dyDescent="0.25">
      <c r="A490">
        <f t="shared" si="49"/>
        <v>489</v>
      </c>
      <c r="B490" s="1" t="s">
        <v>701</v>
      </c>
      <c r="C490" s="1">
        <v>46212</v>
      </c>
      <c r="D490" t="str">
        <f>VLOOKUP(B490,Trades!A$1:N101282,3,FALSE)</f>
        <v>PLTR</v>
      </c>
      <c r="E490" t="s">
        <v>61</v>
      </c>
      <c r="F490">
        <v>126.72</v>
      </c>
      <c r="G490">
        <v>10</v>
      </c>
      <c r="H490">
        <f>IF(VLOOKUP(B490,Trades!A:N,4,FALSE)="Long",(F490-VLOOKUP(B490,Trades!A:N,6,FALSE))*G490,(VLOOKUP(B490,Trades!A:N,6,FALSE)-F490)*G490)</f>
        <v>-11.200000000000045</v>
      </c>
      <c r="I490">
        <f>H490/VLOOKUP(B490,Trades!A$1:$N$100794,9,FALSE)</f>
        <v>-1.1200000000000045</v>
      </c>
    </row>
    <row r="491" spans="1:9" x14ac:dyDescent="0.25">
      <c r="A491">
        <f t="shared" si="49"/>
        <v>490</v>
      </c>
      <c r="B491" s="1" t="s">
        <v>702</v>
      </c>
      <c r="C491" s="1">
        <v>46212</v>
      </c>
      <c r="D491" t="str">
        <f>VLOOKUP(B491,Trades!A$1:N101283,3,FALSE)</f>
        <v>APP</v>
      </c>
      <c r="E491" t="s">
        <v>61</v>
      </c>
      <c r="F491">
        <v>516.16999999999996</v>
      </c>
      <c r="G491">
        <v>3</v>
      </c>
      <c r="H491">
        <f>IF(VLOOKUP(B491,Trades!A:N,4,FALSE)="Long",(F491-VLOOKUP(B491,Trades!A:N,6,FALSE))*G491,(VLOOKUP(B491,Trades!A:N,6,FALSE)-F491)*G491)</f>
        <v>-9.7200000000000273</v>
      </c>
      <c r="I491">
        <f>H491/VLOOKUP(B491,Trades!A$1:$N$100794,9,FALSE)</f>
        <v>-3.2400000000000091</v>
      </c>
    </row>
    <row r="492" spans="1:9" x14ac:dyDescent="0.25">
      <c r="A492">
        <f t="shared" si="49"/>
        <v>491</v>
      </c>
      <c r="B492" s="1" t="s">
        <v>703</v>
      </c>
      <c r="C492" s="1">
        <v>46212</v>
      </c>
      <c r="D492" t="str">
        <f>VLOOKUP(B492,Trades!A$1:N101284,3,FALSE)</f>
        <v>TSM</v>
      </c>
      <c r="E492" t="s">
        <v>61</v>
      </c>
      <c r="F492">
        <v>440.89</v>
      </c>
      <c r="G492">
        <v>3</v>
      </c>
      <c r="H492">
        <f>IF(VLOOKUP(B492,Trades!A:N,4,FALSE)="Long",(F492-VLOOKUP(B492,Trades!A:N,6,FALSE))*G492,(VLOOKUP(B492,Trades!A:N,6,FALSE)-F492)*G492)</f>
        <v>-9</v>
      </c>
      <c r="I492">
        <f>H492/VLOOKUP(B492,Trades!A$1:$N$100794,9,FALSE)</f>
        <v>-3</v>
      </c>
    </row>
    <row r="493" spans="1:9" x14ac:dyDescent="0.25">
      <c r="A493">
        <f t="shared" si="49"/>
        <v>492</v>
      </c>
      <c r="B493" s="1" t="s">
        <v>704</v>
      </c>
      <c r="C493" s="1">
        <v>46212</v>
      </c>
      <c r="D493" t="str">
        <f>VLOOKUP(B493,Trades!A$1:N101285,3,FALSE)</f>
        <v>MU</v>
      </c>
      <c r="E493" t="s">
        <v>61</v>
      </c>
      <c r="F493">
        <v>1015.2</v>
      </c>
      <c r="G493">
        <v>1</v>
      </c>
      <c r="H493">
        <f>IF(VLOOKUP(B493,Trades!A:N,4,FALSE)="Long",(F493-VLOOKUP(B493,Trades!A:N,6,FALSE))*G493,(VLOOKUP(B493,Trades!A:N,6,FALSE)-F493)*G493)</f>
        <v>-4.2599999999999909</v>
      </c>
      <c r="I493">
        <f>H493/VLOOKUP(B493,Trades!A$1:$N$100794,9,FALSE)</f>
        <v>-4.2599999999999909</v>
      </c>
    </row>
    <row r="494" spans="1:9" x14ac:dyDescent="0.25">
      <c r="A494">
        <f t="shared" si="49"/>
        <v>493</v>
      </c>
      <c r="B494" s="1" t="s">
        <v>705</v>
      </c>
      <c r="C494" s="1">
        <v>46213</v>
      </c>
      <c r="D494" t="str">
        <f>VLOOKUP(B494,Trades!A$1:N101286,3,FALSE)</f>
        <v>PATH</v>
      </c>
      <c r="E494" t="s">
        <v>61</v>
      </c>
      <c r="F494">
        <v>12.015000000000001</v>
      </c>
      <c r="G494">
        <v>70</v>
      </c>
      <c r="H494">
        <f>IF(VLOOKUP(B494,Trades!A:N,4,FALSE)="Long",(F494-VLOOKUP(B494,Trades!A:N,6,FALSE))*G494,(VLOOKUP(B494,Trades!A:N,6,FALSE)-F494)*G494)</f>
        <v>-14.350000000000005</v>
      </c>
      <c r="I494">
        <f>H494/VLOOKUP(B494,Trades!A$1:$N$100794,9,FALSE)</f>
        <v>-0.20500000000000007</v>
      </c>
    </row>
    <row r="495" spans="1:9" x14ac:dyDescent="0.25">
      <c r="A495">
        <f t="shared" si="49"/>
        <v>494</v>
      </c>
      <c r="B495" s="1" t="s">
        <v>706</v>
      </c>
      <c r="C495" s="1">
        <v>46213</v>
      </c>
      <c r="D495" t="str">
        <f>VLOOKUP(B495,Trades!A$1:N101287,3,FALSE)</f>
        <v>GOOG</v>
      </c>
      <c r="E495" t="s">
        <v>61</v>
      </c>
      <c r="F495">
        <v>353.04</v>
      </c>
      <c r="G495">
        <v>4</v>
      </c>
      <c r="H495">
        <f>IF(VLOOKUP(B495,Trades!A:N,4,FALSE)="Long",(F495-VLOOKUP(B495,Trades!A:N,6,FALSE))*G495,(VLOOKUP(B495,Trades!A:N,6,FALSE)-F495)*G495)</f>
        <v>-3.959999999999809</v>
      </c>
      <c r="I495">
        <f>H495/VLOOKUP(B495,Trades!A$1:$N$100794,9,FALSE)</f>
        <v>-0.98999999999995225</v>
      </c>
    </row>
    <row r="496" spans="1:9" x14ac:dyDescent="0.25">
      <c r="A496">
        <f t="shared" si="49"/>
        <v>495</v>
      </c>
      <c r="B496" s="1" t="s">
        <v>707</v>
      </c>
      <c r="C496" s="1">
        <v>46213</v>
      </c>
      <c r="D496" t="str">
        <f>VLOOKUP(B496,Trades!A$1:N101288,3,FALSE)</f>
        <v>GTLB</v>
      </c>
      <c r="E496" t="s">
        <v>61</v>
      </c>
      <c r="F496">
        <v>33.92</v>
      </c>
      <c r="G496">
        <v>20</v>
      </c>
      <c r="H496">
        <f>IF(VLOOKUP(B496,Trades!A:N,4,FALSE)="Long",(F496-VLOOKUP(B496,Trades!A:N,6,FALSE))*G496,(VLOOKUP(B496,Trades!A:N,6,FALSE)-F496)*G496)</f>
        <v>-6.4000000000000057</v>
      </c>
      <c r="I496">
        <f>H496/VLOOKUP(B496,Trades!A$1:$N$100794,9,FALSE)</f>
        <v>-0.32000000000000028</v>
      </c>
    </row>
    <row r="497" spans="1:9" x14ac:dyDescent="0.25">
      <c r="A497">
        <f t="shared" si="49"/>
        <v>496</v>
      </c>
      <c r="B497" s="1" t="s">
        <v>708</v>
      </c>
      <c r="C497" s="1">
        <v>46213</v>
      </c>
      <c r="D497" t="str">
        <f>VLOOKUP(B497,Trades!A$1:N101289,3,FALSE)</f>
        <v>BABA</v>
      </c>
      <c r="E497" t="s">
        <v>61</v>
      </c>
      <c r="F497">
        <v>113.38</v>
      </c>
      <c r="G497">
        <v>10</v>
      </c>
      <c r="H497">
        <f>IF(VLOOKUP(B497,Trades!A:N,4,FALSE)="Long",(F497-VLOOKUP(B497,Trades!A:N,6,FALSE))*G497,(VLOOKUP(B497,Trades!A:N,6,FALSE)-F497)*G497)</f>
        <v>-10.300000000000011</v>
      </c>
      <c r="I497">
        <f>H497/VLOOKUP(B497,Trades!A$1:$N$100794,9,FALSE)</f>
        <v>-1.0300000000000011</v>
      </c>
    </row>
    <row r="498" spans="1:9" x14ac:dyDescent="0.25">
      <c r="A498">
        <f t="shared" si="49"/>
        <v>497</v>
      </c>
      <c r="B498" s="1" t="s">
        <v>709</v>
      </c>
      <c r="C498" s="1">
        <v>46213</v>
      </c>
      <c r="D498" t="str">
        <f>VLOOKUP(B498,Trades!A$1:N101290,3,FALSE)</f>
        <v>APP</v>
      </c>
      <c r="E498" t="s">
        <v>61</v>
      </c>
      <c r="F498">
        <v>513</v>
      </c>
      <c r="G498">
        <v>3</v>
      </c>
      <c r="H498">
        <f>IF(VLOOKUP(B498,Trades!A:N,4,FALSE)="Long",(F498-VLOOKUP(B498,Trades!A:N,6,FALSE))*G498,(VLOOKUP(B498,Trades!A:N,6,FALSE)-F498)*G498)</f>
        <v>-16.020000000000095</v>
      </c>
      <c r="I498">
        <f>H498/VLOOKUP(B498,Trades!A$1:$N$100794,9,FALSE)</f>
        <v>-5.3400000000000318</v>
      </c>
    </row>
    <row r="499" spans="1:9" x14ac:dyDescent="0.25">
      <c r="A499">
        <f t="shared" si="49"/>
        <v>498</v>
      </c>
      <c r="B499" s="1" t="s">
        <v>710</v>
      </c>
      <c r="C499" s="1">
        <v>46213</v>
      </c>
      <c r="D499" t="str">
        <f>VLOOKUP(B499,Trades!A$1:N101291,3,FALSE)</f>
        <v>APP</v>
      </c>
      <c r="E499" t="s">
        <v>61</v>
      </c>
      <c r="F499">
        <v>510</v>
      </c>
      <c r="G499">
        <v>2</v>
      </c>
      <c r="H499">
        <f>IF(VLOOKUP(B499,Trades!A:N,4,FALSE)="Long",(F499-VLOOKUP(B499,Trades!A:N,6,FALSE))*G499,(VLOOKUP(B499,Trades!A:N,6,FALSE)-F499)*G499)</f>
        <v>-9.8599999999999</v>
      </c>
      <c r="I499">
        <f>H499/VLOOKUP(B499,Trades!A$1:$N$100794,9,FALSE)</f>
        <v>-4.92999999999995</v>
      </c>
    </row>
    <row r="500" spans="1:9" x14ac:dyDescent="0.25">
      <c r="A500">
        <f t="shared" ref="A500:A509" si="50">ROW()-1</f>
        <v>499</v>
      </c>
      <c r="B500" s="1" t="s">
        <v>711</v>
      </c>
      <c r="C500" s="1">
        <v>46216</v>
      </c>
      <c r="D500" t="str">
        <f>VLOOKUP(B500,Trades!A$1:N101292,3,FALSE)</f>
        <v>BABA</v>
      </c>
      <c r="E500" t="s">
        <v>61</v>
      </c>
      <c r="F500">
        <v>113</v>
      </c>
      <c r="G500">
        <v>10</v>
      </c>
      <c r="H500">
        <f>IF(VLOOKUP(B500,Trades!A:N,4,FALSE)="Long",(F500-VLOOKUP(B500,Trades!A:N,6,FALSE))*G500,(VLOOKUP(B500,Trades!A:N,6,FALSE)-F500)*G500)</f>
        <v>-7.6999999999999602</v>
      </c>
      <c r="I500">
        <f>H500/VLOOKUP(B500,Trades!A$1:$N$100794,9,FALSE)</f>
        <v>-0.76999999999999602</v>
      </c>
    </row>
    <row r="501" spans="1:9" x14ac:dyDescent="0.25">
      <c r="A501">
        <f t="shared" si="50"/>
        <v>500</v>
      </c>
      <c r="B501" s="1" t="s">
        <v>712</v>
      </c>
      <c r="C501" s="1">
        <v>46216</v>
      </c>
      <c r="D501" t="str">
        <f>VLOOKUP(B501,Trades!A$1:N101293,3,FALSE)</f>
        <v>D</v>
      </c>
      <c r="E501" t="s">
        <v>61</v>
      </c>
      <c r="F501">
        <v>70.59</v>
      </c>
      <c r="G501">
        <v>20</v>
      </c>
      <c r="H501">
        <f>IF(VLOOKUP(B501,Trades!A:N,4,FALSE)="Long",(F501-VLOOKUP(B501,Trades!A:N,6,FALSE))*G501,(VLOOKUP(B501,Trades!A:N,6,FALSE)-F501)*G501)</f>
        <v>-6.2000000000000455</v>
      </c>
      <c r="I501">
        <f>H501/VLOOKUP(B501,Trades!A$1:$N$100794,9,FALSE)</f>
        <v>-0.31000000000000227</v>
      </c>
    </row>
    <row r="502" spans="1:9" x14ac:dyDescent="0.25">
      <c r="A502">
        <f t="shared" si="50"/>
        <v>501</v>
      </c>
      <c r="B502" s="1" t="s">
        <v>713</v>
      </c>
      <c r="C502" s="1">
        <v>46216</v>
      </c>
      <c r="D502" t="str">
        <f>VLOOKUP(B502,Trades!A$1:N101294,3,FALSE)</f>
        <v>META</v>
      </c>
      <c r="E502" t="s">
        <v>61</v>
      </c>
      <c r="F502">
        <v>662.36</v>
      </c>
      <c r="G502">
        <v>6</v>
      </c>
      <c r="H502">
        <f>IF(VLOOKUP(B502,Trades!A:N,4,FALSE)="Long",(F502-VLOOKUP(B502,Trades!A:N,6,FALSE))*G502,(VLOOKUP(B502,Trades!A:N,6,FALSE)-F502)*G502)</f>
        <v>-2.1000000000001364</v>
      </c>
      <c r="I502">
        <f>H502/VLOOKUP(B502,Trades!A$1:$N$100794,9,FALSE)</f>
        <v>-0.35000000000002274</v>
      </c>
    </row>
    <row r="503" spans="1:9" x14ac:dyDescent="0.25">
      <c r="A503">
        <f t="shared" si="50"/>
        <v>502</v>
      </c>
      <c r="B503" s="1" t="s">
        <v>714</v>
      </c>
      <c r="C503" s="1">
        <v>46217</v>
      </c>
      <c r="D503" t="str">
        <f>VLOOKUP(B503,Trades!A$1:N101295,3,FALSE)</f>
        <v>PATH</v>
      </c>
      <c r="E503" t="s">
        <v>61</v>
      </c>
      <c r="F503">
        <v>11.29</v>
      </c>
      <c r="G503">
        <v>18</v>
      </c>
      <c r="H503">
        <f>IF(VLOOKUP(B503,Trades!A:N,4,FALSE)="Long",(F503-VLOOKUP(B503,Trades!A:N,6,FALSE))*G503,(VLOOKUP(B503,Trades!A:N,6,FALSE)-F503)*G503)</f>
        <v>-9.3600000000000243</v>
      </c>
      <c r="I503">
        <f>H503/VLOOKUP(B503,Trades!A$1:$N$100794,9,FALSE)</f>
        <v>-0.46800000000000119</v>
      </c>
    </row>
    <row r="504" spans="1:9" x14ac:dyDescent="0.25">
      <c r="A504">
        <f t="shared" si="50"/>
        <v>503</v>
      </c>
      <c r="B504" s="1" t="s">
        <v>715</v>
      </c>
      <c r="C504" s="1">
        <v>46217</v>
      </c>
      <c r="D504" t="str">
        <f>VLOOKUP(B504,Trades!A$1:N101296,3,FALSE)</f>
        <v>ROKU</v>
      </c>
      <c r="E504" t="s">
        <v>61</v>
      </c>
      <c r="F504">
        <v>141.69999999999999</v>
      </c>
      <c r="G504">
        <v>10</v>
      </c>
      <c r="H504">
        <f>IF(VLOOKUP(B504,Trades!A:N,4,FALSE)="Long",(F504-VLOOKUP(B504,Trades!A:N,6,FALSE))*G504,(VLOOKUP(B504,Trades!A:N,6,FALSE)-F504)*G504)</f>
        <v>-3.1000000000000227</v>
      </c>
      <c r="I504">
        <f>H504/VLOOKUP(B504,Trades!A$1:$N$100794,9,FALSE)</f>
        <v>-0.31000000000000227</v>
      </c>
    </row>
    <row r="505" spans="1:9" x14ac:dyDescent="0.25">
      <c r="A505">
        <f t="shared" si="50"/>
        <v>504</v>
      </c>
      <c r="B505" s="1" t="s">
        <v>716</v>
      </c>
      <c r="C505" s="1">
        <v>46217</v>
      </c>
      <c r="D505" t="str">
        <f>VLOOKUP(B505,Trades!A$1:N101297,3,FALSE)</f>
        <v>AFRM</v>
      </c>
      <c r="E505" t="s">
        <v>61</v>
      </c>
      <c r="F505">
        <v>82.88</v>
      </c>
      <c r="G505">
        <v>12</v>
      </c>
      <c r="H505">
        <f>IF(VLOOKUP(B505,Trades!A:N,4,FALSE)="Long",(F505-VLOOKUP(B505,Trades!A:N,6,FALSE))*G505,(VLOOKUP(B505,Trades!A:N,6,FALSE)-F505)*G505)</f>
        <v>-4.9200000000001296</v>
      </c>
      <c r="I505">
        <f>H505/VLOOKUP(B505,Trades!A$1:$N$100794,9,FALSE)</f>
        <v>-0.4100000000000108</v>
      </c>
    </row>
    <row r="506" spans="1:9" x14ac:dyDescent="0.25">
      <c r="A506">
        <f t="shared" si="50"/>
        <v>505</v>
      </c>
      <c r="B506" s="1" t="s">
        <v>717</v>
      </c>
      <c r="C506" s="1">
        <v>46217</v>
      </c>
      <c r="D506" t="str">
        <f>VLOOKUP(B506,Trades!A$1:N101298,3,FALSE)</f>
        <v>GOOG</v>
      </c>
      <c r="E506" t="s">
        <v>61</v>
      </c>
      <c r="F506">
        <v>355.39</v>
      </c>
      <c r="G506">
        <v>3</v>
      </c>
      <c r="H506">
        <f>IF(VLOOKUP(B506,Trades!A:N,4,FALSE)="Long",(F506-VLOOKUP(B506,Trades!A:N,6,FALSE))*G506,(VLOOKUP(B506,Trades!A:N,6,FALSE)-F506)*G506)</f>
        <v>11.279999999999973</v>
      </c>
      <c r="I506">
        <f>H506/VLOOKUP(B506,Trades!A$1:$N$100794,9,FALSE)</f>
        <v>3.7599999999999909</v>
      </c>
    </row>
    <row r="507" spans="1:9" x14ac:dyDescent="0.25">
      <c r="A507">
        <f t="shared" si="50"/>
        <v>506</v>
      </c>
      <c r="B507" s="1" t="s">
        <v>719</v>
      </c>
      <c r="C507" s="1">
        <v>46217</v>
      </c>
      <c r="D507" t="str">
        <f>VLOOKUP(B507,Trades!A$1:N101299,3,FALSE)</f>
        <v>APP</v>
      </c>
      <c r="E507" t="s">
        <v>61</v>
      </c>
      <c r="F507">
        <v>450.81</v>
      </c>
      <c r="G507">
        <v>3</v>
      </c>
      <c r="H507">
        <f>IF(VLOOKUP(B507,Trades!A:N,4,FALSE)="Long",(F507-VLOOKUP(B507,Trades!A:N,6,FALSE))*G507,(VLOOKUP(B507,Trades!A:N,6,FALSE)-F507)*G507)</f>
        <v>-0.56999999999999318</v>
      </c>
      <c r="I507">
        <f>H507/VLOOKUP(B507,Trades!A$1:$N$100794,9,FALSE)</f>
        <v>-0.18999999999999773</v>
      </c>
    </row>
    <row r="508" spans="1:9" x14ac:dyDescent="0.25">
      <c r="A508">
        <f t="shared" si="50"/>
        <v>507</v>
      </c>
      <c r="B508" s="1" t="s">
        <v>720</v>
      </c>
      <c r="C508" s="1">
        <v>46217</v>
      </c>
      <c r="D508" t="str">
        <f>VLOOKUP(B508,Trades!A$1:N101300,3,FALSE)</f>
        <v>SHOP</v>
      </c>
      <c r="E508" t="s">
        <v>61</v>
      </c>
      <c r="F508">
        <v>124.14</v>
      </c>
      <c r="G508">
        <v>10</v>
      </c>
      <c r="H508">
        <f>IF(VLOOKUP(B508,Trades!A:N,4,FALSE)="Long",(F508-VLOOKUP(B508,Trades!A:N,6,FALSE))*G508,(VLOOKUP(B508,Trades!A:N,6,FALSE)-F508)*G508)</f>
        <v>-7.5</v>
      </c>
      <c r="I508">
        <f>H508/VLOOKUP(B508,Trades!A$1:$N$100794,9,FALSE)</f>
        <v>-0.75</v>
      </c>
    </row>
    <row r="509" spans="1:9" x14ac:dyDescent="0.25">
      <c r="A509">
        <f t="shared" si="50"/>
        <v>508</v>
      </c>
      <c r="B509" s="1" t="s">
        <v>721</v>
      </c>
      <c r="C509" s="1">
        <v>46217</v>
      </c>
      <c r="D509" t="str">
        <f>VLOOKUP(B509,Trades!A$1:N101301,3,FALSE)</f>
        <v>APP</v>
      </c>
      <c r="E509" t="s">
        <v>61</v>
      </c>
      <c r="F509">
        <v>449.68</v>
      </c>
      <c r="G509">
        <v>1</v>
      </c>
      <c r="H509">
        <f>IF(VLOOKUP(B509,Trades!A:N,4,FALSE)="Long",(F509-VLOOKUP(B509,Trades!A:N,6,FALSE))*G509,(VLOOKUP(B509,Trades!A:N,6,FALSE)-F509)*G509)</f>
        <v>-3.3100000000000023</v>
      </c>
      <c r="I509">
        <f>H509/VLOOKUP(B509,Trades!A$1:$N$100794,9,FALSE)</f>
        <v>-3.3100000000000023</v>
      </c>
    </row>
    <row r="510" spans="1:9" x14ac:dyDescent="0.25">
      <c r="A510">
        <f t="shared" ref="A510:A516" si="51">ROW()-1</f>
        <v>509</v>
      </c>
      <c r="B510" s="1" t="s">
        <v>723</v>
      </c>
      <c r="C510" s="1">
        <v>46218</v>
      </c>
      <c r="D510" t="str">
        <f>VLOOKUP(B510,Trades!A$1:N101302,3,FALSE)</f>
        <v>AMZN</v>
      </c>
      <c r="E510" t="s">
        <v>61</v>
      </c>
      <c r="F510">
        <v>250.77</v>
      </c>
      <c r="G510">
        <v>5</v>
      </c>
      <c r="H510">
        <f>IF(VLOOKUP(B510,Trades!A:N,4,FALSE)="Long",(F510-VLOOKUP(B510,Trades!A:N,6,FALSE))*G510,(VLOOKUP(B510,Trades!A:N,6,FALSE)-F510)*G510)</f>
        <v>-7.1999999999999886</v>
      </c>
      <c r="I510">
        <f>H510/VLOOKUP(B510,Trades!A$1:$N$100794,9,FALSE)</f>
        <v>-1.4399999999999977</v>
      </c>
    </row>
    <row r="511" spans="1:9" x14ac:dyDescent="0.25">
      <c r="A511">
        <f t="shared" si="51"/>
        <v>510</v>
      </c>
      <c r="B511" s="1" t="s">
        <v>725</v>
      </c>
      <c r="C511" s="1">
        <v>46218</v>
      </c>
      <c r="D511" t="str">
        <f>VLOOKUP(B511,Trades!A$1:N101303,3,FALSE)</f>
        <v>KTOS</v>
      </c>
      <c r="E511" t="s">
        <v>61</v>
      </c>
      <c r="F511">
        <v>51.75</v>
      </c>
      <c r="G511">
        <v>10</v>
      </c>
      <c r="H511">
        <f>IF(VLOOKUP(B511,Trades!A:N,4,FALSE)="Long",(F511-VLOOKUP(B511,Trades!A:N,6,FALSE))*G511,(VLOOKUP(B511,Trades!A:N,6,FALSE)-F511)*G511)</f>
        <v>-8.5999999999999943</v>
      </c>
      <c r="I511">
        <f>H511/VLOOKUP(B511,Trades!A$1:$N$100794,9,FALSE)</f>
        <v>-0.85999999999999943</v>
      </c>
    </row>
    <row r="512" spans="1:9" x14ac:dyDescent="0.25">
      <c r="A512">
        <f t="shared" si="51"/>
        <v>511</v>
      </c>
      <c r="B512" s="1" t="s">
        <v>726</v>
      </c>
      <c r="C512" s="1">
        <v>46218</v>
      </c>
      <c r="D512" t="str">
        <f>VLOOKUP(B512,Trades!A$1:N101304,3,FALSE)</f>
        <v>CRWD</v>
      </c>
      <c r="E512" t="s">
        <v>61</v>
      </c>
      <c r="F512">
        <v>210.36</v>
      </c>
      <c r="G512">
        <v>5</v>
      </c>
      <c r="H512">
        <f>IF(VLOOKUP(B512,Trades!A:N,4,FALSE)="Long",(F512-VLOOKUP(B512,Trades!A:N,6,FALSE))*G512,(VLOOKUP(B512,Trades!A:N,6,FALSE)-F512)*G512)</f>
        <v>-5.3499999999999659</v>
      </c>
      <c r="I512">
        <f>H512/VLOOKUP(B512,Trades!A$1:$N$100794,9,FALSE)</f>
        <v>-1.0699999999999932</v>
      </c>
    </row>
    <row r="513" spans="1:9" x14ac:dyDescent="0.25">
      <c r="A513">
        <f t="shared" si="51"/>
        <v>512</v>
      </c>
      <c r="B513" s="1" t="s">
        <v>727</v>
      </c>
      <c r="C513" s="1">
        <v>46218</v>
      </c>
      <c r="D513" t="str">
        <f>VLOOKUP(B513,Trades!A$1:N101305,3,FALSE)</f>
        <v>APP</v>
      </c>
      <c r="E513" t="s">
        <v>61</v>
      </c>
      <c r="F513">
        <v>452.1</v>
      </c>
      <c r="G513">
        <v>4</v>
      </c>
      <c r="H513">
        <f>IF(VLOOKUP(B513,Trades!A:N,4,FALSE)="Long",(F513-VLOOKUP(B513,Trades!A:N,6,FALSE))*G513,(VLOOKUP(B513,Trades!A:N,6,FALSE)-F513)*G513)</f>
        <v>0.40000000000009095</v>
      </c>
      <c r="I513">
        <f>H513/VLOOKUP(B513,Trades!A$1:$N$100794,9,FALSE)</f>
        <v>0.10000000000002274</v>
      </c>
    </row>
    <row r="514" spans="1:9" x14ac:dyDescent="0.25">
      <c r="A514">
        <f t="shared" si="51"/>
        <v>513</v>
      </c>
      <c r="B514" s="1" t="s">
        <v>728</v>
      </c>
      <c r="C514" s="1">
        <v>46219</v>
      </c>
      <c r="D514" t="str">
        <f>VLOOKUP(B514,Trades!A$1:N101306,3,FALSE)</f>
        <v>ABNB</v>
      </c>
      <c r="E514" t="s">
        <v>61</v>
      </c>
      <c r="F514">
        <v>149.5</v>
      </c>
      <c r="G514">
        <v>10</v>
      </c>
      <c r="H514">
        <f>IF(VLOOKUP(B514,Trades!A:N,4,FALSE)="Long",(F514-VLOOKUP(B514,Trades!A:N,6,FALSE))*G514,(VLOOKUP(B514,Trades!A:N,6,FALSE)-F514)*G514)</f>
        <v>-6.6999999999998749</v>
      </c>
      <c r="I514">
        <f>H514/VLOOKUP(B514,Trades!A$1:$N$100794,9,FALSE)</f>
        <v>-0.66999999999998749</v>
      </c>
    </row>
    <row r="515" spans="1:9" x14ac:dyDescent="0.25">
      <c r="A515">
        <f t="shared" si="51"/>
        <v>514</v>
      </c>
      <c r="B515" s="1" t="s">
        <v>729</v>
      </c>
      <c r="C515" s="1">
        <v>46219</v>
      </c>
      <c r="D515" t="str">
        <f>VLOOKUP(B515,Trades!A$1:N101307,3,FALSE)</f>
        <v>CLX</v>
      </c>
      <c r="E515" t="s">
        <v>61</v>
      </c>
      <c r="F515">
        <v>97.3</v>
      </c>
      <c r="G515">
        <v>10</v>
      </c>
      <c r="H515">
        <f>IF(VLOOKUP(B515,Trades!A:N,4,FALSE)="Long",(F515-VLOOKUP(B515,Trades!A:N,6,FALSE))*G515,(VLOOKUP(B515,Trades!A:N,6,FALSE)-F515)*G515)</f>
        <v>-7.4000000000000909</v>
      </c>
      <c r="I515">
        <f>H515/VLOOKUP(B515,Trades!A$1:$N$100794,9,FALSE)</f>
        <v>-0.74000000000000909</v>
      </c>
    </row>
    <row r="516" spans="1:9" x14ac:dyDescent="0.25">
      <c r="A516">
        <f t="shared" si="51"/>
        <v>515</v>
      </c>
      <c r="B516" s="1" t="s">
        <v>730</v>
      </c>
      <c r="C516" s="1">
        <v>46219</v>
      </c>
      <c r="D516" t="str">
        <f>VLOOKUP(B516,Trades!A$1:N101308,3,FALSE)</f>
        <v>AMZN</v>
      </c>
      <c r="E516" t="s">
        <v>61</v>
      </c>
      <c r="F516">
        <v>253.4</v>
      </c>
      <c r="G516">
        <v>5</v>
      </c>
      <c r="H516">
        <f>IF(VLOOKUP(B516,Trades!A:N,4,FALSE)="Long",(F516-VLOOKUP(B516,Trades!A:N,6,FALSE))*G516,(VLOOKUP(B516,Trades!A:N,6,FALSE)-F516)*G516)</f>
        <v>-5.5499999999999261</v>
      </c>
      <c r="I516">
        <f>H516/VLOOKUP(B516,Trades!A$1:$N$100794,9,FALSE)</f>
        <v>-1.1099999999999852</v>
      </c>
    </row>
    <row r="517" spans="1:9" x14ac:dyDescent="0.25">
      <c r="A517">
        <f t="shared" ref="A517:A527" si="52">ROW()-1</f>
        <v>516</v>
      </c>
      <c r="B517" s="1" t="s">
        <v>731</v>
      </c>
      <c r="C517" s="1">
        <v>46219</v>
      </c>
      <c r="D517" t="str">
        <f>VLOOKUP(B517,Trades!A$1:N101309,3,FALSE)</f>
        <v>META</v>
      </c>
      <c r="E517" t="s">
        <v>61</v>
      </c>
      <c r="F517">
        <v>670.56</v>
      </c>
      <c r="G517">
        <v>2</v>
      </c>
      <c r="H517">
        <f>IF(VLOOKUP(B517,Trades!A:N,4,FALSE)="Long",(F517-VLOOKUP(B517,Trades!A:N,6,FALSE))*G517,(VLOOKUP(B517,Trades!A:N,6,FALSE)-F517)*G517)</f>
        <v>-0.10000000000013642</v>
      </c>
      <c r="I517">
        <f>H517/VLOOKUP(B517,Trades!A$1:$N$100794,9,FALSE)</f>
        <v>-5.0000000000068212E-2</v>
      </c>
    </row>
    <row r="518" spans="1:9" x14ac:dyDescent="0.25">
      <c r="A518">
        <f t="shared" si="52"/>
        <v>517</v>
      </c>
      <c r="B518" s="1" t="s">
        <v>732</v>
      </c>
      <c r="C518" s="1">
        <v>46219</v>
      </c>
      <c r="D518" t="str">
        <f>VLOOKUP(B518,Trades!A$1:N101310,3,FALSE)</f>
        <v>APP</v>
      </c>
      <c r="E518" t="s">
        <v>61</v>
      </c>
      <c r="F518">
        <v>439</v>
      </c>
      <c r="G518">
        <v>2</v>
      </c>
      <c r="H518">
        <f>IF(VLOOKUP(B518,Trades!A:N,4,FALSE)="Long",(F518-VLOOKUP(B518,Trades!A:N,6,FALSE))*G518,(VLOOKUP(B518,Trades!A:N,6,FALSE)-F518)*G518)</f>
        <v>6.5399999999999636</v>
      </c>
      <c r="I518">
        <f>H518/VLOOKUP(B518,Trades!A$1:$N$100794,9,FALSE)</f>
        <v>3.2699999999999818</v>
      </c>
    </row>
    <row r="519" spans="1:9" x14ac:dyDescent="0.25">
      <c r="A519">
        <f t="shared" si="52"/>
        <v>518</v>
      </c>
      <c r="B519" s="1" t="s">
        <v>733</v>
      </c>
      <c r="C519" s="1">
        <v>46219</v>
      </c>
      <c r="D519" t="str">
        <f>VLOOKUP(B519,Trades!A$1:N101311,3,FALSE)</f>
        <v>BYDDY</v>
      </c>
      <c r="E519" t="s">
        <v>61</v>
      </c>
      <c r="F519">
        <v>11.46</v>
      </c>
      <c r="G519">
        <v>30</v>
      </c>
      <c r="H519">
        <f>IF(VLOOKUP(B519,Trades!A:N,4,FALSE)="Long",(F519-VLOOKUP(B519,Trades!A:N,6,FALSE))*G519,(VLOOKUP(B519,Trades!A:N,6,FALSE)-F519)*G519)</f>
        <v>11.400000000000023</v>
      </c>
      <c r="I519">
        <f>H519/VLOOKUP(B519,Trades!A$1:$N$100794,9,FALSE)</f>
        <v>0.38000000000000078</v>
      </c>
    </row>
    <row r="520" spans="1:9" x14ac:dyDescent="0.25">
      <c r="A520">
        <f t="shared" si="52"/>
        <v>519</v>
      </c>
      <c r="B520" s="1" t="s">
        <v>734</v>
      </c>
      <c r="C520" s="1">
        <v>46219</v>
      </c>
      <c r="D520" t="str">
        <f>VLOOKUP(B520,Trades!A$1:N101312,3,FALSE)</f>
        <v>PATH</v>
      </c>
      <c r="E520" t="s">
        <v>61</v>
      </c>
      <c r="F520">
        <v>12.12</v>
      </c>
      <c r="G520">
        <v>30</v>
      </c>
      <c r="H520">
        <f>IF(VLOOKUP(B520,Trades!A:N,4,FALSE)="Long",(F520-VLOOKUP(B520,Trades!A:N,6,FALSE))*G520,(VLOOKUP(B520,Trades!A:N,6,FALSE)-F520)*G520)</f>
        <v>11.39999999999997</v>
      </c>
      <c r="I520">
        <f>H520/VLOOKUP(B520,Trades!A$1:$N$100794,9,FALSE)</f>
        <v>0.37999999999999901</v>
      </c>
    </row>
    <row r="521" spans="1:9" x14ac:dyDescent="0.25">
      <c r="A521">
        <f t="shared" si="52"/>
        <v>520</v>
      </c>
      <c r="B521" s="1" t="s">
        <v>735</v>
      </c>
      <c r="C521" s="1">
        <v>46220</v>
      </c>
      <c r="D521" t="str">
        <f>VLOOKUP(B521,Trades!A$1:N101313,3,FALSE)</f>
        <v>NIO</v>
      </c>
      <c r="E521" t="s">
        <v>61</v>
      </c>
      <c r="F521">
        <v>4.83</v>
      </c>
      <c r="G521">
        <v>50</v>
      </c>
      <c r="H521">
        <f>IF(VLOOKUP(B521,Trades!A:N,4,FALSE)="Long",(F521-VLOOKUP(B521,Trades!A:N,6,FALSE))*G521,(VLOOKUP(B521,Trades!A:N,6,FALSE)-F521)*G521)</f>
        <v>-8.9999999999999858</v>
      </c>
      <c r="I521">
        <f>H521/VLOOKUP(B521,Trades!A$1:$N$100794,9,FALSE)</f>
        <v>-0.17999999999999972</v>
      </c>
    </row>
    <row r="522" spans="1:9" x14ac:dyDescent="0.25">
      <c r="A522">
        <f t="shared" si="52"/>
        <v>521</v>
      </c>
      <c r="B522" s="1" t="s">
        <v>736</v>
      </c>
      <c r="C522" s="1">
        <v>46220</v>
      </c>
      <c r="D522" t="str">
        <f>VLOOKUP(B522,Trades!A$1:N101314,3,FALSE)</f>
        <v>NVDA</v>
      </c>
      <c r="E522" t="s">
        <v>61</v>
      </c>
      <c r="F522">
        <v>202.54</v>
      </c>
      <c r="G522">
        <v>5</v>
      </c>
      <c r="H522">
        <f>IF(VLOOKUP(B522,Trades!A:N,4,FALSE)="Long",(F522-VLOOKUP(B522,Trades!A:N,6,FALSE))*G522,(VLOOKUP(B522,Trades!A:N,6,FALSE)-F522)*G522)</f>
        <v>8.9499999999999602</v>
      </c>
      <c r="I522">
        <f>H522/VLOOKUP(B522,Trades!A$1:$N$100794,9,FALSE)</f>
        <v>1.789999999999992</v>
      </c>
    </row>
    <row r="523" spans="1:9" x14ac:dyDescent="0.25">
      <c r="A523">
        <f t="shared" si="52"/>
        <v>522</v>
      </c>
      <c r="B523" s="1" t="s">
        <v>738</v>
      </c>
      <c r="C523" s="1">
        <v>46220</v>
      </c>
      <c r="D523" t="str">
        <f>VLOOKUP(B523,Trades!A$1:N101315,3,FALSE)</f>
        <v>AAPL</v>
      </c>
      <c r="E523" t="s">
        <v>61</v>
      </c>
      <c r="F523">
        <v>332.7</v>
      </c>
      <c r="G523">
        <v>3</v>
      </c>
      <c r="H523">
        <f>IF(VLOOKUP(B523,Trades!A:N,4,FALSE)="Long",(F523-VLOOKUP(B523,Trades!A:N,6,FALSE))*G523,(VLOOKUP(B523,Trades!A:N,6,FALSE)-F523)*G523)</f>
        <v>-5.1600000000000819</v>
      </c>
      <c r="I523">
        <f>H523/VLOOKUP(B523,Trades!A$1:$N$100794,9,FALSE)</f>
        <v>-1.7200000000000273</v>
      </c>
    </row>
    <row r="524" spans="1:9" x14ac:dyDescent="0.25">
      <c r="A524">
        <f t="shared" si="52"/>
        <v>523</v>
      </c>
      <c r="B524" s="1" t="s">
        <v>740</v>
      </c>
      <c r="C524" s="1">
        <v>46220</v>
      </c>
      <c r="D524" t="str">
        <f>VLOOKUP(B524,Trades!A$1:N101316,3,FALSE)</f>
        <v>MAN</v>
      </c>
      <c r="E524" t="s">
        <v>61</v>
      </c>
      <c r="F524">
        <v>54.18</v>
      </c>
      <c r="G524">
        <v>10</v>
      </c>
      <c r="H524">
        <f>IF(VLOOKUP(B524,Trades!A:N,4,FALSE)="Long",(F524-VLOOKUP(B524,Trades!A:N,6,FALSE))*G524,(VLOOKUP(B524,Trades!A:N,6,FALSE)-F524)*G524)</f>
        <v>-6.6000000000000369</v>
      </c>
      <c r="I524">
        <f>H524/VLOOKUP(B524,Trades!A$1:$N$100794,9,FALSE)</f>
        <v>-0.66000000000000369</v>
      </c>
    </row>
    <row r="525" spans="1:9" x14ac:dyDescent="0.25">
      <c r="A525">
        <f t="shared" si="52"/>
        <v>524</v>
      </c>
      <c r="B525" s="1" t="s">
        <v>741</v>
      </c>
      <c r="C525" s="1">
        <v>46220</v>
      </c>
      <c r="D525" t="str">
        <f>VLOOKUP(B525,Trades!A$1:N101317,3,FALSE)</f>
        <v>MU</v>
      </c>
      <c r="E525" t="s">
        <v>61</v>
      </c>
      <c r="F525">
        <v>887.69</v>
      </c>
      <c r="G525">
        <v>1</v>
      </c>
      <c r="H525">
        <f>IF(VLOOKUP(B525,Trades!A:N,4,FALSE)="Long",(F525-VLOOKUP(B525,Trades!A:N,6,FALSE))*G525,(VLOOKUP(B525,Trades!A:N,6,FALSE)-F525)*G525)</f>
        <v>33.210000000000036</v>
      </c>
      <c r="I525">
        <f>H525/VLOOKUP(B525,Trades!A$1:$N$100794,9,FALSE)</f>
        <v>33.210000000000036</v>
      </c>
    </row>
    <row r="526" spans="1:9" x14ac:dyDescent="0.25">
      <c r="A526">
        <f t="shared" si="52"/>
        <v>525</v>
      </c>
      <c r="B526" s="1" t="s">
        <v>742</v>
      </c>
      <c r="C526" s="1">
        <v>46220</v>
      </c>
      <c r="D526" t="str">
        <f>VLOOKUP(B526,Trades!A$1:N101318,3,FALSE)</f>
        <v>ABT</v>
      </c>
      <c r="E526" t="s">
        <v>61</v>
      </c>
      <c r="F526">
        <v>100.05</v>
      </c>
      <c r="G526">
        <v>10</v>
      </c>
      <c r="H526">
        <f>IF(VLOOKUP(B526,Trades!A:N,4,FALSE)="Long",(F526-VLOOKUP(B526,Trades!A:N,6,FALSE))*G526,(VLOOKUP(B526,Trades!A:N,6,FALSE)-F526)*G526)</f>
        <v>-13.299999999999983</v>
      </c>
      <c r="I526">
        <f>H526/VLOOKUP(B526,Trades!A$1:$N$100794,9,FALSE)</f>
        <v>-1.3299999999999983</v>
      </c>
    </row>
    <row r="527" spans="1:9" x14ac:dyDescent="0.25">
      <c r="A527">
        <f t="shared" si="52"/>
        <v>526</v>
      </c>
      <c r="B527" s="1" t="s">
        <v>743</v>
      </c>
      <c r="C527" s="1">
        <v>46220</v>
      </c>
      <c r="D527" t="str">
        <f>VLOOKUP(B527,Trades!A$1:N101319,3,FALSE)</f>
        <v>APP</v>
      </c>
      <c r="E527" t="s">
        <v>61</v>
      </c>
      <c r="F527">
        <v>430.41</v>
      </c>
      <c r="G527">
        <v>6</v>
      </c>
      <c r="H527">
        <f>IF(VLOOKUP(B527,Trades!A:N,4,FALSE)="Long",(F527-VLOOKUP(B527,Trades!A:N,6,FALSE))*G527,(VLOOKUP(B527,Trades!A:N,6,FALSE)-F527)*G527)</f>
        <v>42.480000000000246</v>
      </c>
      <c r="I527">
        <f>H527/VLOOKUP(B527,Trades!A$1:$N$100794,9,FALSE)</f>
        <v>7.0800000000000409</v>
      </c>
    </row>
    <row r="528" spans="1:9" x14ac:dyDescent="0.25">
      <c r="A528">
        <f t="shared" ref="A528:A533" si="53">ROW()-1</f>
        <v>527</v>
      </c>
      <c r="B528" s="1" t="s">
        <v>744</v>
      </c>
      <c r="C528" s="1">
        <v>46223</v>
      </c>
      <c r="D528" t="str">
        <f>VLOOKUP(B528,Trades!A$1:N101320,3,FALSE)</f>
        <v>HPQ</v>
      </c>
      <c r="E528" t="s">
        <v>61</v>
      </c>
      <c r="F528">
        <v>24.2</v>
      </c>
      <c r="G528">
        <v>40</v>
      </c>
      <c r="H528">
        <f>IF(VLOOKUP(B528,Trades!A:N,4,FALSE)="Long",(F528-VLOOKUP(B528,Trades!A:N,6,FALSE))*G528,(VLOOKUP(B528,Trades!A:N,6,FALSE)-F528)*G528)</f>
        <v>-4.8000000000000398</v>
      </c>
      <c r="I528">
        <f>H528/VLOOKUP(B528,Trades!A$1:$N$100794,9,FALSE)</f>
        <v>-0.12000000000000099</v>
      </c>
    </row>
    <row r="529" spans="1:9" x14ac:dyDescent="0.25">
      <c r="A529">
        <f t="shared" si="53"/>
        <v>528</v>
      </c>
      <c r="B529" s="1" t="s">
        <v>745</v>
      </c>
      <c r="C529" s="1">
        <v>46223</v>
      </c>
      <c r="D529" t="str">
        <f>VLOOKUP(B529,Trades!A$1:N101321,3,FALSE)</f>
        <v>GTLB</v>
      </c>
      <c r="E529" t="s">
        <v>61</v>
      </c>
      <c r="F529">
        <v>33.42</v>
      </c>
      <c r="G529">
        <v>10</v>
      </c>
      <c r="H529">
        <f>IF(VLOOKUP(B529,Trades!A:N,4,FALSE)="Long",(F529-VLOOKUP(B529,Trades!A:N,6,FALSE))*G529,(VLOOKUP(B529,Trades!A:N,6,FALSE)-F529)*G529)</f>
        <v>8.5000000000000142</v>
      </c>
      <c r="I529">
        <f>H529/VLOOKUP(B529,Trades!A$1:$N$100794,9,FALSE)</f>
        <v>0.85000000000000142</v>
      </c>
    </row>
    <row r="530" spans="1:9" x14ac:dyDescent="0.25">
      <c r="A530">
        <f t="shared" si="53"/>
        <v>529</v>
      </c>
      <c r="B530" s="1" t="s">
        <v>746</v>
      </c>
      <c r="C530" s="1">
        <v>46223</v>
      </c>
      <c r="D530" t="str">
        <f>VLOOKUP(B530,Trades!A$1:N101322,3,FALSE)</f>
        <v>META</v>
      </c>
      <c r="E530" t="s">
        <v>61</v>
      </c>
      <c r="F530">
        <v>647.69000000000005</v>
      </c>
      <c r="G530">
        <v>2</v>
      </c>
      <c r="H530">
        <f>IF(VLOOKUP(B530,Trades!A:N,4,FALSE)="Long",(F530-VLOOKUP(B530,Trades!A:N,6,FALSE))*G530,(VLOOKUP(B530,Trades!A:N,6,FALSE)-F530)*G530)</f>
        <v>10.040000000000191</v>
      </c>
      <c r="I530">
        <f>H530/VLOOKUP(B530,Trades!A$1:$N$100794,9,FALSE)</f>
        <v>5.0200000000000955</v>
      </c>
    </row>
    <row r="531" spans="1:9" x14ac:dyDescent="0.25">
      <c r="A531">
        <f t="shared" si="53"/>
        <v>530</v>
      </c>
      <c r="B531" s="1" t="s">
        <v>747</v>
      </c>
      <c r="C531" s="1">
        <v>46223</v>
      </c>
      <c r="D531" t="str">
        <f>VLOOKUP(B531,Trades!A$1:N101323,3,FALSE)</f>
        <v>AMZN</v>
      </c>
      <c r="E531" t="s">
        <v>61</v>
      </c>
      <c r="F531">
        <v>251.97</v>
      </c>
      <c r="G531">
        <v>5</v>
      </c>
      <c r="H531">
        <f>IF(VLOOKUP(B531,Trades!A:N,4,FALSE)="Long",(F531-VLOOKUP(B531,Trades!A:N,6,FALSE))*G531,(VLOOKUP(B531,Trades!A:N,6,FALSE)-F531)*G531)</f>
        <v>13.049999999999926</v>
      </c>
      <c r="I531">
        <f>H531/VLOOKUP(B531,Trades!A$1:$N$100794,9,FALSE)</f>
        <v>2.6099999999999852</v>
      </c>
    </row>
    <row r="532" spans="1:9" x14ac:dyDescent="0.25">
      <c r="A532">
        <f t="shared" si="53"/>
        <v>531</v>
      </c>
      <c r="B532" s="1" t="s">
        <v>748</v>
      </c>
      <c r="C532" s="1">
        <v>46223</v>
      </c>
      <c r="D532" t="str">
        <f>VLOOKUP(B532,Trades!A$1:N101324,3,FALSE)</f>
        <v>MU</v>
      </c>
      <c r="E532" t="s">
        <v>61</v>
      </c>
      <c r="F532">
        <v>896.03</v>
      </c>
      <c r="G532">
        <v>1</v>
      </c>
      <c r="H532">
        <f>IF(VLOOKUP(B532,Trades!A:N,4,FALSE)="Long",(F532-VLOOKUP(B532,Trades!A:N,6,FALSE))*G532,(VLOOKUP(B532,Trades!A:N,6,FALSE)-F532)*G532)</f>
        <v>18.029999999999973</v>
      </c>
      <c r="I532">
        <f>H532/VLOOKUP(B532,Trades!A$1:$N$100794,9,FALSE)</f>
        <v>18.029999999999973</v>
      </c>
    </row>
    <row r="533" spans="1:9" x14ac:dyDescent="0.25">
      <c r="A533">
        <f t="shared" si="53"/>
        <v>532</v>
      </c>
      <c r="B533" s="1" t="s">
        <v>749</v>
      </c>
      <c r="C533" s="1">
        <v>46223</v>
      </c>
      <c r="D533" t="str">
        <f>VLOOKUP(B533,Trades!A$1:N101325,3,FALSE)</f>
        <v>AMD</v>
      </c>
      <c r="E533" t="s">
        <v>61</v>
      </c>
      <c r="F533">
        <v>514.04999999999995</v>
      </c>
      <c r="G533">
        <v>4</v>
      </c>
      <c r="H533">
        <f>IF(VLOOKUP(B533,Trades!A:N,4,FALSE)="Long",(F533-VLOOKUP(B533,Trades!A:N,6,FALSE))*G533,(VLOOKUP(B533,Trades!A:N,6,FALSE)-F533)*G533)</f>
        <v>-7.0399999999999636</v>
      </c>
      <c r="I533">
        <f>H533/VLOOKUP(B533,Trades!A$1:$N$100794,9,FALSE)</f>
        <v>-1.7599999999999909</v>
      </c>
    </row>
    <row r="534" spans="1:9" x14ac:dyDescent="0.25">
      <c r="A534">
        <f t="shared" ref="A534:A543" si="54">ROW()-1</f>
        <v>533</v>
      </c>
      <c r="B534" s="1" t="s">
        <v>751</v>
      </c>
      <c r="C534" s="1">
        <v>46224</v>
      </c>
      <c r="D534" t="str">
        <f>VLOOKUP(B534,Trades!A$1:N101326,3,FALSE)</f>
        <v>S</v>
      </c>
      <c r="E534" t="s">
        <v>61</v>
      </c>
      <c r="F534">
        <v>18.98</v>
      </c>
      <c r="G534">
        <v>6</v>
      </c>
      <c r="H534">
        <f>IF(VLOOKUP(B534,Trades!A:N,4,FALSE)="Long",(F534-VLOOKUP(B534,Trades!A:N,6,FALSE))*G534,(VLOOKUP(B534,Trades!A:N,6,FALSE)-F534)*G534)</f>
        <v>-3.720000000000006</v>
      </c>
      <c r="I534">
        <f>H534/VLOOKUP(B534,Trades!A$1:$N$100794,9,FALSE)</f>
        <v>-0.74400000000000122</v>
      </c>
    </row>
    <row r="535" spans="1:9" x14ac:dyDescent="0.25">
      <c r="A535">
        <f t="shared" si="54"/>
        <v>534</v>
      </c>
      <c r="B535" s="1" t="s">
        <v>752</v>
      </c>
      <c r="C535" s="1">
        <v>46224</v>
      </c>
      <c r="D535" t="str">
        <f>VLOOKUP(B535,Trades!A$1:N101327,3,FALSE)</f>
        <v>AMD</v>
      </c>
      <c r="E535" t="s">
        <v>61</v>
      </c>
      <c r="F535">
        <v>523.51</v>
      </c>
      <c r="G535">
        <v>2</v>
      </c>
      <c r="H535">
        <f>IF(VLOOKUP(B535,Trades!A:N,4,FALSE)="Long",(F535-VLOOKUP(B535,Trades!A:N,6,FALSE))*G535,(VLOOKUP(B535,Trades!A:N,6,FALSE)-F535)*G535)</f>
        <v>-10.059999999999945</v>
      </c>
      <c r="I535">
        <f>H535/VLOOKUP(B535,Trades!A$1:$N$100794,9,FALSE)</f>
        <v>-5.0299999999999727</v>
      </c>
    </row>
    <row r="536" spans="1:9" x14ac:dyDescent="0.25">
      <c r="A536">
        <f t="shared" si="54"/>
        <v>535</v>
      </c>
      <c r="B536" s="1" t="s">
        <v>753</v>
      </c>
      <c r="C536" s="1">
        <v>46224</v>
      </c>
      <c r="D536" t="str">
        <f>VLOOKUP(B536,Trades!A$1:N101328,3,FALSE)</f>
        <v>PYPL</v>
      </c>
      <c r="E536" t="s">
        <v>61</v>
      </c>
      <c r="F536">
        <v>55.81</v>
      </c>
      <c r="G536">
        <v>10</v>
      </c>
      <c r="H536">
        <f>IF(VLOOKUP(B536,Trades!A:N,4,FALSE)="Long",(F536-VLOOKUP(B536,Trades!A:N,6,FALSE))*G536,(VLOOKUP(B536,Trades!A:N,6,FALSE)-F536)*G536)</f>
        <v>-4.6000000000000085</v>
      </c>
      <c r="I536">
        <f>H536/VLOOKUP(B536,Trades!A$1:$N$100794,9,FALSE)</f>
        <v>-0.46000000000000085</v>
      </c>
    </row>
    <row r="537" spans="1:9" x14ac:dyDescent="0.25">
      <c r="A537">
        <f t="shared" si="54"/>
        <v>536</v>
      </c>
      <c r="B537" s="1" t="s">
        <v>754</v>
      </c>
      <c r="C537" s="1">
        <v>46224</v>
      </c>
      <c r="D537" t="str">
        <f>VLOOKUP(B537,Trades!A$1:N101329,3,FALSE)</f>
        <v>AAPL</v>
      </c>
      <c r="E537" t="s">
        <v>61</v>
      </c>
      <c r="F537">
        <v>326.81</v>
      </c>
      <c r="G537">
        <v>3</v>
      </c>
      <c r="H537">
        <f>IF(VLOOKUP(B537,Trades!A:N,4,FALSE)="Long",(F537-VLOOKUP(B537,Trades!A:N,6,FALSE))*G537,(VLOOKUP(B537,Trades!A:N,6,FALSE)-F537)*G537)</f>
        <v>6.9000000000000341</v>
      </c>
      <c r="I537">
        <f>H537/VLOOKUP(B537,Trades!A$1:$N$100794,9,FALSE)</f>
        <v>2.3000000000000114</v>
      </c>
    </row>
    <row r="538" spans="1:9" x14ac:dyDescent="0.25">
      <c r="A538">
        <f t="shared" si="54"/>
        <v>537</v>
      </c>
      <c r="B538" s="1" t="s">
        <v>755</v>
      </c>
      <c r="C538" s="1">
        <v>46224</v>
      </c>
      <c r="D538" t="str">
        <f>VLOOKUP(B538,Trades!A$1:N101330,3,FALSE)</f>
        <v>PATH</v>
      </c>
      <c r="E538" t="s">
        <v>61</v>
      </c>
      <c r="F538">
        <v>12.15</v>
      </c>
      <c r="G538">
        <v>30</v>
      </c>
      <c r="H538">
        <f>IF(VLOOKUP(B538,Trades!A:N,4,FALSE)="Long",(F538-VLOOKUP(B538,Trades!A:N,6,FALSE))*G538,(VLOOKUP(B538,Trades!A:N,6,FALSE)-F538)*G538)</f>
        <v>-9.3000000000000149</v>
      </c>
      <c r="I538">
        <f>H538/VLOOKUP(B538,Trades!A$1:$N$100794,9,FALSE)</f>
        <v>-0.3100000000000005</v>
      </c>
    </row>
    <row r="539" spans="1:9" x14ac:dyDescent="0.25">
      <c r="A539">
        <f t="shared" si="54"/>
        <v>538</v>
      </c>
      <c r="B539" s="1" t="s">
        <v>756</v>
      </c>
      <c r="C539" s="1">
        <v>46224</v>
      </c>
      <c r="D539" t="str">
        <f>VLOOKUP(B539,Trades!A$1:N101331,3,FALSE)</f>
        <v>MU</v>
      </c>
      <c r="E539" t="s">
        <v>61</v>
      </c>
      <c r="F539">
        <v>955.69</v>
      </c>
      <c r="G539">
        <v>1</v>
      </c>
      <c r="H539">
        <f>IF(VLOOKUP(B539,Trades!A:N,4,FALSE)="Long",(F539-VLOOKUP(B539,Trades!A:N,6,FALSE))*G539,(VLOOKUP(B539,Trades!A:N,6,FALSE)-F539)*G539)</f>
        <v>23.810000000000059</v>
      </c>
      <c r="I539">
        <f>H539/VLOOKUP(B539,Trades!A$1:$N$100794,9,FALSE)</f>
        <v>23.810000000000059</v>
      </c>
    </row>
    <row r="540" spans="1:9" x14ac:dyDescent="0.25">
      <c r="A540">
        <f t="shared" si="54"/>
        <v>539</v>
      </c>
      <c r="B540" s="1" t="s">
        <v>757</v>
      </c>
      <c r="C540" s="1">
        <v>46224</v>
      </c>
      <c r="D540" t="str">
        <f>VLOOKUP(B540,Trades!A$1:N101332,3,FALSE)</f>
        <v>AMD</v>
      </c>
      <c r="E540" t="s">
        <v>61</v>
      </c>
      <c r="F540">
        <v>540.73</v>
      </c>
      <c r="G540">
        <v>2</v>
      </c>
      <c r="H540">
        <f>IF(VLOOKUP(B540,Trades!A:N,4,FALSE)="Long",(F540-VLOOKUP(B540,Trades!A:N,6,FALSE))*G540,(VLOOKUP(B540,Trades!A:N,6,FALSE)-F540)*G540)</f>
        <v>23.6400000000001</v>
      </c>
      <c r="I540">
        <f>H540/VLOOKUP(B540,Trades!A$1:$N$100794,9,FALSE)</f>
        <v>11.82000000000005</v>
      </c>
    </row>
    <row r="541" spans="1:9" x14ac:dyDescent="0.25">
      <c r="A541">
        <f t="shared" si="54"/>
        <v>540</v>
      </c>
      <c r="B541" s="1" t="s">
        <v>759</v>
      </c>
      <c r="C541" s="1">
        <v>46224</v>
      </c>
      <c r="D541" t="str">
        <f>VLOOKUP(B541,Trades!A$1:N101333,3,FALSE)</f>
        <v>NVDA</v>
      </c>
      <c r="E541" t="s">
        <v>61</v>
      </c>
      <c r="F541">
        <v>207.05</v>
      </c>
      <c r="G541">
        <v>5</v>
      </c>
      <c r="H541">
        <f>IF(VLOOKUP(B541,Trades!A:N,4,FALSE)="Long",(F541-VLOOKUP(B541,Trades!A:N,6,FALSE))*G541,(VLOOKUP(B541,Trades!A:N,6,FALSE)-F541)*G541)</f>
        <v>7.6500000000000057</v>
      </c>
      <c r="I541">
        <f>H541/VLOOKUP(B541,Trades!A$1:$N$100794,9,FALSE)</f>
        <v>1.5300000000000011</v>
      </c>
    </row>
    <row r="542" spans="1:9" x14ac:dyDescent="0.25">
      <c r="A542">
        <f t="shared" si="54"/>
        <v>541</v>
      </c>
      <c r="B542" s="1" t="s">
        <v>760</v>
      </c>
      <c r="C542" s="1">
        <v>46224</v>
      </c>
      <c r="D542" t="str">
        <f>VLOOKUP(B542,Trades!A$1:N101334,3,FALSE)</f>
        <v>HAS</v>
      </c>
      <c r="E542" t="s">
        <v>61</v>
      </c>
      <c r="F542">
        <v>88.55</v>
      </c>
      <c r="G542">
        <v>6</v>
      </c>
      <c r="H542">
        <f>IF(VLOOKUP(B542,Trades!A:N,4,FALSE)="Long",(F542-VLOOKUP(B542,Trades!A:N,6,FALSE))*G542,(VLOOKUP(B542,Trades!A:N,6,FALSE)-F542)*G542)</f>
        <v>1.6800000000000068</v>
      </c>
      <c r="I542">
        <f>H542/VLOOKUP(B542,Trades!A$1:$N$100794,9,FALSE)</f>
        <v>0.28000000000000114</v>
      </c>
    </row>
    <row r="543" spans="1:9" x14ac:dyDescent="0.25">
      <c r="A543">
        <f t="shared" si="54"/>
        <v>542</v>
      </c>
      <c r="B543" s="1" t="s">
        <v>761</v>
      </c>
      <c r="C543" s="1">
        <v>46224</v>
      </c>
      <c r="D543" t="str">
        <f>VLOOKUP(B543,Trades!A$1:N101335,3,FALSE)</f>
        <v>PATH</v>
      </c>
      <c r="E543" t="s">
        <v>61</v>
      </c>
      <c r="F543">
        <v>11.9</v>
      </c>
      <c r="G543">
        <v>30</v>
      </c>
      <c r="H543">
        <f>IF(VLOOKUP(B543,Trades!A:N,4,FALSE)="Long",(F543-VLOOKUP(B543,Trades!A:N,6,FALSE))*G543,(VLOOKUP(B543,Trades!A:N,6,FALSE)-F543)*G543)</f>
        <v>-2.6999999999999957</v>
      </c>
      <c r="I543">
        <f>H543/VLOOKUP(B543,Trades!A$1:$N$100794,9,FALSE)</f>
        <v>-8.9999999999999858E-2</v>
      </c>
    </row>
    <row r="544" spans="1:9" x14ac:dyDescent="0.25">
      <c r="A544">
        <f t="shared" ref="A544:A550" si="55">ROW()-1</f>
        <v>543</v>
      </c>
      <c r="B544" s="1" t="s">
        <v>762</v>
      </c>
      <c r="C544" s="1">
        <v>46225</v>
      </c>
      <c r="D544" t="str">
        <f>VLOOKUP(B544,Trades!A$1:N101336,3,FALSE)</f>
        <v>UPS</v>
      </c>
      <c r="E544" t="s">
        <v>61</v>
      </c>
      <c r="F544">
        <v>116.99</v>
      </c>
      <c r="G544">
        <v>10</v>
      </c>
      <c r="H544">
        <f>IF(VLOOKUP(B544,Trades!A:N,4,FALSE)="Long",(F544-VLOOKUP(B544,Trades!A:N,6,FALSE))*G544,(VLOOKUP(B544,Trades!A:N,6,FALSE)-F544)*G544)</f>
        <v>-4.4000000000001194</v>
      </c>
      <c r="I544">
        <f>H544/VLOOKUP(B544,Trades!A$1:$N$100794,9,FALSE)</f>
        <v>-0.44000000000001194</v>
      </c>
    </row>
    <row r="545" spans="1:9" x14ac:dyDescent="0.25">
      <c r="A545">
        <f t="shared" si="55"/>
        <v>544</v>
      </c>
      <c r="B545" s="1" t="s">
        <v>763</v>
      </c>
      <c r="C545" s="1">
        <v>46225</v>
      </c>
      <c r="D545" t="str">
        <f>VLOOKUP(B545,Trades!A$1:N101337,3,FALSE)</f>
        <v>AMZN</v>
      </c>
      <c r="E545" t="s">
        <v>61</v>
      </c>
      <c r="F545">
        <v>243.5</v>
      </c>
      <c r="G545">
        <v>10</v>
      </c>
      <c r="H545">
        <f>IF(VLOOKUP(B545,Trades!A:N,4,FALSE)="Long",(F545-VLOOKUP(B545,Trades!A:N,6,FALSE))*G545,(VLOOKUP(B545,Trades!A:N,6,FALSE)-F545)*G545)</f>
        <v>-8.1000000000000227</v>
      </c>
      <c r="I545">
        <f>H545/VLOOKUP(B545,Trades!A$1:$N$100794,9,FALSE)</f>
        <v>-0.81000000000000227</v>
      </c>
    </row>
    <row r="546" spans="1:9" x14ac:dyDescent="0.25">
      <c r="A546">
        <f t="shared" si="55"/>
        <v>545</v>
      </c>
      <c r="B546" s="1" t="s">
        <v>764</v>
      </c>
      <c r="C546" s="1">
        <v>46225</v>
      </c>
      <c r="D546" t="str">
        <f>VLOOKUP(B546,Trades!A$1:N101338,3,FALSE)</f>
        <v>GTLB</v>
      </c>
      <c r="E546" t="s">
        <v>61</v>
      </c>
      <c r="F546">
        <v>31.35</v>
      </c>
      <c r="G546">
        <v>20</v>
      </c>
      <c r="H546">
        <f>IF(VLOOKUP(B546,Trades!A:N,4,FALSE)="Long",(F546-VLOOKUP(B546,Trades!A:N,6,FALSE))*G546,(VLOOKUP(B546,Trades!A:N,6,FALSE)-F546)*G546)</f>
        <v>-5.1999999999999602</v>
      </c>
      <c r="I546">
        <f>H546/VLOOKUP(B546,Trades!A$1:$N$100794,9,FALSE)</f>
        <v>-0.25999999999999801</v>
      </c>
    </row>
    <row r="547" spans="1:9" x14ac:dyDescent="0.25">
      <c r="A547">
        <f t="shared" si="55"/>
        <v>546</v>
      </c>
      <c r="B547" s="1" t="s">
        <v>765</v>
      </c>
      <c r="C547" s="1">
        <v>46225</v>
      </c>
      <c r="D547" t="str">
        <f>VLOOKUP(B547,Trades!A$1:N101339,3,FALSE)</f>
        <v>UPS</v>
      </c>
      <c r="E547" t="s">
        <v>61</v>
      </c>
      <c r="F547">
        <v>116.33</v>
      </c>
      <c r="G547">
        <v>10</v>
      </c>
      <c r="H547">
        <f>IF(VLOOKUP(B547,Trades!A:N,4,FALSE)="Long",(F547-VLOOKUP(B547,Trades!A:N,6,FALSE))*G547,(VLOOKUP(B547,Trades!A:N,6,FALSE)-F547)*G547)</f>
        <v>-4.2000000000000171</v>
      </c>
      <c r="I547">
        <f>H547/VLOOKUP(B547,Trades!A$1:$N$100794,9,FALSE)</f>
        <v>-0.42000000000000171</v>
      </c>
    </row>
    <row r="548" spans="1:9" x14ac:dyDescent="0.25">
      <c r="A548">
        <f t="shared" si="55"/>
        <v>547</v>
      </c>
      <c r="B548" s="1" t="s">
        <v>766</v>
      </c>
      <c r="C548" s="1">
        <v>46225</v>
      </c>
      <c r="D548" t="str">
        <f>VLOOKUP(B548,Trades!A$1:N101340,3,FALSE)</f>
        <v>GOOG</v>
      </c>
      <c r="E548" t="s">
        <v>61</v>
      </c>
      <c r="F548">
        <v>346.4</v>
      </c>
      <c r="G548">
        <v>3</v>
      </c>
      <c r="H548">
        <f>IF(VLOOKUP(B548,Trades!A:N,4,FALSE)="Long",(F548-VLOOKUP(B548,Trades!A:N,6,FALSE))*G548,(VLOOKUP(B548,Trades!A:N,6,FALSE)-F548)*G548)</f>
        <v>-2.9100000000000819</v>
      </c>
      <c r="I548">
        <f>H548/VLOOKUP(B548,Trades!A$1:$N$100794,9,FALSE)</f>
        <v>-0.97000000000002728</v>
      </c>
    </row>
    <row r="549" spans="1:9" x14ac:dyDescent="0.25">
      <c r="A549">
        <f t="shared" si="55"/>
        <v>548</v>
      </c>
      <c r="B549" s="1" t="s">
        <v>767</v>
      </c>
      <c r="C549" s="1">
        <v>46225</v>
      </c>
      <c r="D549" t="str">
        <f>VLOOKUP(B549,Trades!A$1:N101341,3,FALSE)</f>
        <v>GTLB</v>
      </c>
      <c r="E549" t="s">
        <v>61</v>
      </c>
      <c r="F549">
        <v>31.5</v>
      </c>
      <c r="G549">
        <v>20</v>
      </c>
      <c r="H549">
        <f>IF(VLOOKUP(B549,Trades!A:N,4,FALSE)="Long",(F549-VLOOKUP(B549,Trades!A:N,6,FALSE))*G549,(VLOOKUP(B549,Trades!A:N,6,FALSE)-F549)*G549)</f>
        <v>3.2000000000000028</v>
      </c>
      <c r="I549">
        <f>H549/VLOOKUP(B549,Trades!A$1:$N$100794,9,FALSE)</f>
        <v>0.16000000000000014</v>
      </c>
    </row>
    <row r="550" spans="1:9" x14ac:dyDescent="0.25">
      <c r="A550">
        <f t="shared" si="55"/>
        <v>549</v>
      </c>
      <c r="B550" s="1" t="s">
        <v>768</v>
      </c>
      <c r="C550" s="1">
        <v>46225</v>
      </c>
      <c r="D550" t="str">
        <f>VLOOKUP(B550,Trades!A$1:N101342,3,FALSE)</f>
        <v>MU</v>
      </c>
      <c r="E550" t="s">
        <v>61</v>
      </c>
      <c r="F550">
        <v>969.81</v>
      </c>
      <c r="G550">
        <v>1</v>
      </c>
      <c r="H550">
        <f>IF(VLOOKUP(B550,Trades!A:N,4,FALSE)="Long",(F550-VLOOKUP(B550,Trades!A:N,6,FALSE))*G550,(VLOOKUP(B550,Trades!A:N,6,FALSE)-F550)*G550)</f>
        <v>9.8099999999999454</v>
      </c>
      <c r="I550">
        <f>H550/VLOOKUP(B550,Trades!A$1:$N$100794,9,FALSE)</f>
        <v>9.8099999999999454</v>
      </c>
    </row>
    <row r="551" spans="1:9" x14ac:dyDescent="0.25">
      <c r="A551">
        <f t="shared" ref="A551:A560" si="56">ROW()-1</f>
        <v>550</v>
      </c>
      <c r="B551" s="1" t="s">
        <v>770</v>
      </c>
      <c r="C551" s="1">
        <v>46226</v>
      </c>
      <c r="D551" t="str">
        <f>VLOOKUP(B551,Trades!A$1:N101343,3,FALSE)</f>
        <v>RIOT</v>
      </c>
      <c r="E551" t="s">
        <v>61</v>
      </c>
      <c r="F551">
        <v>25.11</v>
      </c>
      <c r="G551">
        <v>15</v>
      </c>
      <c r="H551">
        <f>IF(VLOOKUP(B551,Trades!A:N,4,FALSE)="Long",(F551-VLOOKUP(B551,Trades!A:N,6,FALSE))*G551,(VLOOKUP(B551,Trades!A:N,6,FALSE)-F551)*G551)</f>
        <v>14.400000000000013</v>
      </c>
      <c r="I551">
        <f>H551/VLOOKUP(B551,Trades!A$1:$N$100794,9,FALSE)</f>
        <v>0.48000000000000043</v>
      </c>
    </row>
    <row r="552" spans="1:9" x14ac:dyDescent="0.25">
      <c r="A552">
        <f t="shared" si="56"/>
        <v>551</v>
      </c>
      <c r="B552" s="1" t="s">
        <v>770</v>
      </c>
      <c r="C552" s="1">
        <v>46226</v>
      </c>
      <c r="D552" t="str">
        <f>VLOOKUP(B552,Trades!A$1:N101344,3,FALSE)</f>
        <v>RIOT</v>
      </c>
      <c r="E552" t="s">
        <v>61</v>
      </c>
      <c r="F552">
        <v>24.79</v>
      </c>
      <c r="G552">
        <v>15</v>
      </c>
      <c r="H552">
        <f>IF(VLOOKUP(B552,Trades!A:N,4,FALSE)="Long",(F552-VLOOKUP(B552,Trades!A:N,6,FALSE))*G552,(VLOOKUP(B552,Trades!A:N,6,FALSE)-F552)*G552)</f>
        <v>9.6000000000000085</v>
      </c>
      <c r="I552">
        <f>H552/VLOOKUP(B552,Trades!A$1:$N$100794,9,FALSE)</f>
        <v>0.32000000000000028</v>
      </c>
    </row>
    <row r="553" spans="1:9" x14ac:dyDescent="0.25">
      <c r="A553">
        <f t="shared" si="56"/>
        <v>552</v>
      </c>
      <c r="B553" s="1" t="s">
        <v>772</v>
      </c>
      <c r="C553" s="1">
        <v>46226</v>
      </c>
      <c r="D553" t="str">
        <f>VLOOKUP(B553,Trades!A$1:N101345,3,FALSE)</f>
        <v>FCX</v>
      </c>
      <c r="E553" t="s">
        <v>61</v>
      </c>
      <c r="F553">
        <v>63.43</v>
      </c>
      <c r="G553">
        <v>12</v>
      </c>
      <c r="H553">
        <f>IF(VLOOKUP(B553,Trades!A:N,4,FALSE)="Long",(F553-VLOOKUP(B553,Trades!A:N,6,FALSE))*G553,(VLOOKUP(B553,Trades!A:N,6,FALSE)-F553)*G553)</f>
        <v>-7.3200000000000784</v>
      </c>
      <c r="I553">
        <f>H553/VLOOKUP(B553,Trades!A$1:$N$100794,9,FALSE)</f>
        <v>-0.61000000000000654</v>
      </c>
    </row>
    <row r="554" spans="1:9" x14ac:dyDescent="0.25">
      <c r="A554">
        <f t="shared" si="56"/>
        <v>553</v>
      </c>
      <c r="B554" s="1" t="s">
        <v>773</v>
      </c>
      <c r="C554" s="1">
        <v>46226</v>
      </c>
      <c r="D554" t="str">
        <f>VLOOKUP(B554,Trades!A$1:N101346,3,FALSE)</f>
        <v>RIOT</v>
      </c>
      <c r="E554" t="s">
        <v>61</v>
      </c>
      <c r="F554">
        <v>24.41</v>
      </c>
      <c r="G554">
        <v>40</v>
      </c>
      <c r="H554">
        <f>IF(VLOOKUP(B554,Trades!A:N,4,FALSE)="Long",(F554-VLOOKUP(B554,Trades!A:N,6,FALSE))*G554,(VLOOKUP(B554,Trades!A:N,6,FALSE)-F554)*G554)</f>
        <v>-6.7999999999999261</v>
      </c>
      <c r="I554">
        <f>H554/VLOOKUP(B554,Trades!A$1:$N$100794,9,FALSE)</f>
        <v>-0.16999999999999815</v>
      </c>
    </row>
    <row r="555" spans="1:9" x14ac:dyDescent="0.25">
      <c r="A555">
        <f t="shared" si="56"/>
        <v>554</v>
      </c>
      <c r="B555" s="1" t="s">
        <v>774</v>
      </c>
      <c r="C555" s="1">
        <v>46226</v>
      </c>
      <c r="D555" t="str">
        <f>VLOOKUP(B555,Trades!A$1:N101347,3,FALSE)</f>
        <v>AMD</v>
      </c>
      <c r="E555" t="s">
        <v>61</v>
      </c>
      <c r="F555">
        <v>547.91</v>
      </c>
      <c r="G555">
        <v>2</v>
      </c>
      <c r="H555">
        <f>IF(VLOOKUP(B555,Trades!A:N,4,FALSE)="Long",(F555-VLOOKUP(B555,Trades!A:N,6,FALSE))*G555,(VLOOKUP(B555,Trades!A:N,6,FALSE)-F555)*G555)</f>
        <v>-6.1800000000000637</v>
      </c>
      <c r="I555">
        <f>H555/VLOOKUP(B555,Trades!A$1:$N$100794,9,FALSE)</f>
        <v>-3.0900000000000318</v>
      </c>
    </row>
    <row r="556" spans="1:9" x14ac:dyDescent="0.25">
      <c r="A556">
        <f t="shared" si="56"/>
        <v>555</v>
      </c>
      <c r="B556" s="1" t="s">
        <v>769</v>
      </c>
      <c r="C556" s="1">
        <v>46226</v>
      </c>
      <c r="D556" t="str">
        <f>VLOOKUP(B556,Trades!A$1:N101348,3,FALSE)</f>
        <v>SMCI</v>
      </c>
      <c r="E556" t="s">
        <v>61</v>
      </c>
      <c r="F556">
        <v>31.47</v>
      </c>
      <c r="G556">
        <v>10</v>
      </c>
      <c r="H556">
        <f>IF(VLOOKUP(B556,Trades!A:N,4,FALSE)="Long",(F556-VLOOKUP(B556,Trades!A:N,6,FALSE))*G556,(VLOOKUP(B556,Trades!A:N,6,FALSE)-F556)*G556)</f>
        <v>1.2999999999999901</v>
      </c>
      <c r="I556">
        <f>H556/VLOOKUP(B556,Trades!A$1:$N$100794,9,FALSE)</f>
        <v>0.12999999999999901</v>
      </c>
    </row>
    <row r="557" spans="1:9" x14ac:dyDescent="0.25">
      <c r="A557">
        <f t="shared" si="56"/>
        <v>556</v>
      </c>
      <c r="B557" s="1" t="s">
        <v>775</v>
      </c>
      <c r="C557" s="1">
        <v>46226</v>
      </c>
      <c r="D557" t="str">
        <f>VLOOKUP(B557,Trades!A$1:N101349,3,FALSE)</f>
        <v>ROST</v>
      </c>
      <c r="E557" t="s">
        <v>61</v>
      </c>
      <c r="F557">
        <v>234.89</v>
      </c>
      <c r="G557">
        <v>5</v>
      </c>
      <c r="H557">
        <f>IF(VLOOKUP(B557,Trades!A:N,4,FALSE)="Long",(F557-VLOOKUP(B557,Trades!A:N,6,FALSE))*G557,(VLOOKUP(B557,Trades!A:N,6,FALSE)-F557)*G557)</f>
        <v>-4.1500000000000625</v>
      </c>
      <c r="I557">
        <f>H557/VLOOKUP(B557,Trades!A$1:$N$100794,9,FALSE)</f>
        <v>-0.83000000000001251</v>
      </c>
    </row>
    <row r="558" spans="1:9" x14ac:dyDescent="0.25">
      <c r="A558">
        <f t="shared" si="56"/>
        <v>557</v>
      </c>
      <c r="B558" s="1" t="s">
        <v>777</v>
      </c>
      <c r="C558" s="1">
        <v>46226</v>
      </c>
      <c r="D558" t="str">
        <f>VLOOKUP(B558,Trades!A$1:N101350,3,FALSE)</f>
        <v>COCO</v>
      </c>
      <c r="E558" t="s">
        <v>61</v>
      </c>
      <c r="F558">
        <v>69.67</v>
      </c>
      <c r="G558">
        <v>8</v>
      </c>
      <c r="H558">
        <f>IF(VLOOKUP(B558,Trades!A:N,4,FALSE)="Long",(F558-VLOOKUP(B558,Trades!A:N,6,FALSE))*G558,(VLOOKUP(B558,Trades!A:N,6,FALSE)-F558)*G558)</f>
        <v>-5.67999999999995</v>
      </c>
      <c r="I558">
        <f>H558/VLOOKUP(B558,Trades!A$1:$N$100794,9,FALSE)</f>
        <v>-0.70999999999999375</v>
      </c>
    </row>
    <row r="559" spans="1:9" x14ac:dyDescent="0.25">
      <c r="A559">
        <f t="shared" si="56"/>
        <v>558</v>
      </c>
      <c r="B559" s="1" t="s">
        <v>778</v>
      </c>
      <c r="C559" s="1">
        <v>46226</v>
      </c>
      <c r="D559" t="str">
        <f>VLOOKUP(B559,Trades!A$1:N101351,3,FALSE)</f>
        <v>MU</v>
      </c>
      <c r="E559" t="s">
        <v>61</v>
      </c>
      <c r="F559">
        <v>986.84</v>
      </c>
      <c r="G559">
        <v>1</v>
      </c>
      <c r="H559">
        <f>IF(VLOOKUP(B559,Trades!A:N,4,FALSE)="Long",(F559-VLOOKUP(B559,Trades!A:N,6,FALSE))*G559,(VLOOKUP(B559,Trades!A:N,6,FALSE)-F559)*G559)</f>
        <v>-5.9199999999999591</v>
      </c>
      <c r="I559">
        <f>H559/VLOOKUP(B559,Trades!A$1:$N$100794,9,FALSE)</f>
        <v>-5.9199999999999591</v>
      </c>
    </row>
    <row r="560" spans="1:9" x14ac:dyDescent="0.25">
      <c r="A560">
        <f t="shared" si="56"/>
        <v>559</v>
      </c>
      <c r="B560" s="1" t="s">
        <v>779</v>
      </c>
      <c r="C560" s="1">
        <v>46226</v>
      </c>
      <c r="D560" t="str">
        <f>VLOOKUP(B560,Trades!A$1:N101352,3,FALSE)</f>
        <v>RIOT</v>
      </c>
      <c r="E560" t="s">
        <v>61</v>
      </c>
      <c r="F560">
        <v>23.95</v>
      </c>
      <c r="G560">
        <v>60</v>
      </c>
      <c r="H560">
        <f>IF(VLOOKUP(B560,Trades!A:N,4,FALSE)="Long",(F560-VLOOKUP(B560,Trades!A:N,6,FALSE))*G560,(VLOOKUP(B560,Trades!A:N,6,FALSE)-F560)*G560)</f>
        <v>-18.000000000000043</v>
      </c>
      <c r="I560">
        <f>H560/VLOOKUP(B560,Trades!A$1:$N$100794,9,FALSE)</f>
        <v>-0.30000000000000071</v>
      </c>
    </row>
    <row r="561" spans="1:9" x14ac:dyDescent="0.25">
      <c r="A561">
        <f t="shared" ref="A561:A569" si="57">ROW()-1</f>
        <v>560</v>
      </c>
      <c r="B561" s="1" t="s">
        <v>783</v>
      </c>
      <c r="C561" s="1">
        <v>46227</v>
      </c>
      <c r="D561" t="str">
        <f>VLOOKUP(B561,Trades!A$1:N101353,3,FALSE)</f>
        <v>MU</v>
      </c>
      <c r="E561" t="s">
        <v>61</v>
      </c>
      <c r="F561">
        <v>949</v>
      </c>
      <c r="G561">
        <v>1</v>
      </c>
      <c r="H561">
        <f>IF(VLOOKUP(B561,Trades!A:N,4,FALSE)="Long",(F561-VLOOKUP(B561,Trades!A:N,6,FALSE))*G561,(VLOOKUP(B561,Trades!A:N,6,FALSE)-F561)*G561)</f>
        <v>-6</v>
      </c>
      <c r="I561">
        <f>H561/VLOOKUP(B561,Trades!A$1:$N$100794,9,FALSE)</f>
        <v>-6</v>
      </c>
    </row>
    <row r="562" spans="1:9" x14ac:dyDescent="0.25">
      <c r="A562">
        <f t="shared" si="57"/>
        <v>561</v>
      </c>
      <c r="B562" s="1" t="s">
        <v>786</v>
      </c>
      <c r="C562" s="1">
        <v>46227</v>
      </c>
      <c r="D562" t="str">
        <f>VLOOKUP(B562,Trades!A$1:N101354,3,FALSE)</f>
        <v>MU</v>
      </c>
      <c r="E562" t="s">
        <v>61</v>
      </c>
      <c r="F562">
        <v>924.69</v>
      </c>
      <c r="G562">
        <v>1</v>
      </c>
      <c r="H562">
        <f>IF(VLOOKUP(B562,Trades!A:N,4,FALSE)="Long",(F562-VLOOKUP(B562,Trades!A:N,6,FALSE))*G562,(VLOOKUP(B562,Trades!A:N,6,FALSE)-F562)*G562)</f>
        <v>-11.309999999999945</v>
      </c>
      <c r="I562">
        <f>H562/VLOOKUP(B562,Trades!A$1:$N$100794,9,FALSE)</f>
        <v>-11.309999999999945</v>
      </c>
    </row>
    <row r="563" spans="1:9" x14ac:dyDescent="0.25">
      <c r="A563">
        <f t="shared" si="57"/>
        <v>562</v>
      </c>
      <c r="B563" s="1" t="s">
        <v>787</v>
      </c>
      <c r="C563" s="1">
        <v>46227</v>
      </c>
      <c r="D563" t="str">
        <f>VLOOKUP(B563,Trades!A$1:N101355,3,FALSE)</f>
        <v>BMY</v>
      </c>
      <c r="E563" t="s">
        <v>61</v>
      </c>
      <c r="F563">
        <v>62.02</v>
      </c>
      <c r="G563">
        <v>20</v>
      </c>
      <c r="H563">
        <f>IF(VLOOKUP(B563,Trades!A:N,4,FALSE)="Long",(F563-VLOOKUP(B563,Trades!A:N,6,FALSE))*G563,(VLOOKUP(B563,Trades!A:N,6,FALSE)-F563)*G563)</f>
        <v>1.2000000000000455</v>
      </c>
      <c r="I563">
        <f>H563/VLOOKUP(B563,Trades!A$1:$N$100794,9,FALSE)</f>
        <v>6.0000000000002274E-2</v>
      </c>
    </row>
    <row r="564" spans="1:9" x14ac:dyDescent="0.25">
      <c r="A564">
        <f t="shared" si="57"/>
        <v>563</v>
      </c>
      <c r="B564" s="1" t="s">
        <v>788</v>
      </c>
      <c r="C564" s="1">
        <v>46227</v>
      </c>
      <c r="D564" t="str">
        <f>VLOOKUP(B564,Trades!A$1:N101356,3,FALSE)</f>
        <v>AMD</v>
      </c>
      <c r="E564" t="s">
        <v>61</v>
      </c>
      <c r="F564">
        <v>529</v>
      </c>
      <c r="G564">
        <v>2</v>
      </c>
      <c r="H564">
        <f>IF(VLOOKUP(B564,Trades!A:N,4,FALSE)="Long",(F564-VLOOKUP(B564,Trades!A:N,6,FALSE))*G564,(VLOOKUP(B564,Trades!A:N,6,FALSE)-F564)*G564)</f>
        <v>-10</v>
      </c>
      <c r="I564">
        <f>H564/VLOOKUP(B564,Trades!A$1:$N$100794,9,FALSE)</f>
        <v>-5</v>
      </c>
    </row>
    <row r="565" spans="1:9" x14ac:dyDescent="0.25">
      <c r="A565">
        <f t="shared" si="57"/>
        <v>564</v>
      </c>
      <c r="B565" s="1" t="s">
        <v>789</v>
      </c>
      <c r="C565" s="1">
        <v>46227</v>
      </c>
      <c r="D565" t="str">
        <f>VLOOKUP(B565,Trades!A$1:N101357,3,FALSE)</f>
        <v>HPQ</v>
      </c>
      <c r="E565" t="s">
        <v>61</v>
      </c>
      <c r="F565">
        <v>25.77</v>
      </c>
      <c r="G565">
        <v>20</v>
      </c>
      <c r="H565">
        <f>IF(VLOOKUP(B565,Trades!A:N,4,FALSE)="Long",(F565-VLOOKUP(B565,Trades!A:N,6,FALSE))*G565,(VLOOKUP(B565,Trades!A:N,6,FALSE)-F565)*G565)</f>
        <v>11.599999999999966</v>
      </c>
      <c r="I565">
        <f>H565/VLOOKUP(B565,Trades!A$1:$N$100794,9,FALSE)</f>
        <v>0.57999999999999829</v>
      </c>
    </row>
    <row r="566" spans="1:9" x14ac:dyDescent="0.25">
      <c r="A566">
        <f t="shared" si="57"/>
        <v>565</v>
      </c>
      <c r="B566" s="1" t="s">
        <v>790</v>
      </c>
      <c r="C566" s="1">
        <v>46227</v>
      </c>
      <c r="D566" t="str">
        <f>VLOOKUP(B566,Trades!A$1:N101358,3,FALSE)</f>
        <v>NVDA</v>
      </c>
      <c r="E566" t="s">
        <v>61</v>
      </c>
      <c r="F566">
        <v>209.57</v>
      </c>
      <c r="G566">
        <v>5</v>
      </c>
      <c r="H566">
        <f>IF(VLOOKUP(B566,Trades!A:N,4,FALSE)="Long",(F566-VLOOKUP(B566,Trades!A:N,6,FALSE))*G566,(VLOOKUP(B566,Trades!A:N,6,FALSE)-F566)*G566)</f>
        <v>7.7499999999999147</v>
      </c>
      <c r="I566">
        <f>H566/VLOOKUP(B566,Trades!A$1:$N$100794,9,FALSE)</f>
        <v>1.5499999999999829</v>
      </c>
    </row>
    <row r="567" spans="1:9" x14ac:dyDescent="0.25">
      <c r="A567">
        <f t="shared" si="57"/>
        <v>566</v>
      </c>
      <c r="B567" s="1" t="s">
        <v>791</v>
      </c>
      <c r="C567" s="1">
        <v>46227</v>
      </c>
      <c r="D567" t="str">
        <f>VLOOKUP(B567,Trades!A$1:N101359,3,FALSE)</f>
        <v>SMCI</v>
      </c>
      <c r="E567" t="s">
        <v>61</v>
      </c>
      <c r="F567">
        <v>31.18</v>
      </c>
      <c r="G567">
        <v>14</v>
      </c>
      <c r="H567">
        <f>IF(VLOOKUP(B567,Trades!A:N,4,FALSE)="Long",(F567-VLOOKUP(B567,Trades!A:N,6,FALSE))*G567,(VLOOKUP(B567,Trades!A:N,6,FALSE)-F567)*G567)</f>
        <v>11.480000000000004</v>
      </c>
      <c r="I567">
        <f>H567/VLOOKUP(B567,Trades!A$1:$N$100794,9,FALSE)</f>
        <v>0.82000000000000028</v>
      </c>
    </row>
    <row r="568" spans="1:9" x14ac:dyDescent="0.25">
      <c r="A568">
        <f t="shared" si="57"/>
        <v>567</v>
      </c>
      <c r="B568" s="1" t="s">
        <v>792</v>
      </c>
      <c r="C568" s="1">
        <v>46227</v>
      </c>
      <c r="D568" t="str">
        <f>VLOOKUP(B568,Trades!A$1:N101360,3,FALSE)</f>
        <v>FLS</v>
      </c>
      <c r="E568" t="s">
        <v>61</v>
      </c>
      <c r="F568">
        <v>72.52</v>
      </c>
      <c r="G568">
        <v>10</v>
      </c>
      <c r="H568">
        <f>IF(VLOOKUP(B568,Trades!A:N,4,FALSE)="Long",(F568-VLOOKUP(B568,Trades!A:N,6,FALSE))*G568,(VLOOKUP(B568,Trades!A:N,6,FALSE)-F568)*G568)</f>
        <v>-0.49999999999997158</v>
      </c>
      <c r="I568">
        <f>H568/VLOOKUP(B568,Trades!A$1:$N$100794,9,FALSE)</f>
        <v>-4.9999999999997158E-2</v>
      </c>
    </row>
    <row r="569" spans="1:9" x14ac:dyDescent="0.25">
      <c r="A569">
        <f t="shared" si="57"/>
        <v>568</v>
      </c>
      <c r="B569" s="1" t="s">
        <v>793</v>
      </c>
      <c r="C569" s="1">
        <v>46227</v>
      </c>
      <c r="D569" t="str">
        <f>VLOOKUP(B569,Trades!A$1:N101361,3,FALSE)</f>
        <v>APP</v>
      </c>
      <c r="E569" t="s">
        <v>61</v>
      </c>
      <c r="F569">
        <v>396.84</v>
      </c>
      <c r="G569">
        <v>3</v>
      </c>
      <c r="H569">
        <f>IF(VLOOKUP(B569,Trades!A:N,4,FALSE)="Long",(F569-VLOOKUP(B569,Trades!A:N,6,FALSE))*G569,(VLOOKUP(B569,Trades!A:N,6,FALSE)-F569)*G569)</f>
        <v>14.849999999999966</v>
      </c>
      <c r="I569">
        <f>H569/VLOOKUP(B569,Trades!A$1:$N$100794,9,FALSE)</f>
        <v>4.9499999999999886</v>
      </c>
    </row>
    <row r="570" spans="1:9" x14ac:dyDescent="0.25">
      <c r="A570">
        <f t="shared" ref="A570:A575" si="58">ROW()-1</f>
        <v>569</v>
      </c>
      <c r="B570" s="1" t="s">
        <v>794</v>
      </c>
      <c r="C570" s="1">
        <v>46230</v>
      </c>
      <c r="D570" t="str">
        <f>VLOOKUP(B570,Trades!A$1:N101362,3,FALSE)</f>
        <v>HPQ</v>
      </c>
      <c r="E570" t="s">
        <v>61</v>
      </c>
      <c r="F570">
        <v>26.21</v>
      </c>
      <c r="G570">
        <v>40</v>
      </c>
      <c r="H570">
        <f>IF(VLOOKUP(B570,Trades!A:N,4,FALSE)="Long",(F570-VLOOKUP(B570,Trades!A:N,6,FALSE))*G570,(VLOOKUP(B570,Trades!A:N,6,FALSE)-F570)*G570)</f>
        <v>-9.5999999999999375</v>
      </c>
      <c r="I570">
        <f>H570/VLOOKUP(B570,Trades!A$1:$N$100794,9,FALSE)</f>
        <v>-0.23999999999999844</v>
      </c>
    </row>
    <row r="571" spans="1:9" x14ac:dyDescent="0.25">
      <c r="A571">
        <f t="shared" si="58"/>
        <v>570</v>
      </c>
      <c r="B571" s="1" t="s">
        <v>795</v>
      </c>
      <c r="C571" s="1">
        <v>46230</v>
      </c>
      <c r="D571" t="str">
        <f>VLOOKUP(B571,Trades!A$1:N101363,3,FALSE)</f>
        <v>QBTS</v>
      </c>
      <c r="E571" t="s">
        <v>61</v>
      </c>
      <c r="F571">
        <v>18.48</v>
      </c>
      <c r="G571">
        <v>10</v>
      </c>
      <c r="H571">
        <f>IF(VLOOKUP(B571,Trades!A:N,4,FALSE)="Long",(F571-VLOOKUP(B571,Trades!A:N,6,FALSE))*G571,(VLOOKUP(B571,Trades!A:N,6,FALSE)-F571)*G571)</f>
        <v>-1.2999999999999901</v>
      </c>
      <c r="I571">
        <f>H571/VLOOKUP(B571,Trades!A$1:$N$100794,9,FALSE)</f>
        <v>-0.12999999999999901</v>
      </c>
    </row>
    <row r="572" spans="1:9" x14ac:dyDescent="0.25">
      <c r="A572">
        <f t="shared" si="58"/>
        <v>571</v>
      </c>
      <c r="B572" s="1" t="s">
        <v>796</v>
      </c>
      <c r="C572" s="1">
        <v>46230</v>
      </c>
      <c r="D572" t="str">
        <f>VLOOKUP(B572,Trades!A$1:N101364,3,FALSE)</f>
        <v>BMY</v>
      </c>
      <c r="E572" t="s">
        <v>61</v>
      </c>
      <c r="F572">
        <v>62.96</v>
      </c>
      <c r="G572">
        <v>20</v>
      </c>
      <c r="H572">
        <f>IF(VLOOKUP(B572,Trades!A:N,4,FALSE)="Long",(F572-VLOOKUP(B572,Trades!A:N,6,FALSE))*G572,(VLOOKUP(B572,Trades!A:N,6,FALSE)-F572)*G572)</f>
        <v>-1.4000000000000057</v>
      </c>
      <c r="I572">
        <f>H572/VLOOKUP(B572,Trades!A$1:$N$100794,9,FALSE)</f>
        <v>-7.0000000000000284E-2</v>
      </c>
    </row>
    <row r="573" spans="1:9" x14ac:dyDescent="0.25">
      <c r="A573">
        <f t="shared" si="58"/>
        <v>572</v>
      </c>
      <c r="B573" s="1" t="s">
        <v>797</v>
      </c>
      <c r="C573" s="1">
        <v>46230</v>
      </c>
      <c r="D573" t="str">
        <f>VLOOKUP(B573,Trades!A$1:N101365,3,FALSE)</f>
        <v>RTX</v>
      </c>
      <c r="E573" t="s">
        <v>61</v>
      </c>
      <c r="F573">
        <v>219.65</v>
      </c>
      <c r="G573">
        <v>5</v>
      </c>
      <c r="H573">
        <f>IF(VLOOKUP(B573,Trades!A:N,4,FALSE)="Long",(F573-VLOOKUP(B573,Trades!A:N,6,FALSE))*G573,(VLOOKUP(B573,Trades!A:N,6,FALSE)-F573)*G573)</f>
        <v>10.400000000000063</v>
      </c>
      <c r="I573">
        <f>H573/VLOOKUP(B573,Trades!A$1:$N$100794,9,FALSE)</f>
        <v>2.0800000000000125</v>
      </c>
    </row>
    <row r="574" spans="1:9" x14ac:dyDescent="0.25">
      <c r="A574">
        <f t="shared" si="58"/>
        <v>573</v>
      </c>
      <c r="B574" s="1" t="s">
        <v>798</v>
      </c>
      <c r="C574" s="1">
        <v>46230</v>
      </c>
      <c r="D574" t="str">
        <f>VLOOKUP(B574,Trades!A$1:N101366,3,FALSE)</f>
        <v>APP</v>
      </c>
      <c r="E574" t="s">
        <v>61</v>
      </c>
      <c r="F574">
        <v>412.15</v>
      </c>
      <c r="G574">
        <v>5</v>
      </c>
      <c r="H574">
        <f>IF(VLOOKUP(B574,Trades!A:N,4,FALSE)="Long",(F574-VLOOKUP(B574,Trades!A:N,6,FALSE))*G574,(VLOOKUP(B574,Trades!A:N,6,FALSE)-F574)*G574)</f>
        <v>-4.8000000000001819</v>
      </c>
      <c r="I574">
        <f>H574/VLOOKUP(B574,Trades!A$1:$N$100794,9,FALSE)</f>
        <v>-1.6000000000000607</v>
      </c>
    </row>
    <row r="575" spans="1:9" x14ac:dyDescent="0.25">
      <c r="A575">
        <f t="shared" si="58"/>
        <v>574</v>
      </c>
      <c r="B575" s="1" t="s">
        <v>799</v>
      </c>
      <c r="C575" s="1">
        <v>46230</v>
      </c>
      <c r="D575" t="str">
        <f>VLOOKUP(B575,Trades!A$1:N101367,3,FALSE)</f>
        <v>MU</v>
      </c>
      <c r="E575" t="s">
        <v>61</v>
      </c>
      <c r="F575">
        <v>897.5</v>
      </c>
      <c r="G575">
        <v>2</v>
      </c>
      <c r="H575">
        <f>IF(VLOOKUP(B575,Trades!A:N,4,FALSE)="Long",(F575-VLOOKUP(B575,Trades!A:N,6,FALSE))*G575,(VLOOKUP(B575,Trades!A:N,6,FALSE)-F575)*G575)</f>
        <v>-15</v>
      </c>
      <c r="I575">
        <f>H575/VLOOKUP(B575,Trades!A$1:$N$100794,9,FALSE)</f>
        <v>-7.5</v>
      </c>
    </row>
    <row r="576" spans="1:9" x14ac:dyDescent="0.25">
      <c r="A576">
        <f t="shared" ref="A576:A584" si="59">ROW()-1</f>
        <v>575</v>
      </c>
      <c r="B576" s="1" t="s">
        <v>800</v>
      </c>
      <c r="C576" s="1">
        <v>46231</v>
      </c>
      <c r="D576" t="str">
        <f>VLOOKUP(B576,Trades!A$1:N101368,3,FALSE)</f>
        <v>APP</v>
      </c>
      <c r="E576" t="s">
        <v>61</v>
      </c>
      <c r="F576">
        <v>410.05</v>
      </c>
      <c r="G576">
        <v>3</v>
      </c>
      <c r="H576">
        <f>IF(VLOOKUP(B576,Trades!A:N,4,FALSE)="Long",(F576-VLOOKUP(B576,Trades!A:N,6,FALSE))*G576,(VLOOKUP(B576,Trades!A:N,6,FALSE)-F576)*G576)</f>
        <v>-7.7399999999999523</v>
      </c>
      <c r="I576">
        <f>H576/VLOOKUP(B576,Trades!A$1:$N$100794,9,FALSE)</f>
        <v>-2.5799999999999841</v>
      </c>
    </row>
    <row r="577" spans="1:9" x14ac:dyDescent="0.25">
      <c r="A577">
        <f t="shared" si="59"/>
        <v>576</v>
      </c>
      <c r="B577" s="1" t="s">
        <v>801</v>
      </c>
      <c r="C577" s="1">
        <v>46231</v>
      </c>
      <c r="D577" t="str">
        <f>VLOOKUP(B577,Trades!A$1:N101369,3,FALSE)</f>
        <v>APLD</v>
      </c>
      <c r="E577" t="s">
        <v>61</v>
      </c>
      <c r="F577">
        <v>25.88</v>
      </c>
      <c r="G577">
        <v>20</v>
      </c>
      <c r="H577">
        <f>IF(VLOOKUP(B577,Trades!A:N,4,FALSE)="Long",(F577-VLOOKUP(B577,Trades!A:N,6,FALSE))*G577,(VLOOKUP(B577,Trades!A:N,6,FALSE)-F577)*G577)</f>
        <v>-12.800000000000011</v>
      </c>
      <c r="I577">
        <f>H577/VLOOKUP(B577,Trades!A$1:$N$100794,9,FALSE)</f>
        <v>-0.64000000000000057</v>
      </c>
    </row>
    <row r="578" spans="1:9" x14ac:dyDescent="0.25">
      <c r="A578">
        <f t="shared" si="59"/>
        <v>577</v>
      </c>
      <c r="B578" s="1" t="s">
        <v>803</v>
      </c>
      <c r="C578" s="1">
        <v>46231</v>
      </c>
      <c r="D578" t="str">
        <f>VLOOKUP(B578,Trades!A$1:N101370,3,FALSE)</f>
        <v>APP</v>
      </c>
      <c r="E578" t="s">
        <v>61</v>
      </c>
      <c r="F578">
        <v>412.83</v>
      </c>
      <c r="G578">
        <v>3</v>
      </c>
      <c r="H578">
        <f>IF(VLOOKUP(B578,Trades!A:N,4,FALSE)="Long",(F578-VLOOKUP(B578,Trades!A:N,6,FALSE))*G578,(VLOOKUP(B578,Trades!A:N,6,FALSE)-F578)*G578)</f>
        <v>19.29000000000002</v>
      </c>
      <c r="I578">
        <f>H578/VLOOKUP(B578,Trades!A$1:$N$100794,9,FALSE)</f>
        <v>6.4300000000000068</v>
      </c>
    </row>
    <row r="579" spans="1:9" x14ac:dyDescent="0.25">
      <c r="A579">
        <f t="shared" si="59"/>
        <v>578</v>
      </c>
      <c r="B579" s="1" t="s">
        <v>804</v>
      </c>
      <c r="C579" s="1">
        <v>46231</v>
      </c>
      <c r="D579" t="str">
        <f>VLOOKUP(B579,Trades!A$1:N101371,3,FALSE)</f>
        <v>PATH</v>
      </c>
      <c r="E579" t="s">
        <v>61</v>
      </c>
      <c r="F579">
        <v>12.05</v>
      </c>
      <c r="G579">
        <v>25</v>
      </c>
      <c r="H579">
        <f>IF(VLOOKUP(B579,Trades!A:N,4,FALSE)="Long",(F579-VLOOKUP(B579,Trades!A:N,6,FALSE))*G579,(VLOOKUP(B579,Trades!A:N,6,FALSE)-F579)*G579)</f>
        <v>7.5000000000000178</v>
      </c>
      <c r="I579">
        <f>H579/VLOOKUP(B579,Trades!A$1:$N$100794,9,FALSE)</f>
        <v>0.15000000000000036</v>
      </c>
    </row>
    <row r="580" spans="1:9" x14ac:dyDescent="0.25">
      <c r="A580">
        <f t="shared" si="59"/>
        <v>579</v>
      </c>
      <c r="B580" s="1" t="s">
        <v>805</v>
      </c>
      <c r="C580" s="1">
        <v>46231</v>
      </c>
      <c r="D580" t="str">
        <f>VLOOKUP(B580,Trades!A$1:N101372,3,FALSE)</f>
        <v>BMY</v>
      </c>
      <c r="E580" t="s">
        <v>61</v>
      </c>
      <c r="F580">
        <v>63.79</v>
      </c>
      <c r="G580">
        <v>20</v>
      </c>
      <c r="H580">
        <f>IF(VLOOKUP(B580,Trades!A:N,4,FALSE)="Long",(F580-VLOOKUP(B580,Trades!A:N,6,FALSE))*G580,(VLOOKUP(B580,Trades!A:N,6,FALSE)-F580)*G580)</f>
        <v>-7.6000000000000512</v>
      </c>
      <c r="I580">
        <f>H580/VLOOKUP(B580,Trades!A$1:$N$100794,9,FALSE)</f>
        <v>-0.38000000000000256</v>
      </c>
    </row>
    <row r="581" spans="1:9" x14ac:dyDescent="0.25">
      <c r="A581">
        <f t="shared" si="59"/>
        <v>580</v>
      </c>
      <c r="B581" s="1" t="s">
        <v>806</v>
      </c>
      <c r="C581" s="1">
        <v>46231</v>
      </c>
      <c r="D581" t="str">
        <f>VLOOKUP(B581,Trades!A$1:N101373,3,FALSE)</f>
        <v>SMCI</v>
      </c>
      <c r="E581" t="s">
        <v>61</v>
      </c>
      <c r="F581">
        <v>28.53</v>
      </c>
      <c r="G581">
        <v>20</v>
      </c>
      <c r="H581">
        <f>IF(VLOOKUP(B581,Trades!A:N,4,FALSE)="Long",(F581-VLOOKUP(B581,Trades!A:N,6,FALSE))*G581,(VLOOKUP(B581,Trades!A:N,6,FALSE)-F581)*G581)</f>
        <v>10</v>
      </c>
      <c r="I581">
        <f>H581/VLOOKUP(B581,Trades!A$1:$N$100794,9,FALSE)</f>
        <v>0.5</v>
      </c>
    </row>
    <row r="582" spans="1:9" x14ac:dyDescent="0.25">
      <c r="A582">
        <f t="shared" si="59"/>
        <v>581</v>
      </c>
      <c r="B582" s="1" t="s">
        <v>804</v>
      </c>
      <c r="C582" s="1">
        <v>46231</v>
      </c>
      <c r="D582" t="str">
        <f>VLOOKUP(B582,Trades!A$1:N101374,3,FALSE)</f>
        <v>PATH</v>
      </c>
      <c r="E582" t="s">
        <v>61</v>
      </c>
      <c r="F582">
        <v>11.92</v>
      </c>
      <c r="G582">
        <v>25</v>
      </c>
      <c r="H582">
        <f>IF(VLOOKUP(B582,Trades!A:N,4,FALSE)="Long",(F582-VLOOKUP(B582,Trades!A:N,6,FALSE))*G582,(VLOOKUP(B582,Trades!A:N,6,FALSE)-F582)*G582)</f>
        <v>4.2499999999999982</v>
      </c>
      <c r="I582">
        <f>H582/VLOOKUP(B582,Trades!A$1:$N$100794,9,FALSE)</f>
        <v>8.4999999999999964E-2</v>
      </c>
    </row>
    <row r="583" spans="1:9" x14ac:dyDescent="0.25">
      <c r="A583">
        <f t="shared" si="59"/>
        <v>582</v>
      </c>
      <c r="B583" s="1" t="s">
        <v>807</v>
      </c>
      <c r="C583" s="1">
        <v>46231</v>
      </c>
      <c r="D583" t="str">
        <f>VLOOKUP(B583,Trades!A$1:N101375,3,FALSE)</f>
        <v>MU</v>
      </c>
      <c r="E583" t="s">
        <v>61</v>
      </c>
      <c r="F583">
        <v>827.89</v>
      </c>
      <c r="G583">
        <v>2</v>
      </c>
      <c r="H583">
        <f>IF(VLOOKUP(B583,Trades!A:N,4,FALSE)="Long",(F583-VLOOKUP(B583,Trades!A:N,6,FALSE))*G583,(VLOOKUP(B583,Trades!A:N,6,FALSE)-F583)*G583)</f>
        <v>27.899999999999864</v>
      </c>
      <c r="I583">
        <f>H583/VLOOKUP(B583,Trades!A$1:$N$100794,9,FALSE)</f>
        <v>13.949999999999932</v>
      </c>
    </row>
    <row r="584" spans="1:9" x14ac:dyDescent="0.25">
      <c r="A584">
        <f t="shared" si="59"/>
        <v>583</v>
      </c>
      <c r="B584" s="1" t="s">
        <v>808</v>
      </c>
      <c r="C584" s="1">
        <v>46231</v>
      </c>
      <c r="D584" t="str">
        <f>VLOOKUP(B584,Trades!A$1:N101376,3,FALSE)</f>
        <v>CLX</v>
      </c>
      <c r="E584" t="s">
        <v>61</v>
      </c>
      <c r="F584">
        <v>99.92</v>
      </c>
      <c r="G584">
        <v>10</v>
      </c>
      <c r="H584">
        <f>IF(VLOOKUP(B584,Trades!A:N,4,FALSE)="Long",(F584-VLOOKUP(B584,Trades!A:N,6,FALSE))*G584,(VLOOKUP(B584,Trades!A:N,6,FALSE)-F584)*G584)</f>
        <v>2.9000000000000625</v>
      </c>
      <c r="I584">
        <f>H584/VLOOKUP(B584,Trades!A$1:$N$100794,9,FALSE)</f>
        <v>0.29000000000000625</v>
      </c>
    </row>
    <row r="585" spans="1:9" x14ac:dyDescent="0.25">
      <c r="A585">
        <f t="shared" ref="A585:A594" si="60">ROW()-1</f>
        <v>584</v>
      </c>
      <c r="B585" s="1" t="s">
        <v>809</v>
      </c>
      <c r="C585" s="1">
        <v>46232</v>
      </c>
      <c r="D585" t="str">
        <f>VLOOKUP(B585,Trades!A$1:N101377,3,FALSE)</f>
        <v>INTC</v>
      </c>
      <c r="E585" t="s">
        <v>61</v>
      </c>
      <c r="F585">
        <v>86.2</v>
      </c>
      <c r="G585">
        <v>6</v>
      </c>
      <c r="H585">
        <f>IF(VLOOKUP(B585,Trades!A:N,4,FALSE)="Long",(F585-VLOOKUP(B585,Trades!A:N,6,FALSE))*G585,(VLOOKUP(B585,Trades!A:N,6,FALSE)-F585)*G585)</f>
        <v>-6.6599999999999966</v>
      </c>
      <c r="I585">
        <f>H585/VLOOKUP(B585,Trades!A$1:$N$100794,9,FALSE)</f>
        <v>-1.1099999999999994</v>
      </c>
    </row>
    <row r="586" spans="1:9" x14ac:dyDescent="0.25">
      <c r="A586">
        <f t="shared" si="60"/>
        <v>585</v>
      </c>
      <c r="B586" s="1" t="s">
        <v>810</v>
      </c>
      <c r="C586" s="1">
        <v>46232</v>
      </c>
      <c r="D586" t="str">
        <f>VLOOKUP(B586,Trades!A$1:N101378,3,FALSE)</f>
        <v>ABNB</v>
      </c>
      <c r="E586" t="s">
        <v>61</v>
      </c>
      <c r="F586">
        <v>154.88</v>
      </c>
      <c r="G586">
        <v>7</v>
      </c>
      <c r="H586">
        <f>IF(VLOOKUP(B586,Trades!A:N,4,FALSE)="Long",(F586-VLOOKUP(B586,Trades!A:N,6,FALSE))*G586,(VLOOKUP(B586,Trades!A:N,6,FALSE)-F586)*G586)</f>
        <v>6.9300000000000637</v>
      </c>
      <c r="I586">
        <f>H586/VLOOKUP(B586,Trades!A$1:$N$100794,9,FALSE)</f>
        <v>0.99000000000000909</v>
      </c>
    </row>
    <row r="587" spans="1:9" x14ac:dyDescent="0.25">
      <c r="A587">
        <f t="shared" si="60"/>
        <v>586</v>
      </c>
      <c r="B587" s="1" t="s">
        <v>811</v>
      </c>
      <c r="C587" s="1">
        <v>46232</v>
      </c>
      <c r="D587" t="str">
        <f>VLOOKUP(B587,Trades!A$1:N101379,3,FALSE)</f>
        <v>HPQ</v>
      </c>
      <c r="E587" t="s">
        <v>61</v>
      </c>
      <c r="F587">
        <v>28.67</v>
      </c>
      <c r="G587">
        <v>10</v>
      </c>
      <c r="H587">
        <f>IF(VLOOKUP(B587,Trades!A:N,4,FALSE)="Long",(F587-VLOOKUP(B587,Trades!A:N,6,FALSE))*G587,(VLOOKUP(B587,Trades!A:N,6,FALSE)-F587)*G587)</f>
        <v>4.3000000000000327</v>
      </c>
      <c r="I587">
        <f>H587/VLOOKUP(B587,Trades!A$1:$N$100794,9,FALSE)</f>
        <v>0.21500000000000163</v>
      </c>
    </row>
    <row r="588" spans="1:9" x14ac:dyDescent="0.25">
      <c r="A588">
        <f t="shared" si="60"/>
        <v>587</v>
      </c>
      <c r="B588" s="1" t="s">
        <v>812</v>
      </c>
      <c r="C588" s="1">
        <v>46232</v>
      </c>
      <c r="D588" t="str">
        <f>VLOOKUP(B588,Trades!A$1:N101380,3,FALSE)</f>
        <v>BMY</v>
      </c>
      <c r="E588" t="s">
        <v>61</v>
      </c>
      <c r="F588">
        <v>63.34</v>
      </c>
      <c r="G588">
        <v>20</v>
      </c>
      <c r="H588">
        <f>IF(VLOOKUP(B588,Trades!A:N,4,FALSE)="Long",(F588-VLOOKUP(B588,Trades!A:N,6,FALSE))*G588,(VLOOKUP(B588,Trades!A:N,6,FALSE)-F588)*G588)</f>
        <v>-3.5999999999999943</v>
      </c>
      <c r="I588">
        <f>H588/VLOOKUP(B588,Trades!A$1:$N$100794,9,FALSE)</f>
        <v>-0.17999999999999972</v>
      </c>
    </row>
    <row r="589" spans="1:9" x14ac:dyDescent="0.25">
      <c r="A589">
        <f t="shared" si="60"/>
        <v>588</v>
      </c>
      <c r="B589" s="1" t="s">
        <v>813</v>
      </c>
      <c r="C589" s="1">
        <v>46232</v>
      </c>
      <c r="D589" t="str">
        <f>VLOOKUP(B589,Trades!A$1:N101381,3,FALSE)</f>
        <v>RTX</v>
      </c>
      <c r="E589" t="s">
        <v>61</v>
      </c>
      <c r="F589">
        <v>215.84</v>
      </c>
      <c r="G589">
        <v>5</v>
      </c>
      <c r="H589">
        <f>IF(VLOOKUP(B589,Trades!A:N,4,FALSE)="Long",(F589-VLOOKUP(B589,Trades!A:N,6,FALSE))*G589,(VLOOKUP(B589,Trades!A:N,6,FALSE)-F589)*G589)</f>
        <v>-10.900000000000034</v>
      </c>
      <c r="I589">
        <f>H589/VLOOKUP(B589,Trades!A$1:$N$100794,9,FALSE)</f>
        <v>-2.1800000000000068</v>
      </c>
    </row>
    <row r="590" spans="1:9" x14ac:dyDescent="0.25">
      <c r="A590">
        <f t="shared" si="60"/>
        <v>589</v>
      </c>
      <c r="B590" s="1" t="s">
        <v>811</v>
      </c>
      <c r="C590" s="1">
        <v>46232</v>
      </c>
      <c r="D590" t="str">
        <f>VLOOKUP(B590,Trades!A$1:N101382,3,FALSE)</f>
        <v>HPQ</v>
      </c>
      <c r="E590" t="s">
        <v>61</v>
      </c>
      <c r="F590">
        <v>28.33</v>
      </c>
      <c r="G590">
        <v>10</v>
      </c>
      <c r="H590">
        <f>IF(VLOOKUP(B590,Trades!A:N,4,FALSE)="Long",(F590-VLOOKUP(B590,Trades!A:N,6,FALSE))*G590,(VLOOKUP(B590,Trades!A:N,6,FALSE)-F590)*G590)</f>
        <v>0.89999999999999858</v>
      </c>
      <c r="I590">
        <f>H590/VLOOKUP(B590,Trades!A$1:$N$100794,9,FALSE)</f>
        <v>4.4999999999999929E-2</v>
      </c>
    </row>
    <row r="591" spans="1:9" x14ac:dyDescent="0.25">
      <c r="A591">
        <f t="shared" si="60"/>
        <v>590</v>
      </c>
      <c r="B591" s="1" t="s">
        <v>814</v>
      </c>
      <c r="C591" s="1">
        <v>46232</v>
      </c>
      <c r="D591" t="str">
        <f>VLOOKUP(B591,Trades!A$1:N101383,3,FALSE)</f>
        <v>DIS</v>
      </c>
      <c r="E591" t="s">
        <v>61</v>
      </c>
      <c r="F591">
        <v>98.78</v>
      </c>
      <c r="G591">
        <v>10</v>
      </c>
      <c r="H591">
        <f>IF(VLOOKUP(B591,Trades!A:N,4,FALSE)="Long",(F591-VLOOKUP(B591,Trades!A:N,6,FALSE))*G591,(VLOOKUP(B591,Trades!A:N,6,FALSE)-F591)*G591)</f>
        <v>-4.0000000000000568</v>
      </c>
      <c r="I591">
        <f>H591/VLOOKUP(B591,Trades!A$1:$N$100794,9,FALSE)</f>
        <v>-0.40000000000000568</v>
      </c>
    </row>
    <row r="592" spans="1:9" x14ac:dyDescent="0.25">
      <c r="A592">
        <f t="shared" si="60"/>
        <v>591</v>
      </c>
      <c r="B592" s="1" t="s">
        <v>815</v>
      </c>
      <c r="C592" s="1">
        <v>46232</v>
      </c>
      <c r="D592" t="str">
        <f>VLOOKUP(B592,Trades!A$1:N101384,3,FALSE)</f>
        <v>PATH</v>
      </c>
      <c r="E592" t="s">
        <v>61</v>
      </c>
      <c r="F592">
        <v>12.77</v>
      </c>
      <c r="G592">
        <v>20</v>
      </c>
      <c r="H592">
        <f>IF(VLOOKUP(B592,Trades!A:N,4,FALSE)="Long",(F592-VLOOKUP(B592,Trades!A:N,6,FALSE))*G592,(VLOOKUP(B592,Trades!A:N,6,FALSE)-F592)*G592)</f>
        <v>8.0000000000000071</v>
      </c>
      <c r="I592">
        <f>H592/VLOOKUP(B592,Trades!A$1:$N$100794,9,FALSE)</f>
        <v>0.40000000000000036</v>
      </c>
    </row>
    <row r="593" spans="1:9" x14ac:dyDescent="0.25">
      <c r="A593">
        <f t="shared" si="60"/>
        <v>592</v>
      </c>
      <c r="B593" s="1" t="s">
        <v>816</v>
      </c>
      <c r="C593" s="1">
        <v>46232</v>
      </c>
      <c r="D593" t="str">
        <f>VLOOKUP(B593,Trades!A$1:N101385,3,FALSE)</f>
        <v>MU</v>
      </c>
      <c r="E593" t="s">
        <v>61</v>
      </c>
      <c r="F593">
        <v>762</v>
      </c>
      <c r="G593">
        <v>1</v>
      </c>
      <c r="H593">
        <f>IF(VLOOKUP(B593,Trades!A:N,4,FALSE)="Long",(F593-VLOOKUP(B593,Trades!A:N,6,FALSE))*G593,(VLOOKUP(B593,Trades!A:N,6,FALSE)-F593)*G593)</f>
        <v>-9.75</v>
      </c>
      <c r="I593">
        <f>H593/VLOOKUP(B593,Trades!A$1:$N$100794,9,FALSE)</f>
        <v>-9.75</v>
      </c>
    </row>
    <row r="594" spans="1:9" x14ac:dyDescent="0.25">
      <c r="A594">
        <f t="shared" si="60"/>
        <v>593</v>
      </c>
      <c r="B594" s="1" t="s">
        <v>817</v>
      </c>
      <c r="C594" s="1">
        <v>46232</v>
      </c>
      <c r="D594" t="str">
        <f>VLOOKUP(B594,Trades!A$1:N101386,3,FALSE)</f>
        <v>MU</v>
      </c>
      <c r="E594" t="s">
        <v>61</v>
      </c>
      <c r="F594">
        <v>758</v>
      </c>
      <c r="G594">
        <v>1</v>
      </c>
      <c r="H594">
        <f>IF(VLOOKUP(B594,Trades!A:N,4,FALSE)="Long",(F594-VLOOKUP(B594,Trades!A:N,6,FALSE))*G594,(VLOOKUP(B594,Trades!A:N,6,FALSE)-F594)*G594)</f>
        <v>-8.2000000000000455</v>
      </c>
      <c r="I594">
        <f>H594/VLOOKUP(B594,Trades!A$1:$N$100794,9,FALSE)</f>
        <v>-8.2000000000000455</v>
      </c>
    </row>
    <row r="595" spans="1:9" x14ac:dyDescent="0.25">
      <c r="A595">
        <f t="shared" ref="A595:A603" si="61">ROW()-1</f>
        <v>594</v>
      </c>
      <c r="B595" s="1" t="s">
        <v>818</v>
      </c>
      <c r="C595" s="1">
        <v>46233</v>
      </c>
      <c r="D595" t="str">
        <f>VLOOKUP(B595,Trades!A$1:N101387,3,FALSE)</f>
        <v>MU</v>
      </c>
      <c r="E595" t="s">
        <v>61</v>
      </c>
      <c r="F595">
        <v>837</v>
      </c>
      <c r="G595">
        <v>1</v>
      </c>
      <c r="H595">
        <f>IF(VLOOKUP(B595,Trades!A:N,4,FALSE)="Long",(F595-VLOOKUP(B595,Trades!A:N,6,FALSE))*G595,(VLOOKUP(B595,Trades!A:N,6,FALSE)-F595)*G595)</f>
        <v>33.059999999999945</v>
      </c>
      <c r="I595">
        <f>H595/VLOOKUP(B595,Trades!A$1:$N$100794,9,FALSE)</f>
        <v>33.059999999999945</v>
      </c>
    </row>
    <row r="596" spans="1:9" x14ac:dyDescent="0.25">
      <c r="A596">
        <f t="shared" si="61"/>
        <v>595</v>
      </c>
      <c r="B596" s="1" t="s">
        <v>819</v>
      </c>
      <c r="C596" s="1">
        <v>46233</v>
      </c>
      <c r="D596" t="str">
        <f>VLOOKUP(B596,Trades!A$1:N101388,3,FALSE)</f>
        <v>NVDA</v>
      </c>
      <c r="E596" t="s">
        <v>61</v>
      </c>
      <c r="F596">
        <v>195.82</v>
      </c>
      <c r="G596">
        <v>6</v>
      </c>
      <c r="H596">
        <f>IF(VLOOKUP(B596,Trades!A:N,4,FALSE)="Long",(F596-VLOOKUP(B596,Trades!A:N,6,FALSE))*G596,(VLOOKUP(B596,Trades!A:N,6,FALSE)-F596)*G596)</f>
        <v>20.04000000000002</v>
      </c>
      <c r="I596">
        <f>H596/VLOOKUP(B596,Trades!A$1:$N$100794,9,FALSE)</f>
        <v>3.3400000000000034</v>
      </c>
    </row>
    <row r="597" spans="1:9" x14ac:dyDescent="0.25">
      <c r="A597">
        <f t="shared" si="61"/>
        <v>596</v>
      </c>
      <c r="B597" s="1" t="s">
        <v>820</v>
      </c>
      <c r="C597" s="1">
        <v>46233</v>
      </c>
      <c r="D597" t="str">
        <f>VLOOKUP(B597,Trades!A$1:N101389,3,FALSE)</f>
        <v>ORCL</v>
      </c>
      <c r="E597" t="s">
        <v>61</v>
      </c>
      <c r="F597">
        <v>127.72</v>
      </c>
      <c r="G597">
        <v>10</v>
      </c>
      <c r="H597">
        <f>IF(VLOOKUP(B597,Trades!A:N,4,FALSE)="Long",(F597-VLOOKUP(B597,Trades!A:N,6,FALSE))*G597,(VLOOKUP(B597,Trades!A:N,6,FALSE)-F597)*G597)</f>
        <v>28.299999999999983</v>
      </c>
      <c r="I597">
        <f>H597/VLOOKUP(B597,Trades!A$1:$N$100794,9,FALSE)</f>
        <v>2.8299999999999983</v>
      </c>
    </row>
    <row r="598" spans="1:9" x14ac:dyDescent="0.25">
      <c r="A598">
        <f t="shared" si="61"/>
        <v>597</v>
      </c>
      <c r="B598" s="1" t="s">
        <v>821</v>
      </c>
      <c r="C598" s="1">
        <v>46233</v>
      </c>
      <c r="D598" t="str">
        <f>VLOOKUP(B598,Trades!A$1:N101390,3,FALSE)</f>
        <v>QBTS</v>
      </c>
      <c r="E598" t="s">
        <v>61</v>
      </c>
      <c r="F598">
        <v>17.239999999999998</v>
      </c>
      <c r="G598">
        <v>20</v>
      </c>
      <c r="H598">
        <f>IF(VLOOKUP(B598,Trades!A:N,4,FALSE)="Long",(F598-VLOOKUP(B598,Trades!A:N,6,FALSE))*G598,(VLOOKUP(B598,Trades!A:N,6,FALSE)-F598)*G598)</f>
        <v>-9.2000000000000171</v>
      </c>
      <c r="I598">
        <f>H598/VLOOKUP(B598,Trades!A$1:$N$100794,9,FALSE)</f>
        <v>-0.46000000000000085</v>
      </c>
    </row>
    <row r="599" spans="1:9" x14ac:dyDescent="0.25">
      <c r="A599">
        <f t="shared" si="61"/>
        <v>598</v>
      </c>
      <c r="B599" s="1" t="s">
        <v>822</v>
      </c>
      <c r="C599" s="1">
        <v>46233</v>
      </c>
      <c r="D599" t="str">
        <f>VLOOKUP(B599,Trades!A$1:N101391,3,FALSE)</f>
        <v>APP</v>
      </c>
      <c r="E599" t="s">
        <v>61</v>
      </c>
      <c r="F599">
        <v>394.66</v>
      </c>
      <c r="G599">
        <v>2</v>
      </c>
      <c r="H599">
        <f>IF(VLOOKUP(B599,Trades!A:N,4,FALSE)="Long",(F599-VLOOKUP(B599,Trades!A:N,6,FALSE))*G599,(VLOOKUP(B599,Trades!A:N,6,FALSE)-F599)*G599)</f>
        <v>-8.9799999999999045</v>
      </c>
      <c r="I599">
        <f>H599/VLOOKUP(B599,Trades!A$1:$N$100794,9,FALSE)</f>
        <v>-4.4899999999999523</v>
      </c>
    </row>
    <row r="600" spans="1:9" x14ac:dyDescent="0.25">
      <c r="A600">
        <f t="shared" si="61"/>
        <v>599</v>
      </c>
      <c r="B600" s="1" t="s">
        <v>823</v>
      </c>
      <c r="C600" s="1">
        <v>46233</v>
      </c>
      <c r="D600" t="str">
        <f>VLOOKUP(B600,Trades!A$1:N101392,3,FALSE)</f>
        <v>MU</v>
      </c>
      <c r="E600" t="s">
        <v>61</v>
      </c>
      <c r="F600">
        <v>864.25</v>
      </c>
      <c r="G600">
        <v>1</v>
      </c>
      <c r="H600">
        <f>IF(VLOOKUP(B600,Trades!A:N,4,FALSE)="Long",(F600-VLOOKUP(B600,Trades!A:N,6,FALSE))*G600,(VLOOKUP(B600,Trades!A:N,6,FALSE)-F600)*G600)</f>
        <v>16.950000000000045</v>
      </c>
      <c r="I600">
        <f>H600/VLOOKUP(B600,Trades!A$1:$N$100794,9,FALSE)</f>
        <v>16.950000000000045</v>
      </c>
    </row>
    <row r="601" spans="1:9" x14ac:dyDescent="0.25">
      <c r="A601">
        <f t="shared" si="61"/>
        <v>600</v>
      </c>
      <c r="B601" s="1" t="s">
        <v>824</v>
      </c>
      <c r="C601" s="1">
        <v>46233</v>
      </c>
      <c r="D601" t="str">
        <f>VLOOKUP(B601,Trades!A$1:N101393,3,FALSE)</f>
        <v>PATH</v>
      </c>
      <c r="E601" t="s">
        <v>61</v>
      </c>
      <c r="F601">
        <v>12.22</v>
      </c>
      <c r="G601">
        <v>30</v>
      </c>
      <c r="H601">
        <f>IF(VLOOKUP(B601,Trades!A:N,4,FALSE)="Long",(F601-VLOOKUP(B601,Trades!A:N,6,FALSE))*G601,(VLOOKUP(B601,Trades!A:N,6,FALSE)-F601)*G601)</f>
        <v>8.7000000000000277</v>
      </c>
      <c r="I601">
        <f>H601/VLOOKUP(B601,Trades!A$1:$N$100794,9,FALSE)</f>
        <v>0.29000000000000092</v>
      </c>
    </row>
    <row r="602" spans="1:9" x14ac:dyDescent="0.25">
      <c r="A602">
        <f t="shared" si="61"/>
        <v>601</v>
      </c>
      <c r="B602" s="1" t="s">
        <v>825</v>
      </c>
      <c r="C602" s="1">
        <v>46233</v>
      </c>
      <c r="D602" t="str">
        <f>VLOOKUP(B602,Trades!A$1:N101394,3,FALSE)</f>
        <v>DIS</v>
      </c>
      <c r="E602" t="s">
        <v>61</v>
      </c>
      <c r="F602">
        <v>95.95</v>
      </c>
      <c r="G602">
        <v>5</v>
      </c>
      <c r="H602">
        <f>IF(VLOOKUP(B602,Trades!A:N,4,FALSE)="Long",(F602-VLOOKUP(B602,Trades!A:N,6,FALSE))*G602,(VLOOKUP(B602,Trades!A:N,6,FALSE)-F602)*G602)</f>
        <v>2.1000000000000085</v>
      </c>
      <c r="I602">
        <f>H602/VLOOKUP(B602,Trades!A$1:$N$100794,9,FALSE)</f>
        <v>0.42000000000000171</v>
      </c>
    </row>
    <row r="603" spans="1:9" x14ac:dyDescent="0.25">
      <c r="A603">
        <f t="shared" si="61"/>
        <v>602</v>
      </c>
      <c r="B603" s="1" t="s">
        <v>826</v>
      </c>
      <c r="C603" s="1">
        <v>46233</v>
      </c>
      <c r="D603" t="str">
        <f>VLOOKUP(B603,Trades!A$1:N101395,3,FALSE)</f>
        <v>NVDA</v>
      </c>
      <c r="E603" t="s">
        <v>61</v>
      </c>
      <c r="F603">
        <v>195</v>
      </c>
      <c r="G603">
        <v>5</v>
      </c>
      <c r="H603">
        <f>IF(VLOOKUP(B603,Trades!A:N,4,FALSE)="Long",(F603-VLOOKUP(B603,Trades!A:N,6,FALSE))*G603,(VLOOKUP(B603,Trades!A:N,6,FALSE)-F603)*G603)</f>
        <v>6.8999999999999773</v>
      </c>
      <c r="I603">
        <f>H603/VLOOKUP(B603,Trades!A$1:$N$100794,9,FALSE)</f>
        <v>1.3799999999999955</v>
      </c>
    </row>
    <row r="604" spans="1:9" x14ac:dyDescent="0.25">
      <c r="A604">
        <f t="shared" ref="A604:A610" si="62">ROW()-1</f>
        <v>603</v>
      </c>
      <c r="B604" s="1" t="s">
        <v>827</v>
      </c>
      <c r="C604" s="1">
        <v>46234</v>
      </c>
      <c r="D604" t="str">
        <f>VLOOKUP(B604,Trades!A$1:N101396,3,FALSE)</f>
        <v>AMZN</v>
      </c>
      <c r="E604" t="s">
        <v>61</v>
      </c>
      <c r="F604">
        <v>266.76</v>
      </c>
      <c r="G604">
        <v>5</v>
      </c>
      <c r="H604">
        <f>IF(VLOOKUP(B604,Trades!A:N,4,FALSE)="Long",(F604-VLOOKUP(B604,Trades!A:N,6,FALSE))*G604,(VLOOKUP(B604,Trades!A:N,6,FALSE)-F604)*G604)</f>
        <v>-11.200000000000045</v>
      </c>
      <c r="I604">
        <f>H604/VLOOKUP(B604,Trades!A$1:$N$100794,9,FALSE)</f>
        <v>-2.2400000000000091</v>
      </c>
    </row>
    <row r="605" spans="1:9" x14ac:dyDescent="0.25">
      <c r="A605">
        <f t="shared" si="62"/>
        <v>604</v>
      </c>
      <c r="B605" s="1" t="s">
        <v>828</v>
      </c>
      <c r="C605" s="1">
        <v>46234</v>
      </c>
      <c r="D605" t="str">
        <f>VLOOKUP(B605,Trades!A$1:N101397,3,FALSE)</f>
        <v>MSFT</v>
      </c>
      <c r="E605" t="s">
        <v>61</v>
      </c>
      <c r="F605">
        <v>456.93</v>
      </c>
      <c r="G605">
        <v>2</v>
      </c>
      <c r="H605">
        <f>IF(VLOOKUP(B605,Trades!A:N,4,FALSE)="Long",(F605-VLOOKUP(B605,Trades!A:N,6,FALSE))*G605,(VLOOKUP(B605,Trades!A:N,6,FALSE)-F605)*G605)</f>
        <v>-8.1599999999999682</v>
      </c>
      <c r="I605">
        <f>H605/VLOOKUP(B605,Trades!A$1:$N$100794,9,FALSE)</f>
        <v>-4.0799999999999841</v>
      </c>
    </row>
    <row r="606" spans="1:9" x14ac:dyDescent="0.25">
      <c r="A606">
        <f t="shared" si="62"/>
        <v>605</v>
      </c>
      <c r="B606" s="1" t="s">
        <v>829</v>
      </c>
      <c r="C606" s="1">
        <v>46234</v>
      </c>
      <c r="D606" t="str">
        <f>VLOOKUP(B606,Trades!A$1:N101398,3,FALSE)</f>
        <v>ABNB</v>
      </c>
      <c r="E606" t="s">
        <v>61</v>
      </c>
      <c r="F606">
        <v>151.52000000000001</v>
      </c>
      <c r="G606">
        <v>8</v>
      </c>
      <c r="H606">
        <f>IF(VLOOKUP(B606,Trades!A:N,4,FALSE)="Long",(F606-VLOOKUP(B606,Trades!A:N,6,FALSE))*G606,(VLOOKUP(B606,Trades!A:N,6,FALSE)-F606)*G606)</f>
        <v>-6.7999999999999545</v>
      </c>
      <c r="I606">
        <f>H606/VLOOKUP(B606,Trades!A$1:$N$100794,9,FALSE)</f>
        <v>-0.84999999999999432</v>
      </c>
    </row>
    <row r="607" spans="1:9" x14ac:dyDescent="0.25">
      <c r="A607">
        <f t="shared" si="62"/>
        <v>606</v>
      </c>
      <c r="B607" s="1" t="s">
        <v>830</v>
      </c>
      <c r="C607" s="1">
        <v>46234</v>
      </c>
      <c r="D607" t="str">
        <f>VLOOKUP(B607,Trades!A$1:N101399,3,FALSE)</f>
        <v>MU</v>
      </c>
      <c r="E607" t="s">
        <v>61</v>
      </c>
      <c r="F607">
        <v>849.55</v>
      </c>
      <c r="G607">
        <v>2</v>
      </c>
      <c r="H607">
        <f>IF(VLOOKUP(B607,Trades!A:N,4,FALSE)="Long",(F607-VLOOKUP(B607,Trades!A:N,6,FALSE))*G607,(VLOOKUP(B607,Trades!A:N,6,FALSE)-F607)*G607)</f>
        <v>23.779999999999973</v>
      </c>
      <c r="I607">
        <f>H607/VLOOKUP(B607,Trades!A$1:$N$100794,9,FALSE)</f>
        <v>11.889999999999986</v>
      </c>
    </row>
    <row r="608" spans="1:9" x14ac:dyDescent="0.25">
      <c r="A608">
        <f t="shared" si="62"/>
        <v>607</v>
      </c>
      <c r="B608" s="1" t="s">
        <v>831</v>
      </c>
      <c r="C608" s="1">
        <v>46234</v>
      </c>
      <c r="D608" t="str">
        <f>VLOOKUP(B608,Trades!A$1:N101400,3,FALSE)</f>
        <v>QBTS</v>
      </c>
      <c r="E608" t="s">
        <v>61</v>
      </c>
      <c r="F608">
        <v>18.16</v>
      </c>
      <c r="G608">
        <v>25</v>
      </c>
      <c r="H608">
        <f>IF(VLOOKUP(B608,Trades!A:N,4,FALSE)="Long",(F608-VLOOKUP(B608,Trades!A:N,6,FALSE))*G608,(VLOOKUP(B608,Trades!A:N,6,FALSE)-F608)*G608)</f>
        <v>-2.5000000000000355</v>
      </c>
      <c r="I608">
        <f>H608/VLOOKUP(B608,Trades!A$1:$N$100794,9,FALSE)</f>
        <v>-0.10000000000000142</v>
      </c>
    </row>
    <row r="609" spans="1:9" x14ac:dyDescent="0.25">
      <c r="A609">
        <f t="shared" si="62"/>
        <v>608</v>
      </c>
      <c r="B609" s="1" t="s">
        <v>832</v>
      </c>
      <c r="C609" s="1">
        <v>46234</v>
      </c>
      <c r="D609" t="str">
        <f>VLOOKUP(B609,Trades!A$1:N101401,3,FALSE)</f>
        <v>PATH</v>
      </c>
      <c r="E609" t="s">
        <v>61</v>
      </c>
      <c r="F609">
        <v>12.67</v>
      </c>
      <c r="G609">
        <v>40</v>
      </c>
      <c r="H609">
        <f>IF(VLOOKUP(B609,Trades!A:N,4,FALSE)="Long",(F609-VLOOKUP(B609,Trades!A:N,6,FALSE))*G609,(VLOOKUP(B609,Trades!A:N,6,FALSE)-F609)*G609)</f>
        <v>5.6000000000000227</v>
      </c>
      <c r="I609">
        <f>H609/VLOOKUP(B609,Trades!A$1:$N$100794,9,FALSE)</f>
        <v>0.14000000000000057</v>
      </c>
    </row>
    <row r="610" spans="1:9" x14ac:dyDescent="0.25">
      <c r="A610">
        <f t="shared" si="62"/>
        <v>609</v>
      </c>
      <c r="B610" s="1" t="s">
        <v>833</v>
      </c>
      <c r="C610" s="1">
        <v>46234</v>
      </c>
      <c r="D610" t="str">
        <f>VLOOKUP(B610,Trades!A$1:N101402,3,FALSE)</f>
        <v>HPQ</v>
      </c>
      <c r="E610" t="s">
        <v>61</v>
      </c>
      <c r="F610">
        <v>27.09</v>
      </c>
      <c r="G610">
        <v>20</v>
      </c>
      <c r="H610">
        <f>IF(VLOOKUP(B610,Trades!A:N,4,FALSE)="Long",(F610-VLOOKUP(B610,Trades!A:N,6,FALSE))*G610,(VLOOKUP(B610,Trades!A:N,6,FALSE)-F610)*G610)</f>
        <v>1.1999999999999744</v>
      </c>
      <c r="I610">
        <f>H610/VLOOKUP(B610,Trades!A$1:$N$100794,9,FALSE)</f>
        <v>5.9999999999998721E-2</v>
      </c>
    </row>
    <row r="611" spans="1:9" x14ac:dyDescent="0.25">
      <c r="A611">
        <f t="shared" ref="A611:A620" si="63">ROW()-1</f>
        <v>610</v>
      </c>
      <c r="B611" s="1" t="s">
        <v>834</v>
      </c>
      <c r="C611" s="1">
        <v>46237</v>
      </c>
      <c r="D611" t="str">
        <f>VLOOKUP(B611,Trades!A$1:N101403,3,FALSE)</f>
        <v>MU</v>
      </c>
      <c r="E611" t="s">
        <v>61</v>
      </c>
      <c r="F611">
        <v>781.07</v>
      </c>
      <c r="G611">
        <v>1</v>
      </c>
      <c r="H611">
        <f>IF(VLOOKUP(B611,Trades!A:N,4,FALSE)="Long",(F611-VLOOKUP(B611,Trades!A:N,6,FALSE))*G611,(VLOOKUP(B611,Trades!A:N,6,FALSE)-F611)*G611)</f>
        <v>-12.919999999999959</v>
      </c>
      <c r="I611">
        <f>H611/VLOOKUP(B611,Trades!A$1:$N$100794,9,FALSE)</f>
        <v>-12.919999999999959</v>
      </c>
    </row>
    <row r="612" spans="1:9" x14ac:dyDescent="0.25">
      <c r="A612">
        <f t="shared" si="63"/>
        <v>611</v>
      </c>
      <c r="B612" s="1" t="s">
        <v>836</v>
      </c>
      <c r="C612" s="1">
        <v>46237</v>
      </c>
      <c r="D612" t="str">
        <f>VLOOKUP(B612,Trades!A$1:N101404,3,FALSE)</f>
        <v>GOOG</v>
      </c>
      <c r="E612" t="s">
        <v>61</v>
      </c>
      <c r="F612">
        <v>370.25</v>
      </c>
      <c r="G612">
        <v>3</v>
      </c>
      <c r="H612">
        <f>IF(VLOOKUP(B612,Trades!A:N,4,FALSE)="Long",(F612-VLOOKUP(B612,Trades!A:N,6,FALSE))*G612,(VLOOKUP(B612,Trades!A:N,6,FALSE)-F612)*G612)</f>
        <v>-9.0299999999999727</v>
      </c>
      <c r="I612">
        <f>H612/VLOOKUP(B612,Trades!A$1:$N$100794,9,FALSE)</f>
        <v>-3.0099999999999909</v>
      </c>
    </row>
    <row r="613" spans="1:9" x14ac:dyDescent="0.25">
      <c r="A613">
        <f t="shared" si="63"/>
        <v>612</v>
      </c>
      <c r="B613" s="1" t="s">
        <v>837</v>
      </c>
      <c r="C613" s="1">
        <v>46237</v>
      </c>
      <c r="D613" t="str">
        <f>VLOOKUP(B613,Trades!A$1:N101405,3,FALSE)</f>
        <v>ORCL</v>
      </c>
      <c r="E613" t="s">
        <v>61</v>
      </c>
      <c r="F613">
        <v>135.94999999999999</v>
      </c>
      <c r="G613">
        <v>5</v>
      </c>
      <c r="H613">
        <f>IF(VLOOKUP(B613,Trades!A:N,4,FALSE)="Long",(F613-VLOOKUP(B613,Trades!A:N,6,FALSE))*G613,(VLOOKUP(B613,Trades!A:N,6,FALSE)-F613)*G613)</f>
        <v>0.899999999999892</v>
      </c>
      <c r="I613">
        <f>H613/VLOOKUP(B613,Trades!A$1:$N$100794,9,FALSE)</f>
        <v>0.1799999999999784</v>
      </c>
    </row>
    <row r="614" spans="1:9" x14ac:dyDescent="0.25">
      <c r="A614">
        <f t="shared" si="63"/>
        <v>613</v>
      </c>
      <c r="B614" s="1" t="s">
        <v>838</v>
      </c>
      <c r="C614" s="1">
        <v>46237</v>
      </c>
      <c r="D614" t="str">
        <f>VLOOKUP(B614,Trades!A$1:N101406,3,FALSE)</f>
        <v>APP</v>
      </c>
      <c r="E614" t="s">
        <v>61</v>
      </c>
      <c r="F614">
        <v>401.81</v>
      </c>
      <c r="G614">
        <v>2</v>
      </c>
      <c r="H614">
        <f>IF(VLOOKUP(B614,Trades!A:N,4,FALSE)="Long",(F614-VLOOKUP(B614,Trades!A:N,6,FALSE))*G614,(VLOOKUP(B614,Trades!A:N,6,FALSE)-F614)*G614)</f>
        <v>-8.3799999999999955</v>
      </c>
      <c r="I614">
        <f>H614/VLOOKUP(B614,Trades!A$1:$N$100794,9,FALSE)</f>
        <v>-4.1899999999999977</v>
      </c>
    </row>
    <row r="615" spans="1:9" x14ac:dyDescent="0.25">
      <c r="A615">
        <f t="shared" si="63"/>
        <v>614</v>
      </c>
      <c r="B615" s="1" t="s">
        <v>839</v>
      </c>
      <c r="C615" s="1">
        <v>46237</v>
      </c>
      <c r="D615" t="str">
        <f>VLOOKUP(B615,Trades!A$1:N101407,3,FALSE)</f>
        <v>TCEHY</v>
      </c>
      <c r="E615" t="s">
        <v>61</v>
      </c>
      <c r="F615">
        <v>62.33</v>
      </c>
      <c r="G615">
        <v>20</v>
      </c>
      <c r="H615">
        <f>IF(VLOOKUP(B615,Trades!A:N,4,FALSE)="Long",(F615-VLOOKUP(B615,Trades!A:N,6,FALSE))*G615,(VLOOKUP(B615,Trades!A:N,6,FALSE)-F615)*G615)</f>
        <v>-5.4000000000000625</v>
      </c>
      <c r="I615">
        <f>H615/VLOOKUP(B615,Trades!A$1:$N$100794,9,FALSE)</f>
        <v>-0.27000000000000313</v>
      </c>
    </row>
    <row r="616" spans="1:9" x14ac:dyDescent="0.25">
      <c r="A616">
        <f t="shared" si="63"/>
        <v>615</v>
      </c>
      <c r="B616" s="1" t="s">
        <v>841</v>
      </c>
      <c r="C616" s="1">
        <v>46237</v>
      </c>
      <c r="D616" t="str">
        <f>VLOOKUP(B616,Trades!A$1:N101408,3,FALSE)</f>
        <v>ARM</v>
      </c>
      <c r="E616" t="s">
        <v>61</v>
      </c>
      <c r="F616">
        <v>238.26</v>
      </c>
      <c r="G616">
        <v>4</v>
      </c>
      <c r="H616">
        <f>IF(VLOOKUP(B616,Trades!A:N,4,FALSE)="Long",(F616-VLOOKUP(B616,Trades!A:N,6,FALSE))*G616,(VLOOKUP(B616,Trades!A:N,6,FALSE)-F616)*G616)</f>
        <v>10.839999999999918</v>
      </c>
      <c r="I616">
        <f>H616/VLOOKUP(B616,Trades!A$1:$N$100794,9,FALSE)</f>
        <v>2.7099999999999795</v>
      </c>
    </row>
    <row r="617" spans="1:9" x14ac:dyDescent="0.25">
      <c r="A617">
        <f t="shared" si="63"/>
        <v>616</v>
      </c>
      <c r="B617" s="1" t="s">
        <v>842</v>
      </c>
      <c r="C617" s="1">
        <v>46237</v>
      </c>
      <c r="D617" t="str">
        <f>VLOOKUP(B617,Trades!A$1:N101409,3,FALSE)</f>
        <v>MU</v>
      </c>
      <c r="E617" t="s">
        <v>61</v>
      </c>
      <c r="F617">
        <v>833.48</v>
      </c>
      <c r="G617">
        <v>1</v>
      </c>
      <c r="H617">
        <f>IF(VLOOKUP(B617,Trades!A:N,4,FALSE)="Long",(F617-VLOOKUP(B617,Trades!A:N,6,FALSE))*G617,(VLOOKUP(B617,Trades!A:N,6,FALSE)-F617)*G617)</f>
        <v>35.759999999999991</v>
      </c>
      <c r="I617">
        <f>H617/VLOOKUP(B617,Trades!A$1:$N$100794,9,FALSE)</f>
        <v>35.759999999999991</v>
      </c>
    </row>
    <row r="618" spans="1:9" x14ac:dyDescent="0.25">
      <c r="A618">
        <f t="shared" si="63"/>
        <v>617</v>
      </c>
      <c r="B618" s="1" t="s">
        <v>843</v>
      </c>
      <c r="C618" s="1">
        <v>46237</v>
      </c>
      <c r="D618" t="str">
        <f>VLOOKUP(B618,Trades!A$1:N101410,3,FALSE)</f>
        <v>APP</v>
      </c>
      <c r="E618" t="s">
        <v>61</v>
      </c>
      <c r="F618">
        <v>413.18</v>
      </c>
      <c r="G618">
        <v>2</v>
      </c>
      <c r="H618">
        <f>IF(VLOOKUP(B618,Trades!A:N,4,FALSE)="Long",(F618-VLOOKUP(B618,Trades!A:N,6,FALSE))*G618,(VLOOKUP(B618,Trades!A:N,6,FALSE)-F618)*G618)</f>
        <v>9.32000000000005</v>
      </c>
      <c r="I618">
        <f>H618/VLOOKUP(B618,Trades!A$1:$N$100794,9,FALSE)</f>
        <v>4.660000000000025</v>
      </c>
    </row>
    <row r="619" spans="1:9" x14ac:dyDescent="0.25">
      <c r="A619">
        <f t="shared" si="63"/>
        <v>618</v>
      </c>
      <c r="B619" s="1" t="s">
        <v>844</v>
      </c>
      <c r="C619" s="1">
        <v>46237</v>
      </c>
      <c r="D619" t="str">
        <f>VLOOKUP(B619,Trades!A$1:N101411,3,FALSE)</f>
        <v>PATH</v>
      </c>
      <c r="E619" t="s">
        <v>61</v>
      </c>
      <c r="F619">
        <v>13.06</v>
      </c>
      <c r="G619">
        <v>40</v>
      </c>
      <c r="H619">
        <f>IF(VLOOKUP(B619,Trades!A:N,4,FALSE)="Long",(F619-VLOOKUP(B619,Trades!A:N,6,FALSE))*G619,(VLOOKUP(B619,Trades!A:N,6,FALSE)-F619)*G619)</f>
        <v>3.5999999999999943</v>
      </c>
      <c r="I619">
        <f>H619/VLOOKUP(B619,Trades!A$1:$N$100794,9,FALSE)</f>
        <v>8.9999999999999858E-2</v>
      </c>
    </row>
    <row r="620" spans="1:9" x14ac:dyDescent="0.25">
      <c r="A620">
        <f t="shared" si="63"/>
        <v>619</v>
      </c>
      <c r="B620" s="1" t="s">
        <v>845</v>
      </c>
      <c r="C620" s="1">
        <v>46237</v>
      </c>
      <c r="D620" t="str">
        <f>VLOOKUP(B620,Trades!A$1:N101412,3,FALSE)</f>
        <v>SMCI</v>
      </c>
      <c r="E620" t="s">
        <v>61</v>
      </c>
      <c r="F620">
        <v>28.62</v>
      </c>
      <c r="G620">
        <v>10</v>
      </c>
      <c r="H620">
        <f>IF(VLOOKUP(B620,Trades!A:N,4,FALSE)="Long",(F620-VLOOKUP(B620,Trades!A:N,6,FALSE))*G620,(VLOOKUP(B620,Trades!A:N,6,FALSE)-F620)*G620)</f>
        <v>2.4000000000000199</v>
      </c>
      <c r="I620">
        <f>H620/VLOOKUP(B620,Trades!A$1:$N$100794,9,FALSE)</f>
        <v>0.24000000000000199</v>
      </c>
    </row>
    <row r="621" spans="1:9" x14ac:dyDescent="0.25">
      <c r="A621">
        <f t="shared" ref="A621:A629" si="64">ROW()-1</f>
        <v>620</v>
      </c>
      <c r="B621" s="1" t="s">
        <v>846</v>
      </c>
      <c r="C621" s="1">
        <v>46238</v>
      </c>
      <c r="D621" t="str">
        <f>VLOOKUP(B621,Trades!A$1:N101413,3,FALSE)</f>
        <v>ANET</v>
      </c>
      <c r="E621" t="s">
        <v>61</v>
      </c>
      <c r="F621">
        <v>190.78</v>
      </c>
      <c r="G621">
        <v>5</v>
      </c>
      <c r="H621">
        <f>IF(VLOOKUP(B621,Trades!A:N,4,FALSE)="Long",(F621-VLOOKUP(B621,Trades!A:N,6,FALSE))*G621,(VLOOKUP(B621,Trades!A:N,6,FALSE)-F621)*G621)</f>
        <v>-8.7999999999999545</v>
      </c>
      <c r="I621">
        <f>H621/VLOOKUP(B621,Trades!A$1:$N$100794,9,FALSE)</f>
        <v>-1.7599999999999909</v>
      </c>
    </row>
    <row r="622" spans="1:9" x14ac:dyDescent="0.25">
      <c r="A622">
        <f t="shared" si="64"/>
        <v>621</v>
      </c>
      <c r="B622" s="1" t="s">
        <v>847</v>
      </c>
      <c r="C622" s="1">
        <v>46238</v>
      </c>
      <c r="D622" t="str">
        <f>VLOOKUP(B622,Trades!A$1:N101414,3,FALSE)</f>
        <v>MU</v>
      </c>
      <c r="E622" t="s">
        <v>61</v>
      </c>
      <c r="F622">
        <v>870.36</v>
      </c>
      <c r="G622">
        <v>1</v>
      </c>
      <c r="H622">
        <f>IF(VLOOKUP(B622,Trades!A:N,4,FALSE)="Long",(F622-VLOOKUP(B622,Trades!A:N,6,FALSE))*G622,(VLOOKUP(B622,Trades!A:N,6,FALSE)-F622)*G622)</f>
        <v>0.37999999999999545</v>
      </c>
      <c r="I622">
        <f>H622/VLOOKUP(B622,Trades!A$1:$N$100794,9,FALSE)</f>
        <v>0.37999999999999545</v>
      </c>
    </row>
    <row r="623" spans="1:9" x14ac:dyDescent="0.25">
      <c r="A623">
        <f t="shared" si="64"/>
        <v>622</v>
      </c>
      <c r="B623" s="1" t="s">
        <v>848</v>
      </c>
      <c r="C623" s="1">
        <v>46238</v>
      </c>
      <c r="D623" t="str">
        <f>VLOOKUP(B623,Trades!A$1:N101415,3,FALSE)</f>
        <v>ORCL</v>
      </c>
      <c r="E623" t="s">
        <v>61</v>
      </c>
      <c r="F623">
        <v>143.08000000000001</v>
      </c>
      <c r="G623">
        <v>6</v>
      </c>
      <c r="H623">
        <f>IF(VLOOKUP(B623,Trades!A:N,4,FALSE)="Long",(F623-VLOOKUP(B623,Trades!A:N,6,FALSE))*G623,(VLOOKUP(B623,Trades!A:N,6,FALSE)-F623)*G623)</f>
        <v>-10.139999999999986</v>
      </c>
      <c r="I623">
        <f>H623/VLOOKUP(B623,Trades!A$1:$N$100794,9,FALSE)</f>
        <v>-2.0279999999999974</v>
      </c>
    </row>
    <row r="624" spans="1:9" x14ac:dyDescent="0.25">
      <c r="A624">
        <f t="shared" si="64"/>
        <v>623</v>
      </c>
      <c r="B624" s="1" t="s">
        <v>849</v>
      </c>
      <c r="C624" s="1">
        <v>46238</v>
      </c>
      <c r="D624" t="str">
        <f>VLOOKUP(B624,Trades!A$1:N101416,3,FALSE)</f>
        <v>PATH</v>
      </c>
      <c r="E624" t="s">
        <v>61</v>
      </c>
      <c r="F624">
        <v>13.37</v>
      </c>
      <c r="G624">
        <v>50</v>
      </c>
      <c r="H624">
        <f>IF(VLOOKUP(B624,Trades!A:N,4,FALSE)="Long",(F624-VLOOKUP(B624,Trades!A:N,6,FALSE))*G624,(VLOOKUP(B624,Trades!A:N,6,FALSE)-F624)*G624)</f>
        <v>-6.5000000000000391</v>
      </c>
      <c r="I624">
        <f>H624/VLOOKUP(B624,Trades!A$1:$N$100794,9,FALSE)</f>
        <v>-0.13000000000000078</v>
      </c>
    </row>
    <row r="625" spans="1:9" x14ac:dyDescent="0.25">
      <c r="A625">
        <f t="shared" si="64"/>
        <v>624</v>
      </c>
      <c r="B625" s="1" t="s">
        <v>850</v>
      </c>
      <c r="C625" s="1">
        <v>46238</v>
      </c>
      <c r="D625" t="str">
        <f>VLOOKUP(B625,Trades!A$1:N101417,3,FALSE)</f>
        <v>AMD</v>
      </c>
      <c r="E625" t="s">
        <v>61</v>
      </c>
      <c r="F625">
        <v>519.33000000000004</v>
      </c>
      <c r="G625">
        <v>2</v>
      </c>
      <c r="H625">
        <f>IF(VLOOKUP(B625,Trades!A:N,4,FALSE)="Long",(F625-VLOOKUP(B625,Trades!A:N,6,FALSE))*G625,(VLOOKUP(B625,Trades!A:N,6,FALSE)-F625)*G625)</f>
        <v>15.940000000000055</v>
      </c>
      <c r="I625">
        <f>H625/VLOOKUP(B625,Trades!A$1:$N$100794,9,FALSE)</f>
        <v>7.9700000000000273</v>
      </c>
    </row>
    <row r="626" spans="1:9" x14ac:dyDescent="0.25">
      <c r="A626">
        <f t="shared" si="64"/>
        <v>625</v>
      </c>
      <c r="B626" s="1" t="s">
        <v>851</v>
      </c>
      <c r="C626" s="1">
        <v>46238</v>
      </c>
      <c r="D626" t="str">
        <f>VLOOKUP(B626,Trades!A$1:N101418,3,FALSE)</f>
        <v>INTC</v>
      </c>
      <c r="E626" t="s">
        <v>61</v>
      </c>
      <c r="F626">
        <v>99.52</v>
      </c>
      <c r="G626">
        <v>10</v>
      </c>
      <c r="H626">
        <f>IF(VLOOKUP(B626,Trades!A:N,4,FALSE)="Long",(F626-VLOOKUP(B626,Trades!A:N,6,FALSE))*G626,(VLOOKUP(B626,Trades!A:N,6,FALSE)-F626)*G626)</f>
        <v>17.299999999999898</v>
      </c>
      <c r="I626">
        <f>H626/VLOOKUP(B626,Trades!A$1:$N$100794,9,FALSE)</f>
        <v>1.7299999999999898</v>
      </c>
    </row>
    <row r="627" spans="1:9" x14ac:dyDescent="0.25">
      <c r="A627">
        <f t="shared" si="64"/>
        <v>626</v>
      </c>
      <c r="B627" s="1" t="s">
        <v>852</v>
      </c>
      <c r="C627" s="1">
        <v>46238</v>
      </c>
      <c r="D627" t="str">
        <f>VLOOKUP(B627,Trades!A$1:N101419,3,FALSE)</f>
        <v>MSFT</v>
      </c>
      <c r="E627" t="s">
        <v>61</v>
      </c>
      <c r="F627">
        <v>499.04</v>
      </c>
      <c r="G627">
        <v>2</v>
      </c>
      <c r="H627">
        <f>IF(VLOOKUP(B627,Trades!A:N,4,FALSE)="Long",(F627-VLOOKUP(B627,Trades!A:N,6,FALSE))*G627,(VLOOKUP(B627,Trades!A:N,6,FALSE)-F627)*G627)</f>
        <v>12.720000000000027</v>
      </c>
      <c r="I627">
        <f>H627/VLOOKUP(B627,Trades!A$1:$N$100794,9,FALSE)</f>
        <v>6.3600000000000136</v>
      </c>
    </row>
    <row r="628" spans="1:9" x14ac:dyDescent="0.25">
      <c r="A628">
        <f t="shared" si="64"/>
        <v>627</v>
      </c>
      <c r="B628" s="1" t="s">
        <v>853</v>
      </c>
      <c r="C628" s="1">
        <v>46238</v>
      </c>
      <c r="D628" t="str">
        <f>VLOOKUP(B628,Trades!A$1:N101420,3,FALSE)</f>
        <v>NVDA</v>
      </c>
      <c r="E628" t="s">
        <v>61</v>
      </c>
      <c r="F628">
        <v>210.04</v>
      </c>
      <c r="G628">
        <v>4</v>
      </c>
      <c r="H628">
        <f>IF(VLOOKUP(B628,Trades!A:N,4,FALSE)="Long",(F628-VLOOKUP(B628,Trades!A:N,6,FALSE))*G628,(VLOOKUP(B628,Trades!A:N,6,FALSE)-F628)*G628)</f>
        <v>-3.0400000000000773</v>
      </c>
      <c r="I628">
        <f>H628/VLOOKUP(B628,Trades!A$1:$N$100794,9,FALSE)</f>
        <v>-0.76000000000001933</v>
      </c>
    </row>
    <row r="629" spans="1:9" x14ac:dyDescent="0.25">
      <c r="A629">
        <f t="shared" si="64"/>
        <v>628</v>
      </c>
      <c r="B629" s="1" t="s">
        <v>854</v>
      </c>
      <c r="C629" s="1">
        <v>46238</v>
      </c>
      <c r="D629" t="str">
        <f>VLOOKUP(B629,Trades!A$1:N101421,3,FALSE)</f>
        <v>MU</v>
      </c>
      <c r="E629" t="s">
        <v>61</v>
      </c>
      <c r="F629">
        <v>891.78</v>
      </c>
      <c r="G629">
        <v>1</v>
      </c>
      <c r="H629">
        <f>IF(VLOOKUP(B629,Trades!A:N,4,FALSE)="Long",(F629-VLOOKUP(B629,Trades!A:N,6,FALSE))*G629,(VLOOKUP(B629,Trades!A:N,6,FALSE)-F629)*G629)</f>
        <v>10.970000000000027</v>
      </c>
      <c r="I629">
        <f>H629/VLOOKUP(B629,Trades!A$1:$N$100794,9,FALSE)</f>
        <v>10.970000000000027</v>
      </c>
    </row>
    <row r="630" spans="1:9" x14ac:dyDescent="0.25">
      <c r="A630">
        <f t="shared" ref="A630:A639" si="65">ROW()-1</f>
        <v>629</v>
      </c>
      <c r="B630" s="1" t="s">
        <v>855</v>
      </c>
      <c r="C630" s="1">
        <v>46239</v>
      </c>
      <c r="D630" t="str">
        <f>VLOOKUP(B630,Trades!A$1:N101422,3,FALSE)</f>
        <v>MU</v>
      </c>
      <c r="E630" t="s">
        <v>61</v>
      </c>
      <c r="F630">
        <v>891</v>
      </c>
      <c r="G630">
        <v>1</v>
      </c>
      <c r="H630">
        <f>IF(VLOOKUP(B630,Trades!A:N,4,FALSE)="Long",(F630-VLOOKUP(B630,Trades!A:N,6,FALSE))*G630,(VLOOKUP(B630,Trades!A:N,6,FALSE)-F630)*G630)</f>
        <v>-8.9500000000000455</v>
      </c>
      <c r="I630">
        <f>H630/VLOOKUP(B630,Trades!A$1:$N$100794,9,FALSE)</f>
        <v>-8.9500000000000455</v>
      </c>
    </row>
    <row r="631" spans="1:9" x14ac:dyDescent="0.25">
      <c r="A631">
        <f t="shared" si="65"/>
        <v>630</v>
      </c>
      <c r="B631" s="1" t="s">
        <v>856</v>
      </c>
      <c r="C631" s="1">
        <v>46239</v>
      </c>
      <c r="D631" t="str">
        <f>VLOOKUP(B631,Trades!A$1:N101423,3,FALSE)</f>
        <v>PLTR</v>
      </c>
      <c r="E631" t="s">
        <v>61</v>
      </c>
      <c r="F631">
        <v>163.33000000000001</v>
      </c>
      <c r="G631">
        <v>5</v>
      </c>
      <c r="H631">
        <f>IF(VLOOKUP(B631,Trades!A:N,4,FALSE)="Long",(F631-VLOOKUP(B631,Trades!A:N,6,FALSE))*G631,(VLOOKUP(B631,Trades!A:N,6,FALSE)-F631)*G631)</f>
        <v>-10.049999999999955</v>
      </c>
      <c r="I631">
        <f>H631/VLOOKUP(B631,Trades!A$1:$N$100794,9,FALSE)</f>
        <v>-2.0099999999999909</v>
      </c>
    </row>
    <row r="632" spans="1:9" x14ac:dyDescent="0.25">
      <c r="A632">
        <f t="shared" si="65"/>
        <v>631</v>
      </c>
      <c r="B632" s="1" t="s">
        <v>857</v>
      </c>
      <c r="C632" s="1">
        <v>46239</v>
      </c>
      <c r="D632" t="str">
        <f>VLOOKUP(B632,Trades!A$1:N101424,3,FALSE)</f>
        <v>INTC</v>
      </c>
      <c r="E632" t="s">
        <v>61</v>
      </c>
      <c r="F632">
        <v>99.42</v>
      </c>
      <c r="G632">
        <v>10</v>
      </c>
      <c r="H632">
        <f>IF(VLOOKUP(B632,Trades!A:N,4,FALSE)="Long",(F632-VLOOKUP(B632,Trades!A:N,6,FALSE))*G632,(VLOOKUP(B632,Trades!A:N,6,FALSE)-F632)*G632)</f>
        <v>-15.699999999999932</v>
      </c>
      <c r="I632">
        <f>H632/VLOOKUP(B632,Trades!A$1:$N$100794,9,FALSE)</f>
        <v>-1.5699999999999932</v>
      </c>
    </row>
    <row r="633" spans="1:9" x14ac:dyDescent="0.25">
      <c r="A633">
        <f t="shared" si="65"/>
        <v>632</v>
      </c>
      <c r="B633" s="1" t="s">
        <v>858</v>
      </c>
      <c r="C633" s="1">
        <v>46239</v>
      </c>
      <c r="D633" t="str">
        <f>VLOOKUP(B633,Trades!A$1:N101425,3,FALSE)</f>
        <v>SHOP</v>
      </c>
      <c r="E633" t="s">
        <v>61</v>
      </c>
      <c r="F633">
        <v>144.16999999999999</v>
      </c>
      <c r="G633">
        <v>5</v>
      </c>
      <c r="H633">
        <f>IF(VLOOKUP(B633,Trades!A:N,4,FALSE)="Long",(F633-VLOOKUP(B633,Trades!A:N,6,FALSE))*G633,(VLOOKUP(B633,Trades!A:N,6,FALSE)-F633)*G633)</f>
        <v>-10.200000000000102</v>
      </c>
      <c r="I633">
        <f>H633/VLOOKUP(B633,Trades!A$1:$N$100794,9,FALSE)</f>
        <v>-2.0400000000000205</v>
      </c>
    </row>
    <row r="634" spans="1:9" x14ac:dyDescent="0.25">
      <c r="A634">
        <f t="shared" si="65"/>
        <v>633</v>
      </c>
      <c r="B634" s="1" t="s">
        <v>859</v>
      </c>
      <c r="C634" s="1">
        <v>46239</v>
      </c>
      <c r="D634" t="str">
        <f>VLOOKUP(B634,Trades!A$1:N101426,3,FALSE)</f>
        <v>APPS</v>
      </c>
      <c r="E634" t="s">
        <v>61</v>
      </c>
      <c r="F634">
        <v>13.43</v>
      </c>
      <c r="G634">
        <v>10</v>
      </c>
      <c r="H634">
        <f>IF(VLOOKUP(B634,Trades!A:N,4,FALSE)="Long",(F634-VLOOKUP(B634,Trades!A:N,6,FALSE))*G634,(VLOOKUP(B634,Trades!A:N,6,FALSE)-F634)*G634)</f>
        <v>7.5999999999999979</v>
      </c>
      <c r="I634">
        <f>H634/VLOOKUP(B634,Trades!A$1:$N$100794,9,FALSE)</f>
        <v>0.75999999999999979</v>
      </c>
    </row>
    <row r="635" spans="1:9" x14ac:dyDescent="0.25">
      <c r="A635">
        <f t="shared" si="65"/>
        <v>634</v>
      </c>
      <c r="B635" s="1" t="s">
        <v>860</v>
      </c>
      <c r="C635" s="1">
        <v>46239</v>
      </c>
      <c r="D635" t="str">
        <f>VLOOKUP(B635,Trades!A$1:N101427,3,FALSE)</f>
        <v>APP</v>
      </c>
      <c r="E635" t="s">
        <v>61</v>
      </c>
      <c r="F635">
        <v>430.97</v>
      </c>
      <c r="G635">
        <v>3</v>
      </c>
      <c r="H635">
        <f>IF(VLOOKUP(B635,Trades!A:N,4,FALSE)="Long",(F635-VLOOKUP(B635,Trades!A:N,6,FALSE))*G635,(VLOOKUP(B635,Trades!A:N,6,FALSE)-F635)*G635)</f>
        <v>-18.359999999999843</v>
      </c>
      <c r="I635">
        <f>H635/VLOOKUP(B635,Trades!A$1:$N$100794,9,FALSE)</f>
        <v>-6.1199999999999477</v>
      </c>
    </row>
    <row r="636" spans="1:9" x14ac:dyDescent="0.25">
      <c r="A636">
        <f t="shared" si="65"/>
        <v>635</v>
      </c>
      <c r="B636" s="1" t="s">
        <v>861</v>
      </c>
      <c r="C636" s="1">
        <v>46239</v>
      </c>
      <c r="D636" t="str">
        <f>VLOOKUP(B636,Trades!A$1:N101428,3,FALSE)</f>
        <v>NVDA</v>
      </c>
      <c r="E636" t="s">
        <v>61</v>
      </c>
      <c r="F636">
        <v>218.45</v>
      </c>
      <c r="G636">
        <v>4</v>
      </c>
      <c r="H636">
        <f>IF(VLOOKUP(B636,Trades!A:N,4,FALSE)="Long",(F636-VLOOKUP(B636,Trades!A:N,6,FALSE))*G636,(VLOOKUP(B636,Trades!A:N,6,FALSE)-F636)*G636)</f>
        <v>-13.920000000000073</v>
      </c>
      <c r="I636">
        <f>H636/VLOOKUP(B636,Trades!A$1:$N$100794,9,FALSE)</f>
        <v>-3.4800000000000182</v>
      </c>
    </row>
    <row r="637" spans="1:9" x14ac:dyDescent="0.25">
      <c r="A637">
        <f t="shared" si="65"/>
        <v>636</v>
      </c>
      <c r="B637" s="1" t="s">
        <v>862</v>
      </c>
      <c r="C637" s="1">
        <v>46239</v>
      </c>
      <c r="D637" t="str">
        <f>VLOOKUP(B637,Trades!A$1:N101429,3,FALSE)</f>
        <v>INTC</v>
      </c>
      <c r="E637" t="s">
        <v>61</v>
      </c>
      <c r="F637">
        <v>102.31</v>
      </c>
      <c r="G637">
        <v>5</v>
      </c>
      <c r="H637">
        <f>IF(VLOOKUP(B637,Trades!A:N,4,FALSE)="Long",(F637-VLOOKUP(B637,Trades!A:N,6,FALSE))*G637,(VLOOKUP(B637,Trades!A:N,6,FALSE)-F637)*G637)</f>
        <v>15</v>
      </c>
      <c r="I637">
        <f>H637/VLOOKUP(B637,Trades!A$1:$N$100794,9,FALSE)</f>
        <v>3</v>
      </c>
    </row>
    <row r="638" spans="1:9" x14ac:dyDescent="0.25">
      <c r="A638">
        <f t="shared" si="65"/>
        <v>637</v>
      </c>
      <c r="B638" s="1" t="s">
        <v>863</v>
      </c>
      <c r="C638" s="1">
        <v>46239</v>
      </c>
      <c r="D638" t="str">
        <f>VLOOKUP(B638,Trades!A$1:N101430,3,FALSE)</f>
        <v>MU</v>
      </c>
      <c r="E638" t="s">
        <v>61</v>
      </c>
      <c r="F638">
        <v>920.01</v>
      </c>
      <c r="G638">
        <v>1</v>
      </c>
      <c r="H638">
        <f>IF(VLOOKUP(B638,Trades!A:N,4,FALSE)="Long",(F638-VLOOKUP(B638,Trades!A:N,6,FALSE))*G638,(VLOOKUP(B638,Trades!A:N,6,FALSE)-F638)*G638)</f>
        <v>11.009999999999991</v>
      </c>
      <c r="I638">
        <f>H638/VLOOKUP(B638,Trades!A$1:$N$100794,9,FALSE)</f>
        <v>5.5049999999999955</v>
      </c>
    </row>
    <row r="639" spans="1:9" x14ac:dyDescent="0.25">
      <c r="A639">
        <f t="shared" si="65"/>
        <v>638</v>
      </c>
      <c r="B639" s="1" t="s">
        <v>863</v>
      </c>
      <c r="C639" s="1">
        <v>46239</v>
      </c>
      <c r="D639" t="str">
        <f>VLOOKUP(B639,Trades!A$1:N101431,3,FALSE)</f>
        <v>MU</v>
      </c>
      <c r="E639" t="s">
        <v>61</v>
      </c>
      <c r="F639">
        <v>920.14</v>
      </c>
      <c r="G639">
        <v>1</v>
      </c>
      <c r="H639">
        <f>IF(VLOOKUP(B639,Trades!A:N,4,FALSE)="Long",(F639-VLOOKUP(B639,Trades!A:N,6,FALSE))*G639,(VLOOKUP(B639,Trades!A:N,6,FALSE)-F639)*G639)</f>
        <v>11.139999999999986</v>
      </c>
      <c r="I639">
        <f>H639/VLOOKUP(B639,Trades!A$1:$N$100794,9,FALSE)</f>
        <v>5.5699999999999932</v>
      </c>
    </row>
    <row r="640" spans="1:9" x14ac:dyDescent="0.25">
      <c r="A640">
        <f t="shared" ref="A640:A651" si="66">ROW()-1</f>
        <v>639</v>
      </c>
      <c r="B640" s="1" t="s">
        <v>864</v>
      </c>
      <c r="C640" s="1">
        <v>46240</v>
      </c>
      <c r="D640" t="str">
        <f>VLOOKUP(B640,Trades!A$1:N101432,3,FALSE)</f>
        <v>SOUN</v>
      </c>
      <c r="E640" t="s">
        <v>61</v>
      </c>
      <c r="F640">
        <v>7.46</v>
      </c>
      <c r="G640">
        <v>20</v>
      </c>
      <c r="H640">
        <f>IF(VLOOKUP(B640,Trades!A:N,4,FALSE)="Long",(F640-VLOOKUP(B640,Trades!A:N,6,FALSE))*G640,(VLOOKUP(B640,Trades!A:N,6,FALSE)-F640)*G640)</f>
        <v>-8.0000000000000071</v>
      </c>
      <c r="I640">
        <f>H640/VLOOKUP(B640,Trades!A$1:$N$100794,9,FALSE)</f>
        <v>-0.40000000000000036</v>
      </c>
    </row>
    <row r="641" spans="1:9" x14ac:dyDescent="0.25">
      <c r="A641">
        <f t="shared" si="66"/>
        <v>640</v>
      </c>
      <c r="B641" s="1" t="s">
        <v>865</v>
      </c>
      <c r="C641" s="1">
        <v>46240</v>
      </c>
      <c r="D641" t="str">
        <f>VLOOKUP(B641,Trades!A$1:N101433,3,FALSE)</f>
        <v>GOOG</v>
      </c>
      <c r="E641" t="s">
        <v>61</v>
      </c>
      <c r="F641">
        <v>358.1</v>
      </c>
      <c r="G641">
        <v>3</v>
      </c>
      <c r="H641">
        <f>IF(VLOOKUP(B641,Trades!A:N,4,FALSE)="Long",(F641-VLOOKUP(B641,Trades!A:N,6,FALSE))*G641,(VLOOKUP(B641,Trades!A:N,6,FALSE)-F641)*G641)</f>
        <v>-7.8899999999999864</v>
      </c>
      <c r="I641">
        <f>H641/VLOOKUP(B641,Trades!A$1:$N$100794,9,FALSE)</f>
        <v>-2.6299999999999955</v>
      </c>
    </row>
    <row r="642" spans="1:9" x14ac:dyDescent="0.25">
      <c r="A642">
        <f t="shared" si="66"/>
        <v>641</v>
      </c>
      <c r="B642" s="1" t="s">
        <v>866</v>
      </c>
      <c r="C642" s="1">
        <v>46240</v>
      </c>
      <c r="D642" t="str">
        <f>VLOOKUP(B642,Trades!A$1:N101434,3,FALSE)</f>
        <v>MSFT</v>
      </c>
      <c r="E642" t="s">
        <v>61</v>
      </c>
      <c r="F642">
        <v>497.78</v>
      </c>
      <c r="G642">
        <v>2</v>
      </c>
      <c r="H642">
        <f>IF(VLOOKUP(B642,Trades!A:N,4,FALSE)="Long",(F642-VLOOKUP(B642,Trades!A:N,6,FALSE))*G642,(VLOOKUP(B642,Trades!A:N,6,FALSE)-F642)*G642)</f>
        <v>9.17999999999995</v>
      </c>
      <c r="I642">
        <f>H642/VLOOKUP(B642,Trades!A$1:$N$100794,9,FALSE)</f>
        <v>4.589999999999975</v>
      </c>
    </row>
    <row r="643" spans="1:9" x14ac:dyDescent="0.25">
      <c r="A643">
        <f t="shared" si="66"/>
        <v>642</v>
      </c>
      <c r="B643" s="1" t="s">
        <v>867</v>
      </c>
      <c r="C643" s="1">
        <v>46240</v>
      </c>
      <c r="D643" t="str">
        <f>VLOOKUP(B643,Trades!A$1:N101435,3,FALSE)</f>
        <v>MU</v>
      </c>
      <c r="E643" t="s">
        <v>61</v>
      </c>
      <c r="F643">
        <v>911.61</v>
      </c>
      <c r="G643">
        <v>1</v>
      </c>
      <c r="H643">
        <f>IF(VLOOKUP(B643,Trades!A:N,4,FALSE)="Long",(F643-VLOOKUP(B643,Trades!A:N,6,FALSE))*G643,(VLOOKUP(B643,Trades!A:N,6,FALSE)-F643)*G643)</f>
        <v>11</v>
      </c>
      <c r="I643">
        <f>H643/VLOOKUP(B643,Trades!A$1:$N$100794,9,FALSE)</f>
        <v>11</v>
      </c>
    </row>
    <row r="644" spans="1:9" x14ac:dyDescent="0.25">
      <c r="A644">
        <f t="shared" si="66"/>
        <v>643</v>
      </c>
      <c r="B644" s="1" t="s">
        <v>868</v>
      </c>
      <c r="C644" s="1">
        <v>46240</v>
      </c>
      <c r="D644" t="str">
        <f>VLOOKUP(B644,Trades!A$1:N101436,3,FALSE)</f>
        <v>DIS</v>
      </c>
      <c r="E644" t="s">
        <v>61</v>
      </c>
      <c r="F644">
        <v>102.96</v>
      </c>
      <c r="G644">
        <v>6</v>
      </c>
      <c r="H644">
        <f>IF(VLOOKUP(B644,Trades!A:N,4,FALSE)="Long",(F644-VLOOKUP(B644,Trades!A:N,6,FALSE))*G644,(VLOOKUP(B644,Trades!A:N,6,FALSE)-F644)*G644)</f>
        <v>-4.2000000000000171</v>
      </c>
      <c r="I644">
        <f>H644/VLOOKUP(B644,Trades!A$1:$N$100794,9,FALSE)</f>
        <v>-0.70000000000000284</v>
      </c>
    </row>
    <row r="645" spans="1:9" x14ac:dyDescent="0.25">
      <c r="A645">
        <f t="shared" si="66"/>
        <v>644</v>
      </c>
      <c r="B645" s="1" t="s">
        <v>869</v>
      </c>
      <c r="C645" s="1">
        <v>46240</v>
      </c>
      <c r="D645" t="str">
        <f>VLOOKUP(B645,Trades!A$1:N101437,3,FALSE)</f>
        <v>PYPL</v>
      </c>
      <c r="E645" t="s">
        <v>61</v>
      </c>
      <c r="F645">
        <v>58.6</v>
      </c>
      <c r="G645">
        <v>10</v>
      </c>
      <c r="H645">
        <f>IF(VLOOKUP(B645,Trades!A:N,4,FALSE)="Long",(F645-VLOOKUP(B645,Trades!A:N,6,FALSE))*G645,(VLOOKUP(B645,Trades!A:N,6,FALSE)-F645)*G645)</f>
        <v>-0.30000000000001137</v>
      </c>
      <c r="I645">
        <f>H645/VLOOKUP(B645,Trades!A$1:$N$100794,9,FALSE)</f>
        <v>-3.0000000000001137E-2</v>
      </c>
    </row>
    <row r="646" spans="1:9" x14ac:dyDescent="0.25">
      <c r="A646">
        <f t="shared" si="66"/>
        <v>645</v>
      </c>
      <c r="B646" s="1" t="s">
        <v>870</v>
      </c>
      <c r="C646" s="1">
        <v>46240</v>
      </c>
      <c r="D646" t="str">
        <f>VLOOKUP(B646,Trades!A$1:N101438,3,FALSE)</f>
        <v>SHOP</v>
      </c>
      <c r="E646" t="s">
        <v>61</v>
      </c>
      <c r="F646">
        <v>145.25</v>
      </c>
      <c r="G646">
        <v>5</v>
      </c>
      <c r="H646">
        <f>IF(VLOOKUP(B646,Trades!A:N,4,FALSE)="Long",(F646-VLOOKUP(B646,Trades!A:N,6,FALSE))*G646,(VLOOKUP(B646,Trades!A:N,6,FALSE)-F646)*G646)</f>
        <v>-7.0499999999999829</v>
      </c>
      <c r="I646">
        <f>H646/VLOOKUP(B646,Trades!A$1:$N$100794,9,FALSE)</f>
        <v>-1.4099999999999966</v>
      </c>
    </row>
    <row r="647" spans="1:9" x14ac:dyDescent="0.25">
      <c r="A647">
        <f t="shared" si="66"/>
        <v>646</v>
      </c>
      <c r="B647" s="1" t="s">
        <v>871</v>
      </c>
      <c r="C647" s="1">
        <v>46240</v>
      </c>
      <c r="D647" t="str">
        <f>VLOOKUP(B647,Trades!A$1:N101439,3,FALSE)</f>
        <v>GOOG</v>
      </c>
      <c r="E647" t="s">
        <v>61</v>
      </c>
      <c r="F647">
        <v>356</v>
      </c>
      <c r="G647">
        <v>2</v>
      </c>
      <c r="H647">
        <f>IF(VLOOKUP(B647,Trades!A:N,4,FALSE)="Long",(F647-VLOOKUP(B647,Trades!A:N,6,FALSE))*G647,(VLOOKUP(B647,Trades!A:N,6,FALSE)-F647)*G647)</f>
        <v>-6.5599999999999454</v>
      </c>
      <c r="I647">
        <f>H647/VLOOKUP(B647,Trades!A$1:$N$100794,9,FALSE)</f>
        <v>-3.2799999999999727</v>
      </c>
    </row>
    <row r="648" spans="1:9" x14ac:dyDescent="0.25">
      <c r="A648">
        <f t="shared" si="66"/>
        <v>647</v>
      </c>
      <c r="B648" s="1" t="s">
        <v>872</v>
      </c>
      <c r="C648" s="1">
        <v>46240</v>
      </c>
      <c r="D648" t="str">
        <f>VLOOKUP(B648,Trades!A$1:N101440,3,FALSE)</f>
        <v>PATH</v>
      </c>
      <c r="E648" t="s">
        <v>61</v>
      </c>
      <c r="F648">
        <v>13.81</v>
      </c>
      <c r="G648">
        <v>25</v>
      </c>
      <c r="H648">
        <f>IF(VLOOKUP(B648,Trades!A:N,4,FALSE)="Long",(F648-VLOOKUP(B648,Trades!A:N,6,FALSE))*G648,(VLOOKUP(B648,Trades!A:N,6,FALSE)-F648)*G648)</f>
        <v>2.0000000000000018</v>
      </c>
      <c r="I648">
        <f>H648/VLOOKUP(B648,Trades!A$1:$N$100794,9,FALSE)</f>
        <v>8.0000000000000071E-2</v>
      </c>
    </row>
    <row r="649" spans="1:9" x14ac:dyDescent="0.25">
      <c r="A649">
        <f t="shared" si="66"/>
        <v>648</v>
      </c>
      <c r="B649" s="1" t="s">
        <v>873</v>
      </c>
      <c r="C649" s="1">
        <v>46240</v>
      </c>
      <c r="D649" t="str">
        <f>VLOOKUP(B649,Trades!A$1:N101441,3,FALSE)</f>
        <v>APPS</v>
      </c>
      <c r="E649" t="s">
        <v>61</v>
      </c>
      <c r="F649">
        <v>13.74</v>
      </c>
      <c r="G649">
        <v>20</v>
      </c>
      <c r="H649">
        <f>IF(VLOOKUP(B649,Trades!A:N,4,FALSE)="Long",(F649-VLOOKUP(B649,Trades!A:N,6,FALSE))*G649,(VLOOKUP(B649,Trades!A:N,6,FALSE)-F649)*G649)</f>
        <v>6.2000000000000099</v>
      </c>
      <c r="I649">
        <f>H649/VLOOKUP(B649,Trades!A$1:$N$100794,9,FALSE)</f>
        <v>0.3100000000000005</v>
      </c>
    </row>
    <row r="650" spans="1:9" x14ac:dyDescent="0.25">
      <c r="A650">
        <f t="shared" si="66"/>
        <v>649</v>
      </c>
      <c r="B650" s="1" t="s">
        <v>874</v>
      </c>
      <c r="C650" s="1">
        <v>46240</v>
      </c>
      <c r="D650" t="str">
        <f>VLOOKUP(B650,Trades!A$1:N101442,3,FALSE)</f>
        <v>SOUN</v>
      </c>
      <c r="E650" t="s">
        <v>61</v>
      </c>
      <c r="F650">
        <v>7.01</v>
      </c>
      <c r="G650">
        <v>50</v>
      </c>
      <c r="H650">
        <f>IF(VLOOKUP(B650,Trades!A:N,4,FALSE)="Long",(F650-VLOOKUP(B650,Trades!A:N,6,FALSE))*G650,(VLOOKUP(B650,Trades!A:N,6,FALSE)-F650)*G650)</f>
        <v>-9.0000000000000302</v>
      </c>
      <c r="I650">
        <f>H650/VLOOKUP(B650,Trades!A$1:$N$100794,9,FALSE)</f>
        <v>-0.1800000000000006</v>
      </c>
    </row>
    <row r="651" spans="1:9" x14ac:dyDescent="0.25">
      <c r="A651">
        <f t="shared" si="66"/>
        <v>650</v>
      </c>
      <c r="B651" s="1" t="s">
        <v>875</v>
      </c>
      <c r="C651" s="1">
        <v>46240</v>
      </c>
      <c r="D651" t="str">
        <f>VLOOKUP(B651,Trades!A$1:N101443,3,FALSE)</f>
        <v>MU</v>
      </c>
      <c r="E651" t="s">
        <v>61</v>
      </c>
      <c r="F651">
        <v>883.41</v>
      </c>
      <c r="G651">
        <v>1</v>
      </c>
      <c r="H651">
        <f>IF(VLOOKUP(B651,Trades!A:N,4,FALSE)="Long",(F651-VLOOKUP(B651,Trades!A:N,6,FALSE))*G651,(VLOOKUP(B651,Trades!A:N,6,FALSE)-F651)*G651)</f>
        <v>-9.7400000000000091</v>
      </c>
      <c r="I651">
        <f>H651/VLOOKUP(B651,Trades!A$1:$N$100794,9,FALSE)</f>
        <v>-9.7400000000000091</v>
      </c>
    </row>
    <row r="652" spans="1:9" x14ac:dyDescent="0.25">
      <c r="A652">
        <f t="shared" ref="A652:A659" si="67">ROW()-1</f>
        <v>651</v>
      </c>
      <c r="B652" s="1" t="s">
        <v>876</v>
      </c>
      <c r="C652" s="1">
        <v>46241</v>
      </c>
      <c r="D652" t="str">
        <f>VLOOKUP(B652,Trades!A$1:N101444,3,FALSE)</f>
        <v>MU</v>
      </c>
      <c r="E652" t="s">
        <v>61</v>
      </c>
      <c r="F652">
        <v>889</v>
      </c>
      <c r="G652">
        <v>1</v>
      </c>
      <c r="H652">
        <f>IF(VLOOKUP(B652,Trades!A:N,4,FALSE)="Long",(F652-VLOOKUP(B652,Trades!A:N,6,FALSE))*G652,(VLOOKUP(B652,Trades!A:N,6,FALSE)-F652)*G652)</f>
        <v>-11</v>
      </c>
      <c r="I652">
        <f>H652/VLOOKUP(B652,Trades!A$1:$N$100794,9,FALSE)</f>
        <v>-11</v>
      </c>
    </row>
    <row r="653" spans="1:9" x14ac:dyDescent="0.25">
      <c r="A653">
        <f t="shared" si="67"/>
        <v>652</v>
      </c>
      <c r="B653" s="1" t="s">
        <v>877</v>
      </c>
      <c r="C653" s="1">
        <v>46241</v>
      </c>
      <c r="D653" t="str">
        <f>VLOOKUP(B653,Trades!A$1:N101445,3,FALSE)</f>
        <v>APPS</v>
      </c>
      <c r="E653" t="s">
        <v>61</v>
      </c>
      <c r="F653">
        <v>14.33</v>
      </c>
      <c r="G653">
        <v>12</v>
      </c>
      <c r="H653">
        <f>IF(VLOOKUP(B653,Trades!A:N,4,FALSE)="Long",(F653-VLOOKUP(B653,Trades!A:N,6,FALSE))*G653,(VLOOKUP(B653,Trades!A:N,6,FALSE)-F653)*G653)</f>
        <v>-11.399999999999991</v>
      </c>
      <c r="I653">
        <f>H653/VLOOKUP(B653,Trades!A$1:$N$100794,9,FALSE)</f>
        <v>-0.94999999999999929</v>
      </c>
    </row>
    <row r="654" spans="1:9" x14ac:dyDescent="0.25">
      <c r="A654">
        <f t="shared" si="67"/>
        <v>653</v>
      </c>
      <c r="B654" s="1" t="s">
        <v>878</v>
      </c>
      <c r="C654" s="1">
        <v>46241</v>
      </c>
      <c r="D654" t="str">
        <f>VLOOKUP(B654,Trades!A$1:N101446,3,FALSE)</f>
        <v>ARM</v>
      </c>
      <c r="E654" t="s">
        <v>61</v>
      </c>
      <c r="F654">
        <v>282.5</v>
      </c>
      <c r="G654">
        <v>4</v>
      </c>
      <c r="H654">
        <f>IF(VLOOKUP(B654,Trades!A:N,4,FALSE)="Long",(F654-VLOOKUP(B654,Trades!A:N,6,FALSE))*G654,(VLOOKUP(B654,Trades!A:N,6,FALSE)-F654)*G654)</f>
        <v>-52.3599999999999</v>
      </c>
      <c r="I654">
        <f>H654/VLOOKUP(B654,Trades!A$1:$N$100794,9,FALSE)</f>
        <v>-13.089999999999975</v>
      </c>
    </row>
    <row r="655" spans="1:9" x14ac:dyDescent="0.25">
      <c r="A655">
        <f t="shared" si="67"/>
        <v>654</v>
      </c>
      <c r="B655" s="1" t="s">
        <v>879</v>
      </c>
      <c r="C655" s="1">
        <v>46241</v>
      </c>
      <c r="D655" t="str">
        <f>VLOOKUP(B655,Trades!A$1:N101447,3,FALSE)</f>
        <v>PLTR</v>
      </c>
      <c r="E655" t="s">
        <v>61</v>
      </c>
      <c r="F655">
        <v>168.73</v>
      </c>
      <c r="G655">
        <v>5</v>
      </c>
      <c r="H655">
        <f>IF(VLOOKUP(B655,Trades!A:N,4,FALSE)="Long",(F655-VLOOKUP(B655,Trades!A:N,6,FALSE))*G655,(VLOOKUP(B655,Trades!A:N,6,FALSE)-F655)*G655)</f>
        <v>15.599999999999881</v>
      </c>
      <c r="I655">
        <f>H655/VLOOKUP(B655,Trades!A$1:$N$100794,9,FALSE)</f>
        <v>3.1199999999999761</v>
      </c>
    </row>
    <row r="656" spans="1:9" x14ac:dyDescent="0.25">
      <c r="A656">
        <f t="shared" si="67"/>
        <v>655</v>
      </c>
      <c r="B656" s="1" t="s">
        <v>880</v>
      </c>
      <c r="C656" s="1">
        <v>46241</v>
      </c>
      <c r="D656" t="str">
        <f>VLOOKUP(B656,Trades!A$1:N101448,3,FALSE)</f>
        <v>PYPL</v>
      </c>
      <c r="E656" t="s">
        <v>61</v>
      </c>
      <c r="F656">
        <v>59.47</v>
      </c>
      <c r="G656">
        <v>20</v>
      </c>
      <c r="H656">
        <f>IF(VLOOKUP(B656,Trades!A:N,4,FALSE)="Long",(F656-VLOOKUP(B656,Trades!A:N,6,FALSE))*G656,(VLOOKUP(B656,Trades!A:N,6,FALSE)-F656)*G656)</f>
        <v>-10.600000000000023</v>
      </c>
      <c r="I656">
        <f>H656/VLOOKUP(B656,Trades!A$1:$N$100794,9,FALSE)</f>
        <v>-0.53000000000000114</v>
      </c>
    </row>
    <row r="657" spans="1:9" x14ac:dyDescent="0.25">
      <c r="A657">
        <f t="shared" si="67"/>
        <v>656</v>
      </c>
      <c r="B657" s="1" t="s">
        <v>881</v>
      </c>
      <c r="C657" s="1">
        <v>46241</v>
      </c>
      <c r="D657" t="str">
        <f>VLOOKUP(B657,Trades!A$1:N101449,3,FALSE)</f>
        <v>HPQ</v>
      </c>
      <c r="E657" t="s">
        <v>61</v>
      </c>
      <c r="F657">
        <v>29.52</v>
      </c>
      <c r="G657">
        <v>20</v>
      </c>
      <c r="H657">
        <f>IF(VLOOKUP(B657,Trades!A:N,4,FALSE)="Long",(F657-VLOOKUP(B657,Trades!A:N,6,FALSE))*G657,(VLOOKUP(B657,Trades!A:N,6,FALSE)-F657)*G657)</f>
        <v>14.600000000000009</v>
      </c>
      <c r="I657">
        <f>H657/VLOOKUP(B657,Trades!A$1:$N$100794,9,FALSE)</f>
        <v>0.73000000000000043</v>
      </c>
    </row>
    <row r="658" spans="1:9" x14ac:dyDescent="0.25">
      <c r="A658">
        <f t="shared" si="67"/>
        <v>657</v>
      </c>
      <c r="B658" s="1" t="s">
        <v>882</v>
      </c>
      <c r="C658" s="1">
        <v>46241</v>
      </c>
      <c r="D658" t="str">
        <f>VLOOKUP(B658,Trades!A$1:N101450,3,FALSE)</f>
        <v>PATH</v>
      </c>
      <c r="E658" t="s">
        <v>61</v>
      </c>
      <c r="F658">
        <v>14.93</v>
      </c>
      <c r="G658">
        <v>30</v>
      </c>
      <c r="H658">
        <f>IF(VLOOKUP(B658,Trades!A:N,4,FALSE)="Long",(F658-VLOOKUP(B658,Trades!A:N,6,FALSE))*G658,(VLOOKUP(B658,Trades!A:N,6,FALSE)-F658)*G658)</f>
        <v>10.799999999999983</v>
      </c>
      <c r="I658">
        <f>H658/VLOOKUP(B658,Trades!A$1:$N$100794,9,FALSE)</f>
        <v>0.35999999999999943</v>
      </c>
    </row>
    <row r="659" spans="1:9" x14ac:dyDescent="0.25">
      <c r="A659">
        <f t="shared" si="67"/>
        <v>658</v>
      </c>
      <c r="B659" s="1" t="s">
        <v>883</v>
      </c>
      <c r="C659" s="1">
        <v>46241</v>
      </c>
      <c r="D659" t="str">
        <f>VLOOKUP(B659,Trades!A$1:N101451,3,FALSE)</f>
        <v>MU</v>
      </c>
      <c r="E659" t="s">
        <v>61</v>
      </c>
      <c r="F659">
        <v>879.56</v>
      </c>
      <c r="G659">
        <v>2</v>
      </c>
      <c r="H659">
        <f>IF(VLOOKUP(B659,Trades!A:N,4,FALSE)="Long",(F659-VLOOKUP(B659,Trades!A:N,6,FALSE))*G659,(VLOOKUP(B659,Trades!A:N,6,FALSE)-F659)*G659)</f>
        <v>19.919999999999845</v>
      </c>
      <c r="I659">
        <f>H659/VLOOKUP(B659,Trades!A$1:$N$100794,9,FALSE)</f>
        <v>9.9599999999999227</v>
      </c>
    </row>
    <row r="660" spans="1:9" x14ac:dyDescent="0.25">
      <c r="A660">
        <f t="shared" ref="A660:A668" si="68">ROW()-1</f>
        <v>659</v>
      </c>
      <c r="B660" s="1" t="s">
        <v>884</v>
      </c>
      <c r="C660" s="1">
        <v>46244</v>
      </c>
      <c r="D660" t="str">
        <f>VLOOKUP(B660,Trades!A$1:N101452,3,FALSE)</f>
        <v>PLTR</v>
      </c>
      <c r="E660" t="s">
        <v>61</v>
      </c>
      <c r="F660">
        <v>177.3</v>
      </c>
      <c r="G660">
        <v>3</v>
      </c>
      <c r="H660">
        <f>IF(VLOOKUP(B660,Trades!A:N,4,FALSE)="Long",(F660-VLOOKUP(B660,Trades!A:N,6,FALSE))*G660,(VLOOKUP(B660,Trades!A:N,6,FALSE)-F660)*G660)</f>
        <v>1.6500000000000341</v>
      </c>
      <c r="I660">
        <f>H660/VLOOKUP(B660,Trades!A$1:$N$100794,9,FALSE)</f>
        <v>0.55000000000001137</v>
      </c>
    </row>
    <row r="661" spans="1:9" x14ac:dyDescent="0.25">
      <c r="A661">
        <f t="shared" si="68"/>
        <v>660</v>
      </c>
      <c r="B661" s="1" t="s">
        <v>885</v>
      </c>
      <c r="C661" s="1">
        <v>46244</v>
      </c>
      <c r="D661" t="str">
        <f>VLOOKUP(B661,Trades!A$1:N101453,3,FALSE)</f>
        <v>ARM</v>
      </c>
      <c r="E661" t="s">
        <v>61</v>
      </c>
      <c r="F661">
        <v>270.33</v>
      </c>
      <c r="G661">
        <v>4</v>
      </c>
      <c r="H661">
        <f>IF(VLOOKUP(B661,Trades!A:N,4,FALSE)="Long",(F661-VLOOKUP(B661,Trades!A:N,6,FALSE))*G661,(VLOOKUP(B661,Trades!A:N,6,FALSE)-F661)*G661)</f>
        <v>-8.5199999999999818</v>
      </c>
      <c r="I661">
        <f>H661/VLOOKUP(B661,Trades!A$1:$N$100794,9,FALSE)</f>
        <v>-2.1299999999999955</v>
      </c>
    </row>
    <row r="662" spans="1:9" x14ac:dyDescent="0.25">
      <c r="A662">
        <f t="shared" si="68"/>
        <v>661</v>
      </c>
      <c r="B662" s="1" t="s">
        <v>886</v>
      </c>
      <c r="C662" s="1">
        <v>46244</v>
      </c>
      <c r="D662" t="str">
        <f>VLOOKUP(B662,Trades!A$1:N101454,3,FALSE)</f>
        <v>PATH</v>
      </c>
      <c r="E662" t="s">
        <v>61</v>
      </c>
      <c r="F662">
        <v>15.46</v>
      </c>
      <c r="G662">
        <v>30</v>
      </c>
      <c r="H662">
        <f>IF(VLOOKUP(B662,Trades!A:N,4,FALSE)="Long",(F662-VLOOKUP(B662,Trades!A:N,6,FALSE))*G662,(VLOOKUP(B662,Trades!A:N,6,FALSE)-F662)*G662)</f>
        <v>15</v>
      </c>
      <c r="I662">
        <f>H662/VLOOKUP(B662,Trades!A$1:$N$100794,9,FALSE)</f>
        <v>0.5</v>
      </c>
    </row>
    <row r="663" spans="1:9" x14ac:dyDescent="0.25">
      <c r="A663">
        <f t="shared" si="68"/>
        <v>662</v>
      </c>
      <c r="B663" s="1" t="s">
        <v>887</v>
      </c>
      <c r="C663" s="1">
        <v>46244</v>
      </c>
      <c r="D663" t="str">
        <f>VLOOKUP(B663,Trades!A$1:N101455,3,FALSE)</f>
        <v>INTC</v>
      </c>
      <c r="E663" t="s">
        <v>61</v>
      </c>
      <c r="F663">
        <v>97.76</v>
      </c>
      <c r="G663">
        <v>5</v>
      </c>
      <c r="H663">
        <f>IF(VLOOKUP(B663,Trades!A:N,4,FALSE)="Long",(F663-VLOOKUP(B663,Trades!A:N,6,FALSE))*G663,(VLOOKUP(B663,Trades!A:N,6,FALSE)-F663)*G663)</f>
        <v>-3.1499999999999773</v>
      </c>
      <c r="I663">
        <f>H663/VLOOKUP(B663,Trades!A$1:$N$100794,9,FALSE)</f>
        <v>-0.62999999999999545</v>
      </c>
    </row>
    <row r="664" spans="1:9" x14ac:dyDescent="0.25">
      <c r="A664">
        <f t="shared" si="68"/>
        <v>663</v>
      </c>
      <c r="B664" s="1" t="s">
        <v>888</v>
      </c>
      <c r="C664" s="1">
        <v>46244</v>
      </c>
      <c r="D664" t="str">
        <f>VLOOKUP(B664,Trades!A$1:N101456,3,FALSE)</f>
        <v>APPS</v>
      </c>
      <c r="E664" t="s">
        <v>61</v>
      </c>
      <c r="F664">
        <v>14.39</v>
      </c>
      <c r="G664">
        <v>30</v>
      </c>
      <c r="H664">
        <f>IF(VLOOKUP(B664,Trades!A:N,4,FALSE)="Long",(F664-VLOOKUP(B664,Trades!A:N,6,FALSE))*G664,(VLOOKUP(B664,Trades!A:N,6,FALSE)-F664)*G664)</f>
        <v>-8.6999999999999744</v>
      </c>
      <c r="I664">
        <f>H664/VLOOKUP(B664,Trades!A$1:$N$100794,9,FALSE)</f>
        <v>-0.28999999999999915</v>
      </c>
    </row>
    <row r="665" spans="1:9" x14ac:dyDescent="0.25">
      <c r="A665">
        <f t="shared" si="68"/>
        <v>664</v>
      </c>
      <c r="B665" s="1" t="s">
        <v>889</v>
      </c>
      <c r="C665" s="1">
        <v>46244</v>
      </c>
      <c r="D665" t="str">
        <f>VLOOKUP(B665,Trades!A$1:N101457,3,FALSE)</f>
        <v>MU</v>
      </c>
      <c r="E665" t="s">
        <v>61</v>
      </c>
      <c r="F665">
        <v>878</v>
      </c>
      <c r="G665">
        <v>1</v>
      </c>
      <c r="H665">
        <f>IF(VLOOKUP(B665,Trades!A:N,4,FALSE)="Long",(F665-VLOOKUP(B665,Trades!A:N,6,FALSE))*G665,(VLOOKUP(B665,Trades!A:N,6,FALSE)-F665)*G665)</f>
        <v>11.019999999999982</v>
      </c>
      <c r="I665">
        <f>H665/VLOOKUP(B665,Trades!A$1:$N$100794,9,FALSE)</f>
        <v>11.019999999999982</v>
      </c>
    </row>
    <row r="666" spans="1:9" x14ac:dyDescent="0.25">
      <c r="A666">
        <f t="shared" si="68"/>
        <v>665</v>
      </c>
      <c r="B666" s="1" t="s">
        <v>890</v>
      </c>
      <c r="C666" s="1">
        <v>46244</v>
      </c>
      <c r="D666" t="str">
        <f>VLOOKUP(B666,Trades!A$1:N101458,3,FALSE)</f>
        <v>ORCL</v>
      </c>
      <c r="E666" t="s">
        <v>61</v>
      </c>
      <c r="F666">
        <v>151.5</v>
      </c>
      <c r="G666">
        <v>4</v>
      </c>
      <c r="H666">
        <f>IF(VLOOKUP(B666,Trades!A:N,4,FALSE)="Long",(F666-VLOOKUP(B666,Trades!A:N,6,FALSE))*G666,(VLOOKUP(B666,Trades!A:N,6,FALSE)-F666)*G666)</f>
        <v>8.7999999999999545</v>
      </c>
      <c r="I666">
        <f>H666/VLOOKUP(B666,Trades!A$1:$N$100794,9,FALSE)</f>
        <v>2.1999999999999886</v>
      </c>
    </row>
    <row r="667" spans="1:9" x14ac:dyDescent="0.25">
      <c r="A667">
        <f t="shared" si="68"/>
        <v>666</v>
      </c>
      <c r="B667" s="1" t="s">
        <v>891</v>
      </c>
      <c r="C667" s="1">
        <v>46244</v>
      </c>
      <c r="D667" t="str">
        <f>VLOOKUP(B667,Trades!A$1:N101459,3,FALSE)</f>
        <v>AMD</v>
      </c>
      <c r="E667" t="s">
        <v>61</v>
      </c>
      <c r="F667">
        <v>474.71</v>
      </c>
      <c r="G667">
        <v>2</v>
      </c>
      <c r="H667">
        <f>IF(VLOOKUP(B667,Trades!A:N,4,FALSE)="Long",(F667-VLOOKUP(B667,Trades!A:N,6,FALSE))*G667,(VLOOKUP(B667,Trades!A:N,6,FALSE)-F667)*G667)</f>
        <v>-4.0600000000000591</v>
      </c>
      <c r="I667">
        <f>H667/VLOOKUP(B667,Trades!A$1:$N$100794,9,FALSE)</f>
        <v>-2.0300000000000296</v>
      </c>
    </row>
    <row r="668" spans="1:9" x14ac:dyDescent="0.25">
      <c r="A668">
        <f t="shared" si="68"/>
        <v>667</v>
      </c>
      <c r="B668" s="1" t="s">
        <v>892</v>
      </c>
      <c r="C668" s="1">
        <v>46244</v>
      </c>
      <c r="D668" t="str">
        <f>VLOOKUP(B668,Trades!A$1:N101460,3,FALSE)</f>
        <v>GOOG</v>
      </c>
      <c r="E668" t="s">
        <v>61</v>
      </c>
      <c r="F668">
        <v>353.98</v>
      </c>
      <c r="G668">
        <v>3</v>
      </c>
      <c r="H668">
        <f>IF(VLOOKUP(B668,Trades!A:N,4,FALSE)="Long",(F668-VLOOKUP(B668,Trades!A:N,6,FALSE))*G668,(VLOOKUP(B668,Trades!A:N,6,FALSE)-F668)*G668)</f>
        <v>2.4900000000001228</v>
      </c>
      <c r="I668">
        <f>H668/VLOOKUP(B668,Trades!A$1:$N$100794,9,FALSE)</f>
        <v>0.83000000000004093</v>
      </c>
    </row>
    <row r="669" spans="1:9" x14ac:dyDescent="0.25">
      <c r="A669">
        <f t="shared" ref="A669:A675" si="69">ROW()-1</f>
        <v>668</v>
      </c>
      <c r="B669" s="1" t="s">
        <v>893</v>
      </c>
      <c r="C669" s="1">
        <v>46245</v>
      </c>
      <c r="D669" t="str">
        <f>VLOOKUP(B669,Trades!A$1:N101461,3,FALSE)</f>
        <v>MU</v>
      </c>
      <c r="E669" t="s">
        <v>61</v>
      </c>
      <c r="F669">
        <v>864.77</v>
      </c>
      <c r="G669">
        <v>1</v>
      </c>
      <c r="H669">
        <f>IF(VLOOKUP(B669,Trades!A:N,4,FALSE)="Long",(F669-VLOOKUP(B669,Trades!A:N,6,FALSE))*G669,(VLOOKUP(B669,Trades!A:N,6,FALSE)-F669)*G669)</f>
        <v>-6.2300000000000182</v>
      </c>
      <c r="I669">
        <f>H669/VLOOKUP(B669,Trades!A$1:$N$100794,9,FALSE)</f>
        <v>-6.2300000000000182</v>
      </c>
    </row>
    <row r="670" spans="1:9" x14ac:dyDescent="0.25">
      <c r="A670">
        <f t="shared" si="69"/>
        <v>669</v>
      </c>
      <c r="B670" s="1" t="s">
        <v>894</v>
      </c>
      <c r="C670" s="1">
        <v>46245</v>
      </c>
      <c r="D670" t="str">
        <f>VLOOKUP(B670,Trades!A$1:N101462,3,FALSE)</f>
        <v>SPCX</v>
      </c>
      <c r="E670" t="s">
        <v>61</v>
      </c>
      <c r="F670">
        <v>133.56</v>
      </c>
      <c r="G670">
        <v>5</v>
      </c>
      <c r="H670">
        <f>IF(VLOOKUP(B670,Trades!A:N,4,FALSE)="Long",(F670-VLOOKUP(B670,Trades!A:N,6,FALSE))*G670,(VLOOKUP(B670,Trades!A:N,6,FALSE)-F670)*G670)</f>
        <v>-6.7000000000000171</v>
      </c>
      <c r="I670">
        <f>H670/VLOOKUP(B670,Trades!A$1:$N$100794,9,FALSE)</f>
        <v>-1.3400000000000034</v>
      </c>
    </row>
    <row r="671" spans="1:9" x14ac:dyDescent="0.25">
      <c r="A671">
        <f t="shared" si="69"/>
        <v>670</v>
      </c>
      <c r="B671" s="1" t="s">
        <v>895</v>
      </c>
      <c r="C671" s="1">
        <v>46245</v>
      </c>
      <c r="D671" t="str">
        <f>VLOOKUP(B671,Trades!A$1:N101463,3,FALSE)</f>
        <v>GTLB</v>
      </c>
      <c r="E671" t="s">
        <v>61</v>
      </c>
      <c r="F671">
        <v>41.9</v>
      </c>
      <c r="G671">
        <v>18</v>
      </c>
      <c r="H671">
        <f>IF(VLOOKUP(B671,Trades!A:N,4,FALSE)="Long",(F671-VLOOKUP(B671,Trades!A:N,6,FALSE))*G671,(VLOOKUP(B671,Trades!A:N,6,FALSE)-F671)*G671)</f>
        <v>13.5</v>
      </c>
      <c r="I671">
        <f>H671/VLOOKUP(B671,Trades!A$1:$N$100794,9,FALSE)</f>
        <v>0.75</v>
      </c>
    </row>
    <row r="672" spans="1:9" x14ac:dyDescent="0.25">
      <c r="A672">
        <f t="shared" si="69"/>
        <v>671</v>
      </c>
      <c r="B672" s="1" t="s">
        <v>896</v>
      </c>
      <c r="C672" s="1">
        <v>46245</v>
      </c>
      <c r="D672" t="str">
        <f>VLOOKUP(B672,Trades!A$1:N101464,3,FALSE)</f>
        <v>PATH</v>
      </c>
      <c r="E672" t="s">
        <v>61</v>
      </c>
      <c r="F672">
        <v>15.68</v>
      </c>
      <c r="G672">
        <v>60</v>
      </c>
      <c r="H672">
        <f>IF(VLOOKUP(B672,Trades!A:N,4,FALSE)="Long",(F672-VLOOKUP(B672,Trades!A:N,6,FALSE))*G672,(VLOOKUP(B672,Trades!A:N,6,FALSE)-F672)*G672)</f>
        <v>-11.39999999999997</v>
      </c>
      <c r="I672">
        <f>H672/VLOOKUP(B672,Trades!A$1:$N$100794,9,FALSE)</f>
        <v>-0.1899999999999995</v>
      </c>
    </row>
    <row r="673" spans="1:9" x14ac:dyDescent="0.25">
      <c r="A673">
        <f t="shared" si="69"/>
        <v>672</v>
      </c>
      <c r="B673" s="1" t="s">
        <v>897</v>
      </c>
      <c r="C673" s="1">
        <v>46245</v>
      </c>
      <c r="D673" t="str">
        <f>VLOOKUP(B673,Trades!A$1:N101465,3,FALSE)</f>
        <v>PYPL</v>
      </c>
      <c r="E673" t="s">
        <v>61</v>
      </c>
      <c r="F673">
        <v>59</v>
      </c>
      <c r="G673">
        <v>15</v>
      </c>
      <c r="H673">
        <f>IF(VLOOKUP(B673,Trades!A:N,4,FALSE)="Long",(F673-VLOOKUP(B673,Trades!A:N,6,FALSE))*G673,(VLOOKUP(B673,Trades!A:N,6,FALSE)-F673)*G673)</f>
        <v>-5.1000000000000512</v>
      </c>
      <c r="I673">
        <f>H673/VLOOKUP(B673,Trades!A$1:$N$100794,9,FALSE)</f>
        <v>-0.34000000000000341</v>
      </c>
    </row>
    <row r="674" spans="1:9" x14ac:dyDescent="0.25">
      <c r="A674">
        <f t="shared" si="69"/>
        <v>673</v>
      </c>
      <c r="B674" s="1" t="s">
        <v>898</v>
      </c>
      <c r="C674" s="1">
        <v>46245</v>
      </c>
      <c r="D674" t="str">
        <f>VLOOKUP(B674,Trades!A$1:N101466,3,FALSE)</f>
        <v>SHOP</v>
      </c>
      <c r="E674" t="s">
        <v>61</v>
      </c>
      <c r="F674">
        <v>152.07</v>
      </c>
      <c r="G674">
        <v>5</v>
      </c>
      <c r="H674">
        <f>IF(VLOOKUP(B674,Trades!A:N,4,FALSE)="Long",(F674-VLOOKUP(B674,Trades!A:N,6,FALSE))*G674,(VLOOKUP(B674,Trades!A:N,6,FALSE)-F674)*G674)</f>
        <v>-9.3999999999999773</v>
      </c>
      <c r="I674">
        <f>H674/VLOOKUP(B674,Trades!A$1:$N$100794,9,FALSE)</f>
        <v>-1.8799999999999955</v>
      </c>
    </row>
    <row r="675" spans="1:9" x14ac:dyDescent="0.25">
      <c r="A675">
        <f t="shared" si="69"/>
        <v>674</v>
      </c>
      <c r="B675" s="1" t="s">
        <v>899</v>
      </c>
      <c r="C675" s="1">
        <v>46245</v>
      </c>
      <c r="D675" t="str">
        <f>VLOOKUP(B675,Trades!A$1:N101467,3,FALSE)</f>
        <v>INTC</v>
      </c>
      <c r="E675" t="s">
        <v>61</v>
      </c>
      <c r="F675">
        <v>96.67</v>
      </c>
      <c r="G675">
        <v>5</v>
      </c>
      <c r="H675">
        <f>IF(VLOOKUP(B675,Trades!A:N,4,FALSE)="Long",(F675-VLOOKUP(B675,Trades!A:N,6,FALSE))*G675,(VLOOKUP(B675,Trades!A:N,6,FALSE)-F675)*G675)</f>
        <v>-6.4000000000000057</v>
      </c>
      <c r="I675">
        <f>H675/VLOOKUP(B675,Trades!A$1:$N$100794,9,FALSE)</f>
        <v>-1.2800000000000011</v>
      </c>
    </row>
    <row r="676" spans="1:9" x14ac:dyDescent="0.25">
      <c r="A676">
        <f t="shared" ref="A676:A687" si="70">ROW()-1</f>
        <v>675</v>
      </c>
      <c r="B676" s="1" t="s">
        <v>900</v>
      </c>
      <c r="C676" s="1">
        <v>46245</v>
      </c>
      <c r="D676" t="str">
        <f>VLOOKUP(B676,Trades!A$1:N101468,3,FALSE)</f>
        <v>AMD</v>
      </c>
      <c r="E676" t="s">
        <v>61</v>
      </c>
      <c r="F676">
        <v>472.12</v>
      </c>
      <c r="G676">
        <v>2</v>
      </c>
      <c r="H676">
        <f>IF(VLOOKUP(B676,Trades!A:N,4,FALSE)="Long",(F676-VLOOKUP(B676,Trades!A:N,6,FALSE))*G676,(VLOOKUP(B676,Trades!A:N,6,FALSE)-F676)*G676)</f>
        <v>10.480000000000018</v>
      </c>
      <c r="I676">
        <f>H676/VLOOKUP(B676,Trades!A$1:$N$100794,9,FALSE)</f>
        <v>5.2400000000000091</v>
      </c>
    </row>
    <row r="677" spans="1:9" x14ac:dyDescent="0.25">
      <c r="A677">
        <f t="shared" si="70"/>
        <v>676</v>
      </c>
      <c r="B677" s="1" t="s">
        <v>901</v>
      </c>
      <c r="C677" s="1">
        <v>46245</v>
      </c>
      <c r="D677" t="str">
        <f>VLOOKUP(B677,Trades!A$1:N101469,3,FALSE)</f>
        <v>MSFT</v>
      </c>
      <c r="E677" t="s">
        <v>61</v>
      </c>
      <c r="F677">
        <v>502.36</v>
      </c>
      <c r="G677">
        <v>1</v>
      </c>
      <c r="H677">
        <f>IF(VLOOKUP(B677,Trades!A:N,4,FALSE)="Long",(F677-VLOOKUP(B677,Trades!A:N,6,FALSE))*G677,(VLOOKUP(B677,Trades!A:N,6,FALSE)-F677)*G677)</f>
        <v>-1.8299999999999841</v>
      </c>
      <c r="I677">
        <f>H677/VLOOKUP(B677,Trades!A$1:$N$100794,9,FALSE)</f>
        <v>-1.8299999999999841</v>
      </c>
    </row>
    <row r="678" spans="1:9" x14ac:dyDescent="0.25">
      <c r="A678">
        <f t="shared" si="70"/>
        <v>677</v>
      </c>
      <c r="B678" s="1" t="s">
        <v>902</v>
      </c>
      <c r="C678" s="1">
        <v>46245</v>
      </c>
      <c r="D678" t="str">
        <f>VLOOKUP(B678,Trades!A$1:N101470,3,FALSE)</f>
        <v>MU</v>
      </c>
      <c r="E678" t="s">
        <v>61</v>
      </c>
      <c r="F678">
        <v>867.94</v>
      </c>
      <c r="G678">
        <v>1</v>
      </c>
      <c r="H678">
        <f>IF(VLOOKUP(B678,Trades!A:N,4,FALSE)="Long",(F678-VLOOKUP(B678,Trades!A:N,6,FALSE))*G678,(VLOOKUP(B678,Trades!A:N,6,FALSE)-F678)*G678)</f>
        <v>2.7200000000000273</v>
      </c>
      <c r="I678">
        <f>H678/VLOOKUP(B678,Trades!A$1:$N$100794,9,FALSE)</f>
        <v>2.7200000000000273</v>
      </c>
    </row>
    <row r="679" spans="1:9" x14ac:dyDescent="0.25">
      <c r="A679">
        <f t="shared" si="70"/>
        <v>678</v>
      </c>
      <c r="B679" s="1" t="s">
        <v>903</v>
      </c>
      <c r="C679" s="1">
        <v>46246</v>
      </c>
      <c r="D679" t="str">
        <f>VLOOKUP(B679,Trades!A$1:N101471,3,FALSE)</f>
        <v>MU</v>
      </c>
      <c r="E679" t="s">
        <v>61</v>
      </c>
      <c r="F679">
        <v>904.17</v>
      </c>
      <c r="G679">
        <v>1</v>
      </c>
      <c r="H679">
        <f>IF(VLOOKUP(B679,Trades!A:N,4,FALSE)="Long",(F679-VLOOKUP(B679,Trades!A:N,6,FALSE))*G679,(VLOOKUP(B679,Trades!A:N,6,FALSE)-F679)*G679)</f>
        <v>-10.650000000000091</v>
      </c>
      <c r="I679">
        <f>H679/VLOOKUP(B679,Trades!A$1:$N$100794,9,FALSE)</f>
        <v>-10.650000000000091</v>
      </c>
    </row>
    <row r="680" spans="1:9" x14ac:dyDescent="0.25">
      <c r="A680">
        <f t="shared" si="70"/>
        <v>679</v>
      </c>
      <c r="B680" s="1" t="s">
        <v>904</v>
      </c>
      <c r="C680" s="1">
        <v>46246</v>
      </c>
      <c r="D680" t="str">
        <f>VLOOKUP(B680,Trades!A$1:N101472,3,FALSE)</f>
        <v>KTOS</v>
      </c>
      <c r="E680" t="s">
        <v>61</v>
      </c>
      <c r="F680">
        <v>62.98</v>
      </c>
      <c r="G680">
        <v>10</v>
      </c>
      <c r="H680">
        <f>IF(VLOOKUP(B680,Trades!A:N,4,FALSE)="Long",(F680-VLOOKUP(B680,Trades!A:N,6,FALSE))*G680,(VLOOKUP(B680,Trades!A:N,6,FALSE)-F680)*G680)</f>
        <v>-8.9000000000000057</v>
      </c>
      <c r="I680">
        <f>H680/VLOOKUP(B680,Trades!A$1:$N$100794,9,FALSE)</f>
        <v>-0.89000000000000057</v>
      </c>
    </row>
    <row r="681" spans="1:9" x14ac:dyDescent="0.25">
      <c r="A681">
        <f t="shared" si="70"/>
        <v>680</v>
      </c>
      <c r="B681" s="1" t="s">
        <v>905</v>
      </c>
      <c r="C681" s="1">
        <v>46246</v>
      </c>
      <c r="D681" t="str">
        <f>VLOOKUP(B681,Trades!A$1:N101473,3,FALSE)</f>
        <v>ORCL</v>
      </c>
      <c r="E681" t="s">
        <v>61</v>
      </c>
      <c r="F681">
        <v>148.94</v>
      </c>
      <c r="G681">
        <v>7</v>
      </c>
      <c r="H681">
        <f>IF(VLOOKUP(B681,Trades!A:N,4,FALSE)="Long",(F681-VLOOKUP(B681,Trades!A:N,6,FALSE))*G681,(VLOOKUP(B681,Trades!A:N,6,FALSE)-F681)*G681)</f>
        <v>-10.710000000000008</v>
      </c>
      <c r="I681">
        <f>H681/VLOOKUP(B681,Trades!A$1:$N$100794,9,FALSE)</f>
        <v>-1.5300000000000011</v>
      </c>
    </row>
    <row r="682" spans="1:9" x14ac:dyDescent="0.25">
      <c r="A682">
        <f t="shared" si="70"/>
        <v>681</v>
      </c>
      <c r="B682" s="1" t="s">
        <v>906</v>
      </c>
      <c r="C682" s="1">
        <v>46246</v>
      </c>
      <c r="D682" t="str">
        <f>VLOOKUP(B682,Trades!A$1:N101474,3,FALSE)</f>
        <v>INTC</v>
      </c>
      <c r="E682" t="s">
        <v>61</v>
      </c>
      <c r="F682">
        <v>100.6</v>
      </c>
      <c r="G682">
        <v>10</v>
      </c>
      <c r="H682">
        <f>IF(VLOOKUP(B682,Trades!A:N,4,FALSE)="Long",(F682-VLOOKUP(B682,Trades!A:N,6,FALSE))*G682,(VLOOKUP(B682,Trades!A:N,6,FALSE)-F682)*G682)</f>
        <v>-10.100000000000051</v>
      </c>
      <c r="I682">
        <f>H682/VLOOKUP(B682,Trades!A$1:$N$100794,9,FALSE)</f>
        <v>-1.0100000000000051</v>
      </c>
    </row>
    <row r="683" spans="1:9" x14ac:dyDescent="0.25">
      <c r="A683">
        <f t="shared" si="70"/>
        <v>682</v>
      </c>
      <c r="B683" s="1" t="s">
        <v>907</v>
      </c>
      <c r="C683" s="1">
        <v>46246</v>
      </c>
      <c r="D683" t="str">
        <f>VLOOKUP(B683,Trades!A$1:N101475,3,FALSE)</f>
        <v>GTLB</v>
      </c>
      <c r="E683" t="s">
        <v>61</v>
      </c>
      <c r="F683">
        <v>41.005000000000003</v>
      </c>
      <c r="G683">
        <v>12</v>
      </c>
      <c r="H683">
        <f>IF(VLOOKUP(B683,Trades!A:N,4,FALSE)="Long",(F683-VLOOKUP(B683,Trades!A:N,6,FALSE))*G683,(VLOOKUP(B683,Trades!A:N,6,FALSE)-F683)*G683)</f>
        <v>-7.2599999999999625</v>
      </c>
      <c r="I683">
        <f>H683/VLOOKUP(B683,Trades!A$1:$N$100794,9,FALSE)</f>
        <v>-0.60499999999999687</v>
      </c>
    </row>
    <row r="684" spans="1:9" x14ac:dyDescent="0.25">
      <c r="A684">
        <f t="shared" si="70"/>
        <v>683</v>
      </c>
      <c r="B684" s="1" t="s">
        <v>908</v>
      </c>
      <c r="C684" s="1">
        <v>46246</v>
      </c>
      <c r="D684" t="str">
        <f>VLOOKUP(B684,Trades!A$1:N101476,3,FALSE)</f>
        <v>SMCI</v>
      </c>
      <c r="E684" t="s">
        <v>61</v>
      </c>
      <c r="F684">
        <v>35.299999999999997</v>
      </c>
      <c r="G684">
        <v>10</v>
      </c>
      <c r="H684">
        <f>IF(VLOOKUP(B684,Trades!A:N,4,FALSE)="Long",(F684-VLOOKUP(B684,Trades!A:N,6,FALSE))*G684,(VLOOKUP(B684,Trades!A:N,6,FALSE)-F684)*G684)</f>
        <v>-9.5000000000000284</v>
      </c>
      <c r="I684">
        <f>H684/VLOOKUP(B684,Trades!A$1:$N$100794,9,FALSE)</f>
        <v>-0.95000000000000284</v>
      </c>
    </row>
    <row r="685" spans="1:9" x14ac:dyDescent="0.25">
      <c r="A685">
        <f t="shared" si="70"/>
        <v>684</v>
      </c>
      <c r="B685" s="1" t="s">
        <v>909</v>
      </c>
      <c r="C685" s="1">
        <v>46246</v>
      </c>
      <c r="D685" t="str">
        <f>VLOOKUP(B685,Trades!A$1:N101477,3,FALSE)</f>
        <v>MU</v>
      </c>
      <c r="E685" t="s">
        <v>61</v>
      </c>
      <c r="F685">
        <v>929.58</v>
      </c>
      <c r="G685">
        <v>1</v>
      </c>
      <c r="H685">
        <f>IF(VLOOKUP(B685,Trades!A:N,4,FALSE)="Long",(F685-VLOOKUP(B685,Trades!A:N,6,FALSE))*G685,(VLOOKUP(B685,Trades!A:N,6,FALSE)-F685)*G685)</f>
        <v>14.889999999999986</v>
      </c>
      <c r="I685">
        <f>H685/VLOOKUP(B685,Trades!A$1:$N$100794,9,FALSE)</f>
        <v>14.889999999999986</v>
      </c>
    </row>
    <row r="686" spans="1:9" x14ac:dyDescent="0.25">
      <c r="A686">
        <f t="shared" si="70"/>
        <v>685</v>
      </c>
      <c r="B686" s="1" t="s">
        <v>910</v>
      </c>
      <c r="C686" s="1">
        <v>46246</v>
      </c>
      <c r="D686" t="str">
        <f>VLOOKUP(B686,Trades!A$1:N101478,3,FALSE)</f>
        <v>AMD</v>
      </c>
      <c r="E686" t="s">
        <v>61</v>
      </c>
      <c r="F686">
        <v>484.45</v>
      </c>
      <c r="G686">
        <v>2</v>
      </c>
      <c r="H686">
        <f>IF(VLOOKUP(B686,Trades!A:N,4,FALSE)="Long",(F686-VLOOKUP(B686,Trades!A:N,6,FALSE))*G686,(VLOOKUP(B686,Trades!A:N,6,FALSE)-F686)*G686)</f>
        <v>-1.7200000000000273</v>
      </c>
      <c r="I686">
        <f>H686/VLOOKUP(B686,Trades!A$1:$N$100794,9,FALSE)</f>
        <v>-0.86000000000001364</v>
      </c>
    </row>
    <row r="687" spans="1:9" x14ac:dyDescent="0.25">
      <c r="A687">
        <f t="shared" si="70"/>
        <v>686</v>
      </c>
      <c r="B687" s="1" t="s">
        <v>911</v>
      </c>
      <c r="C687" s="1">
        <v>46246</v>
      </c>
      <c r="D687" t="str">
        <f>VLOOKUP(B687,Trades!A$1:N101479,3,FALSE)</f>
        <v>ONDS</v>
      </c>
      <c r="E687" t="s">
        <v>61</v>
      </c>
      <c r="F687">
        <v>9.65</v>
      </c>
      <c r="G687">
        <v>50</v>
      </c>
      <c r="H687">
        <f>IF(VLOOKUP(B687,Trades!A:N,4,FALSE)="Long",(F687-VLOOKUP(B687,Trades!A:N,6,FALSE))*G687,(VLOOKUP(B687,Trades!A:N,6,FALSE)-F687)*G687)</f>
        <v>-8.9999999999999858</v>
      </c>
      <c r="I687">
        <f>H687/VLOOKUP(B687,Trades!A$1:$N$100794,9,FALSE)</f>
        <v>-0.17999999999999972</v>
      </c>
    </row>
    <row r="688" spans="1:9" x14ac:dyDescent="0.25">
      <c r="A688">
        <f t="shared" ref="A688:A697" si="71">ROW()-1</f>
        <v>687</v>
      </c>
      <c r="B688" s="1" t="s">
        <v>913</v>
      </c>
      <c r="C688" s="1">
        <v>46247</v>
      </c>
      <c r="D688" t="str">
        <f>VLOOKUP(B688,Trades!A$1:N101480,3,FALSE)</f>
        <v>IONQ</v>
      </c>
      <c r="E688" t="s">
        <v>61</v>
      </c>
      <c r="F688">
        <v>46.42</v>
      </c>
      <c r="G688">
        <v>20</v>
      </c>
      <c r="H688">
        <f>IF(VLOOKUP(B688,Trades!A:N,4,FALSE)="Long",(F688-VLOOKUP(B688,Trades!A:N,6,FALSE))*G688,(VLOOKUP(B688,Trades!A:N,6,FALSE)-F688)*G688)</f>
        <v>-12.599999999999909</v>
      </c>
      <c r="I688">
        <f>H688/VLOOKUP(B688,Trades!A$1:$N$100794,9,FALSE)</f>
        <v>-0.62999999999999545</v>
      </c>
    </row>
    <row r="689" spans="1:9" x14ac:dyDescent="0.25">
      <c r="A689">
        <f t="shared" si="71"/>
        <v>688</v>
      </c>
      <c r="B689" s="1" t="s">
        <v>914</v>
      </c>
      <c r="C689" s="1">
        <v>46247</v>
      </c>
      <c r="D689" t="str">
        <f>VLOOKUP(B689,Trades!A$1:N101481,3,FALSE)</f>
        <v>MU</v>
      </c>
      <c r="E689" t="s">
        <v>61</v>
      </c>
      <c r="F689">
        <v>949</v>
      </c>
      <c r="G689">
        <v>1</v>
      </c>
      <c r="H689">
        <f>IF(VLOOKUP(B689,Trades!A:N,4,FALSE)="Long",(F689-VLOOKUP(B689,Trades!A:N,6,FALSE))*G689,(VLOOKUP(B689,Trades!A:N,6,FALSE)-F689)*G689)</f>
        <v>32.480000000000018</v>
      </c>
      <c r="I689">
        <f>H689/VLOOKUP(B689,Trades!A$1:$N$100794,9,FALSE)</f>
        <v>32.480000000000018</v>
      </c>
    </row>
    <row r="690" spans="1:9" x14ac:dyDescent="0.25">
      <c r="A690">
        <f t="shared" si="71"/>
        <v>689</v>
      </c>
      <c r="B690" s="1" t="s">
        <v>915</v>
      </c>
      <c r="C690" s="1">
        <v>46247</v>
      </c>
      <c r="D690" t="str">
        <f>VLOOKUP(B690,Trades!A$1:N101482,3,FALSE)</f>
        <v>INTC</v>
      </c>
      <c r="E690" t="s">
        <v>61</v>
      </c>
      <c r="F690">
        <v>106.26</v>
      </c>
      <c r="G690">
        <v>7</v>
      </c>
      <c r="H690">
        <f>IF(VLOOKUP(B690,Trades!A:N,4,FALSE)="Long",(F690-VLOOKUP(B690,Trades!A:N,6,FALSE))*G690,(VLOOKUP(B690,Trades!A:N,6,FALSE)-F690)*G690)</f>
        <v>26.25</v>
      </c>
      <c r="I690">
        <f>H690/VLOOKUP(B690,Trades!A$1:$N$100794,9,FALSE)</f>
        <v>3.75</v>
      </c>
    </row>
    <row r="691" spans="1:9" x14ac:dyDescent="0.25">
      <c r="A691">
        <f t="shared" si="71"/>
        <v>690</v>
      </c>
      <c r="B691" s="1" t="s">
        <v>916</v>
      </c>
      <c r="C691" s="1">
        <v>46247</v>
      </c>
      <c r="D691" t="str">
        <f>VLOOKUP(B691,Trades!A$1:N101483,3,FALSE)</f>
        <v>NVDA</v>
      </c>
      <c r="E691" t="s">
        <v>61</v>
      </c>
      <c r="F691">
        <v>225.01</v>
      </c>
      <c r="G691">
        <v>5</v>
      </c>
      <c r="H691">
        <f>IF(VLOOKUP(B691,Trades!A:N,4,FALSE)="Long",(F691-VLOOKUP(B691,Trades!A:N,6,FALSE))*G691,(VLOOKUP(B691,Trades!A:N,6,FALSE)-F691)*G691)</f>
        <v>-5.7500000000000284</v>
      </c>
      <c r="I691">
        <f>H691/VLOOKUP(B691,Trades!A$1:$N$100794,9,FALSE)</f>
        <v>-1.1500000000000057</v>
      </c>
    </row>
    <row r="692" spans="1:9" x14ac:dyDescent="0.25">
      <c r="A692">
        <f t="shared" si="71"/>
        <v>691</v>
      </c>
      <c r="B692" s="1" t="s">
        <v>917</v>
      </c>
      <c r="C692" s="1">
        <v>46247</v>
      </c>
      <c r="D692" t="str">
        <f>VLOOKUP(B692,Trades!A$1:N101484,3,FALSE)</f>
        <v>ORCL</v>
      </c>
      <c r="E692" t="s">
        <v>61</v>
      </c>
      <c r="F692">
        <v>156.46</v>
      </c>
      <c r="G692">
        <v>5</v>
      </c>
      <c r="H692">
        <f>IF(VLOOKUP(B692,Trades!A:N,4,FALSE)="Long",(F692-VLOOKUP(B692,Trades!A:N,6,FALSE))*G692,(VLOOKUP(B692,Trades!A:N,6,FALSE)-F692)*G692)</f>
        <v>3.5000000000000853</v>
      </c>
      <c r="I692">
        <f>H692/VLOOKUP(B692,Trades!A$1:$N$100794,9,FALSE)</f>
        <v>0.70000000000001705</v>
      </c>
    </row>
    <row r="693" spans="1:9" x14ac:dyDescent="0.25">
      <c r="A693">
        <f t="shared" si="71"/>
        <v>692</v>
      </c>
      <c r="B693" s="1" t="s">
        <v>918</v>
      </c>
      <c r="C693" s="1">
        <v>46247</v>
      </c>
      <c r="D693" t="str">
        <f>VLOOKUP(B693,Trades!A$1:N101485,3,FALSE)</f>
        <v>HPQ</v>
      </c>
      <c r="E693" t="s">
        <v>61</v>
      </c>
      <c r="F693">
        <v>30.11</v>
      </c>
      <c r="G693">
        <v>20</v>
      </c>
      <c r="H693">
        <f>IF(VLOOKUP(B693,Trades!A:N,4,FALSE)="Long",(F693-VLOOKUP(B693,Trades!A:N,6,FALSE))*G693,(VLOOKUP(B693,Trades!A:N,6,FALSE)-F693)*G693)</f>
        <v>-6.7999999999999972</v>
      </c>
      <c r="I693">
        <f>H693/VLOOKUP(B693,Trades!A$1:$N$100794,9,FALSE)</f>
        <v>-0.33999999999999986</v>
      </c>
    </row>
    <row r="694" spans="1:9" x14ac:dyDescent="0.25">
      <c r="A694">
        <f t="shared" si="71"/>
        <v>693</v>
      </c>
      <c r="B694" s="1" t="s">
        <v>919</v>
      </c>
      <c r="C694" s="1">
        <v>46247</v>
      </c>
      <c r="D694" t="str">
        <f>VLOOKUP(B694,Trades!A$1:N101486,3,FALSE)</f>
        <v>SHOP</v>
      </c>
      <c r="E694" t="s">
        <v>61</v>
      </c>
      <c r="F694">
        <v>152.46</v>
      </c>
      <c r="G694">
        <v>4</v>
      </c>
      <c r="H694">
        <f>IF(VLOOKUP(B694,Trades!A:N,4,FALSE)="Long",(F694-VLOOKUP(B694,Trades!A:N,6,FALSE))*G694,(VLOOKUP(B694,Trades!A:N,6,FALSE)-F694)*G694)</f>
        <v>-5.8799999999999955</v>
      </c>
      <c r="I694">
        <f>H694/VLOOKUP(B694,Trades!A$1:$N$100794,9,FALSE)</f>
        <v>-1.4699999999999989</v>
      </c>
    </row>
    <row r="695" spans="1:9" x14ac:dyDescent="0.25">
      <c r="A695">
        <f t="shared" si="71"/>
        <v>694</v>
      </c>
      <c r="B695" s="1" t="s">
        <v>920</v>
      </c>
      <c r="C695" s="1">
        <v>46247</v>
      </c>
      <c r="D695" t="str">
        <f>VLOOKUP(B695,Trades!A$1:N101487,3,FALSE)</f>
        <v>DELL</v>
      </c>
      <c r="E695" t="s">
        <v>61</v>
      </c>
      <c r="F695">
        <v>495.78</v>
      </c>
      <c r="G695">
        <v>1</v>
      </c>
      <c r="H695">
        <f>IF(VLOOKUP(B695,Trades!A:N,4,FALSE)="Long",(F695-VLOOKUP(B695,Trades!A:N,6,FALSE))*G695,(VLOOKUP(B695,Trades!A:N,6,FALSE)-F695)*G695)</f>
        <v>-3.5100000000000477</v>
      </c>
      <c r="I695">
        <f>H695/VLOOKUP(B695,Trades!A$1:$N$100794,9,FALSE)</f>
        <v>-3.5100000000000477</v>
      </c>
    </row>
    <row r="696" spans="1:9" x14ac:dyDescent="0.25">
      <c r="A696">
        <f t="shared" si="71"/>
        <v>695</v>
      </c>
      <c r="B696" s="1" t="s">
        <v>921</v>
      </c>
      <c r="C696" s="1">
        <v>46247</v>
      </c>
      <c r="D696" t="str">
        <f>VLOOKUP(B696,Trades!A$1:N101488,3,FALSE)</f>
        <v>RCAT</v>
      </c>
      <c r="E696" t="s">
        <v>61</v>
      </c>
      <c r="F696">
        <v>10.130000000000001</v>
      </c>
      <c r="G696">
        <v>40</v>
      </c>
      <c r="H696">
        <f>IF(VLOOKUP(B696,Trades!A:N,4,FALSE)="Long",(F696-VLOOKUP(B696,Trades!A:N,6,FALSE))*G696,(VLOOKUP(B696,Trades!A:N,6,FALSE)-F696)*G696)</f>
        <v>-9.5999999999999375</v>
      </c>
      <c r="I696">
        <f>H696/VLOOKUP(B696,Trades!A$1:$N$100794,9,FALSE)</f>
        <v>-0.23999999999999844</v>
      </c>
    </row>
    <row r="697" spans="1:9" x14ac:dyDescent="0.25">
      <c r="A697">
        <f t="shared" si="71"/>
        <v>696</v>
      </c>
      <c r="B697" s="1" t="s">
        <v>922</v>
      </c>
      <c r="C697" s="1">
        <v>46247</v>
      </c>
      <c r="D697" t="str">
        <f>VLOOKUP(B697,Trades!A$1:N101489,3,FALSE)</f>
        <v>MU</v>
      </c>
      <c r="E697" t="s">
        <v>61</v>
      </c>
      <c r="F697">
        <v>964.41</v>
      </c>
      <c r="G697">
        <v>1</v>
      </c>
      <c r="H697">
        <f>IF(VLOOKUP(B697,Trades!A:N,4,FALSE)="Long",(F697-VLOOKUP(B697,Trades!A:N,6,FALSE))*G697,(VLOOKUP(B697,Trades!A:N,6,FALSE)-F697)*G697)</f>
        <v>4.67999999999995</v>
      </c>
      <c r="I697">
        <f>H697/VLOOKUP(B697,Trades!A$1:$N$100794,9,FALSE)</f>
        <v>4.67999999999995</v>
      </c>
    </row>
    <row r="698" spans="1:9" x14ac:dyDescent="0.25">
      <c r="A698">
        <f t="shared" ref="A698:A704" si="72">ROW()-1</f>
        <v>697</v>
      </c>
      <c r="B698" s="1" t="s">
        <v>924</v>
      </c>
      <c r="C698" s="1">
        <v>46248</v>
      </c>
      <c r="D698" t="str">
        <f>VLOOKUP(B698,Trades!A$1:N101490,3,FALSE)</f>
        <v>NU</v>
      </c>
      <c r="E698" t="s">
        <v>61</v>
      </c>
      <c r="F698">
        <v>15.61</v>
      </c>
      <c r="G698">
        <v>30</v>
      </c>
      <c r="H698">
        <f>IF(VLOOKUP(B698,Trades!A:N,4,FALSE)="Long",(F698-VLOOKUP(B698,Trades!A:N,6,FALSE))*G698,(VLOOKUP(B698,Trades!A:N,6,FALSE)-F698)*G698)</f>
        <v>-9.3000000000000149</v>
      </c>
      <c r="I698">
        <f>H698/VLOOKUP(B698,Trades!A$1:$N$100794,9,FALSE)</f>
        <v>-0.3100000000000005</v>
      </c>
    </row>
    <row r="699" spans="1:9" x14ac:dyDescent="0.25">
      <c r="A699">
        <f t="shared" si="72"/>
        <v>698</v>
      </c>
      <c r="B699" s="1" t="s">
        <v>925</v>
      </c>
      <c r="C699" s="1">
        <v>46248</v>
      </c>
      <c r="D699" t="str">
        <f>VLOOKUP(B699,Trades!A$1:N101491,3,FALSE)</f>
        <v>ORCL</v>
      </c>
      <c r="E699" t="s">
        <v>61</v>
      </c>
      <c r="F699">
        <v>153.84</v>
      </c>
      <c r="G699">
        <v>10</v>
      </c>
      <c r="H699">
        <f>IF(VLOOKUP(B699,Trades!A:N,4,FALSE)="Long",(F699-VLOOKUP(B699,Trades!A:N,6,FALSE))*G699,(VLOOKUP(B699,Trades!A:N,6,FALSE)-F699)*G699)</f>
        <v>-13.299999999999841</v>
      </c>
      <c r="I699">
        <f>H699/VLOOKUP(B699,Trades!A$1:$N$100794,9,FALSE)</f>
        <v>-1.3299999999999841</v>
      </c>
    </row>
    <row r="700" spans="1:9" x14ac:dyDescent="0.25">
      <c r="A700">
        <f t="shared" si="72"/>
        <v>699</v>
      </c>
      <c r="B700" s="1" t="s">
        <v>926</v>
      </c>
      <c r="C700" s="1">
        <v>46248</v>
      </c>
      <c r="D700" t="str">
        <f>VLOOKUP(B700,Trades!A$1:N101492,3,FALSE)</f>
        <v>GOOG</v>
      </c>
      <c r="E700" t="s">
        <v>61</v>
      </c>
      <c r="F700">
        <v>343.55</v>
      </c>
      <c r="G700">
        <v>2</v>
      </c>
      <c r="H700">
        <f>IF(VLOOKUP(B700,Trades!A:N,4,FALSE)="Long",(F700-VLOOKUP(B700,Trades!A:N,6,FALSE))*G700,(VLOOKUP(B700,Trades!A:N,6,FALSE)-F700)*G700)</f>
        <v>-7.9800000000000182</v>
      </c>
      <c r="I700">
        <f>H700/VLOOKUP(B700,Trades!A$1:$N$100794,9,FALSE)</f>
        <v>-3.9900000000000091</v>
      </c>
    </row>
    <row r="701" spans="1:9" x14ac:dyDescent="0.25">
      <c r="A701">
        <f t="shared" si="72"/>
        <v>700</v>
      </c>
      <c r="B701" s="1" t="s">
        <v>927</v>
      </c>
      <c r="C701" s="1">
        <v>46248</v>
      </c>
      <c r="D701" t="str">
        <f>VLOOKUP(B701,Trades!A$1:N101493,3,FALSE)</f>
        <v>MU</v>
      </c>
      <c r="E701" t="s">
        <v>61</v>
      </c>
      <c r="F701">
        <v>963.09</v>
      </c>
      <c r="G701">
        <v>1</v>
      </c>
      <c r="H701">
        <f>IF(VLOOKUP(B701,Trades!A:N,4,FALSE)="Long",(F701-VLOOKUP(B701,Trades!A:N,6,FALSE))*G701,(VLOOKUP(B701,Trades!A:N,6,FALSE)-F701)*G701)</f>
        <v>-7.7400000000000091</v>
      </c>
      <c r="I701">
        <f>H701/VLOOKUP(B701,Trades!A$1:$N$100794,9,FALSE)</f>
        <v>-7.7400000000000091</v>
      </c>
    </row>
    <row r="702" spans="1:9" x14ac:dyDescent="0.25">
      <c r="A702">
        <f t="shared" si="72"/>
        <v>701</v>
      </c>
      <c r="B702" s="1" t="s">
        <v>928</v>
      </c>
      <c r="C702" s="1">
        <v>46248</v>
      </c>
      <c r="D702" t="str">
        <f>VLOOKUP(B702,Trades!A$1:N101494,3,FALSE)</f>
        <v>NFLX</v>
      </c>
      <c r="E702" t="s">
        <v>61</v>
      </c>
      <c r="F702">
        <v>78.09</v>
      </c>
      <c r="G702">
        <v>15</v>
      </c>
      <c r="H702">
        <f>IF(VLOOKUP(B702,Trades!A:N,4,FALSE)="Long",(F702-VLOOKUP(B702,Trades!A:N,6,FALSE))*G702,(VLOOKUP(B702,Trades!A:N,6,FALSE)-F702)*G702)</f>
        <v>-5.2499999999999147</v>
      </c>
      <c r="I702">
        <f>H702/VLOOKUP(B702,Trades!A$1:$N$100794,9,FALSE)</f>
        <v>-0.34999999999999432</v>
      </c>
    </row>
    <row r="703" spans="1:9" x14ac:dyDescent="0.25">
      <c r="A703">
        <f t="shared" si="72"/>
        <v>702</v>
      </c>
      <c r="B703" s="1" t="s">
        <v>929</v>
      </c>
      <c r="C703" s="1">
        <v>46248</v>
      </c>
      <c r="D703" t="str">
        <f>VLOOKUP(B703,Trades!A$1:N101495,3,FALSE)</f>
        <v>ABNB</v>
      </c>
      <c r="E703" t="s">
        <v>61</v>
      </c>
      <c r="F703">
        <v>184.48</v>
      </c>
      <c r="G703">
        <v>5</v>
      </c>
      <c r="H703">
        <f>IF(VLOOKUP(B703,Trades!A:N,4,FALSE)="Long",(F703-VLOOKUP(B703,Trades!A:N,6,FALSE))*G703,(VLOOKUP(B703,Trades!A:N,6,FALSE)-F703)*G703)</f>
        <v>-4.7500000000000853</v>
      </c>
      <c r="I703">
        <f>H703/VLOOKUP(B703,Trades!A$1:$N$100794,9,FALSE)</f>
        <v>-0.95000000000001705</v>
      </c>
    </row>
    <row r="704" spans="1:9" x14ac:dyDescent="0.25">
      <c r="A704">
        <f t="shared" si="72"/>
        <v>703</v>
      </c>
      <c r="B704" s="1" t="s">
        <v>930</v>
      </c>
      <c r="C704" s="1">
        <v>46248</v>
      </c>
      <c r="D704" t="str">
        <f>VLOOKUP(B704,Trades!A$1:N101496,3,FALSE)</f>
        <v>GTLB</v>
      </c>
      <c r="E704" t="s">
        <v>61</v>
      </c>
      <c r="F704">
        <v>42.57</v>
      </c>
      <c r="G704">
        <v>20</v>
      </c>
      <c r="H704">
        <f>IF(VLOOKUP(B704,Trades!A:N,4,FALSE)="Long",(F704-VLOOKUP(B704,Trades!A:N,6,FALSE))*G704,(VLOOKUP(B704,Trades!A:N,6,FALSE)-F704)*G704)</f>
        <v>-2.3999999999999488</v>
      </c>
      <c r="I704">
        <f>H704/VLOOKUP(B704,Trades!A$1:$N$100794,9,FALSE)</f>
        <v>-0.11999999999999744</v>
      </c>
    </row>
    <row r="705" spans="1:9" x14ac:dyDescent="0.25">
      <c r="A705">
        <f t="shared" ref="A705:A713" si="73">ROW()-1</f>
        <v>704</v>
      </c>
      <c r="B705" s="1" t="s">
        <v>931</v>
      </c>
      <c r="C705" s="1">
        <v>46251</v>
      </c>
      <c r="D705" t="str">
        <f>VLOOKUP(B705,Trades!A$1:N101497,3,FALSE)</f>
        <v>SOUN</v>
      </c>
      <c r="E705" t="s">
        <v>61</v>
      </c>
      <c r="F705">
        <v>7.16</v>
      </c>
      <c r="G705">
        <v>20</v>
      </c>
      <c r="H705">
        <f>IF(VLOOKUP(B705,Trades!A:N,4,FALSE)="Long",(F705-VLOOKUP(B705,Trades!A:N,6,FALSE))*G705,(VLOOKUP(B705,Trades!A:N,6,FALSE)-F705)*G705)</f>
        <v>-10.199999999999996</v>
      </c>
      <c r="I705">
        <f>H705/VLOOKUP(B705,Trades!A$1:$N$100794,9,FALSE)</f>
        <v>-0.50999999999999979</v>
      </c>
    </row>
    <row r="706" spans="1:9" x14ac:dyDescent="0.25">
      <c r="A706">
        <f t="shared" si="73"/>
        <v>705</v>
      </c>
      <c r="B706" s="1" t="s">
        <v>933</v>
      </c>
      <c r="C706" s="1">
        <v>46251</v>
      </c>
      <c r="D706" t="str">
        <f>VLOOKUP(B706,Trades!A$1:N101498,3,FALSE)</f>
        <v>AAPL</v>
      </c>
      <c r="E706" t="s">
        <v>61</v>
      </c>
      <c r="F706">
        <v>304</v>
      </c>
      <c r="G706">
        <v>3</v>
      </c>
      <c r="H706">
        <f>IF(VLOOKUP(B706,Trades!A:N,4,FALSE)="Long",(F706-VLOOKUP(B706,Trades!A:N,6,FALSE))*G706,(VLOOKUP(B706,Trades!A:N,6,FALSE)-F706)*G706)</f>
        <v>-4.8899999999999864</v>
      </c>
      <c r="I706">
        <f>H706/VLOOKUP(B706,Trades!A$1:$N$100794,9,FALSE)</f>
        <v>-1.6299999999999955</v>
      </c>
    </row>
    <row r="707" spans="1:9" x14ac:dyDescent="0.25">
      <c r="A707">
        <f t="shared" si="73"/>
        <v>706</v>
      </c>
      <c r="B707" s="1" t="s">
        <v>934</v>
      </c>
      <c r="C707" s="1">
        <v>46251</v>
      </c>
      <c r="D707" t="str">
        <f>VLOOKUP(B707,Trades!A$1:N101499,3,FALSE)</f>
        <v>LUNR</v>
      </c>
      <c r="E707" t="s">
        <v>61</v>
      </c>
      <c r="F707">
        <v>19.86</v>
      </c>
      <c r="G707">
        <v>20</v>
      </c>
      <c r="H707">
        <f>IF(VLOOKUP(B707,Trades!A:N,4,FALSE)="Long",(F707-VLOOKUP(B707,Trades!A:N,6,FALSE))*G707,(VLOOKUP(B707,Trades!A:N,6,FALSE)-F707)*G707)</f>
        <v>-9.3999999999999773</v>
      </c>
      <c r="I707">
        <f>H707/VLOOKUP(B707,Trades!A$1:$N$100794,9,FALSE)</f>
        <v>-0.46999999999999886</v>
      </c>
    </row>
    <row r="708" spans="1:9" x14ac:dyDescent="0.25">
      <c r="A708">
        <f t="shared" si="73"/>
        <v>707</v>
      </c>
      <c r="B708" s="1" t="s">
        <v>935</v>
      </c>
      <c r="C708" s="1">
        <v>46251</v>
      </c>
      <c r="D708" t="str">
        <f>VLOOKUP(B708,Trades!A$1:N101500,3,FALSE)</f>
        <v>MRVL</v>
      </c>
      <c r="E708" t="s">
        <v>61</v>
      </c>
      <c r="F708">
        <v>239.41</v>
      </c>
      <c r="G708">
        <v>5</v>
      </c>
      <c r="H708">
        <f>IF(VLOOKUP(B708,Trades!A:N,4,FALSE)="Long",(F708-VLOOKUP(B708,Trades!A:N,6,FALSE))*G708,(VLOOKUP(B708,Trades!A:N,6,FALSE)-F708)*G708)</f>
        <v>30.999999999999943</v>
      </c>
      <c r="I708">
        <f>H708/VLOOKUP(B708,Trades!A$1:$N$100794,9,FALSE)</f>
        <v>6.1999999999999886</v>
      </c>
    </row>
    <row r="709" spans="1:9" x14ac:dyDescent="0.25">
      <c r="A709">
        <f t="shared" si="73"/>
        <v>708</v>
      </c>
      <c r="B709" s="1" t="s">
        <v>936</v>
      </c>
      <c r="C709" s="1">
        <v>46251</v>
      </c>
      <c r="D709" t="str">
        <f>VLOOKUP(B709,Trades!A$1:N101501,3,FALSE)</f>
        <v>AMD</v>
      </c>
      <c r="E709" t="s">
        <v>61</v>
      </c>
      <c r="F709">
        <v>509.84</v>
      </c>
      <c r="G709">
        <v>2</v>
      </c>
      <c r="H709">
        <f>IF(VLOOKUP(B709,Trades!A:N,4,FALSE)="Long",(F709-VLOOKUP(B709,Trades!A:N,6,FALSE))*G709,(VLOOKUP(B709,Trades!A:N,6,FALSE)-F709)*G709)</f>
        <v>-6.2400000000001228</v>
      </c>
      <c r="I709">
        <f>H709/VLOOKUP(B709,Trades!A$1:$N$100794,9,FALSE)</f>
        <v>-3.1200000000000614</v>
      </c>
    </row>
    <row r="710" spans="1:9" x14ac:dyDescent="0.25">
      <c r="A710">
        <f t="shared" si="73"/>
        <v>709</v>
      </c>
      <c r="B710" s="1" t="s">
        <v>937</v>
      </c>
      <c r="C710" s="1">
        <v>46251</v>
      </c>
      <c r="D710" t="str">
        <f>VLOOKUP(B710,Trades!A$1:N101502,3,FALSE)</f>
        <v>ORCL</v>
      </c>
      <c r="E710" t="s">
        <v>61</v>
      </c>
      <c r="F710">
        <v>146.81</v>
      </c>
      <c r="G710">
        <v>6</v>
      </c>
      <c r="H710">
        <f>IF(VLOOKUP(B710,Trades!A:N,4,FALSE)="Long",(F710-VLOOKUP(B710,Trades!A:N,6,FALSE))*G710,(VLOOKUP(B710,Trades!A:N,6,FALSE)-F710)*G710)</f>
        <v>-10.080000000000041</v>
      </c>
      <c r="I710">
        <f>H710/VLOOKUP(B710,Trades!A$1:$N$100794,9,FALSE)</f>
        <v>-1.6800000000000068</v>
      </c>
    </row>
    <row r="711" spans="1:9" x14ac:dyDescent="0.25">
      <c r="A711">
        <f t="shared" si="73"/>
        <v>710</v>
      </c>
      <c r="B711" s="1" t="s">
        <v>938</v>
      </c>
      <c r="C711" s="1">
        <v>46251</v>
      </c>
      <c r="D711" t="str">
        <f>VLOOKUP(B711,Trades!A$1:N101503,3,FALSE)</f>
        <v>NVDA</v>
      </c>
      <c r="E711" t="s">
        <v>61</v>
      </c>
      <c r="F711">
        <v>225.57</v>
      </c>
      <c r="G711">
        <v>5</v>
      </c>
      <c r="H711">
        <f>IF(VLOOKUP(B711,Trades!A:N,4,FALSE)="Long",(F711-VLOOKUP(B711,Trades!A:N,6,FALSE))*G711,(VLOOKUP(B711,Trades!A:N,6,FALSE)-F711)*G711)</f>
        <v>-5</v>
      </c>
      <c r="I711">
        <f>H711/VLOOKUP(B711,Trades!A$1:$N$100794,9,FALSE)</f>
        <v>-1</v>
      </c>
    </row>
    <row r="712" spans="1:9" x14ac:dyDescent="0.25">
      <c r="A712">
        <f t="shared" si="73"/>
        <v>711</v>
      </c>
      <c r="B712" s="1" t="s">
        <v>939</v>
      </c>
      <c r="C712" s="1">
        <v>46251</v>
      </c>
      <c r="D712" t="str">
        <f>VLOOKUP(B712,Trades!A$1:N101504,3,FALSE)</f>
        <v>IONQ</v>
      </c>
      <c r="E712" t="s">
        <v>61</v>
      </c>
      <c r="F712">
        <v>46.82</v>
      </c>
      <c r="G712">
        <v>12</v>
      </c>
      <c r="H712">
        <f>IF(VLOOKUP(B712,Trades!A:N,4,FALSE)="Long",(F712-VLOOKUP(B712,Trades!A:N,6,FALSE))*G712,(VLOOKUP(B712,Trades!A:N,6,FALSE)-F712)*G712)</f>
        <v>1.4399999999999693</v>
      </c>
      <c r="I712">
        <f>H712/VLOOKUP(B712,Trades!A$1:$N$100794,9,FALSE)</f>
        <v>0.11999999999999744</v>
      </c>
    </row>
    <row r="713" spans="1:9" x14ac:dyDescent="0.25">
      <c r="A713">
        <f t="shared" si="73"/>
        <v>712</v>
      </c>
      <c r="B713" s="1" t="s">
        <v>940</v>
      </c>
      <c r="C713" s="1">
        <v>46251</v>
      </c>
      <c r="D713" t="str">
        <f>VLOOKUP(B713,Trades!A$1:N101505,3,FALSE)</f>
        <v>PATH</v>
      </c>
      <c r="E713" t="s">
        <v>61</v>
      </c>
      <c r="F713">
        <v>15.98</v>
      </c>
      <c r="G713">
        <v>30</v>
      </c>
      <c r="H713">
        <f>IF(VLOOKUP(B713,Trades!A:N,4,FALSE)="Long",(F713-VLOOKUP(B713,Trades!A:N,6,FALSE))*G713,(VLOOKUP(B713,Trades!A:N,6,FALSE)-F713)*G713)</f>
        <v>1.2000000000000277</v>
      </c>
      <c r="I713">
        <f>H713/VLOOKUP(B713,Trades!A$1:$N$100794,9,FALSE)</f>
        <v>4.0000000000000924E-2</v>
      </c>
    </row>
    <row r="714" spans="1:9" x14ac:dyDescent="0.25">
      <c r="A714">
        <f t="shared" ref="A714:A720" si="74">ROW()-1</f>
        <v>713</v>
      </c>
      <c r="B714" s="1" t="s">
        <v>941</v>
      </c>
      <c r="C714" s="1">
        <v>46252</v>
      </c>
      <c r="D714" t="str">
        <f>VLOOKUP(B714,Trades!A$1:N101506,3,FALSE)</f>
        <v>MU</v>
      </c>
      <c r="E714" t="s">
        <v>61</v>
      </c>
      <c r="F714">
        <v>958.65</v>
      </c>
      <c r="G714">
        <v>1</v>
      </c>
      <c r="H714">
        <f>IF(VLOOKUP(B714,Trades!A:N,4,FALSE)="Long",(F714-VLOOKUP(B714,Trades!A:N,6,FALSE))*G714,(VLOOKUP(B714,Trades!A:N,6,FALSE)-F714)*G714)</f>
        <v>-9.7900000000000773</v>
      </c>
      <c r="I714">
        <f>H714/VLOOKUP(B714,Trades!A$1:$N$100794,9,FALSE)</f>
        <v>-9.7900000000000773</v>
      </c>
    </row>
    <row r="715" spans="1:9" x14ac:dyDescent="0.25">
      <c r="A715">
        <f t="shared" si="74"/>
        <v>714</v>
      </c>
      <c r="B715" s="1" t="s">
        <v>942</v>
      </c>
      <c r="C715" s="1">
        <v>46252</v>
      </c>
      <c r="D715" t="str">
        <f>VLOOKUP(B715,Trades!A$1:N101507,3,FALSE)</f>
        <v>PLTR</v>
      </c>
      <c r="E715" t="s">
        <v>61</v>
      </c>
      <c r="F715">
        <v>172.15</v>
      </c>
      <c r="G715">
        <v>3</v>
      </c>
      <c r="H715">
        <f>IF(VLOOKUP(B715,Trades!A:N,4,FALSE)="Long",(F715-VLOOKUP(B715,Trades!A:N,6,FALSE))*G715,(VLOOKUP(B715,Trades!A:N,6,FALSE)-F715)*G715)</f>
        <v>-6.7799999999999727</v>
      </c>
      <c r="I715">
        <f>H715/VLOOKUP(B715,Trades!A$1:$N$100794,9,FALSE)</f>
        <v>-2.2599999999999909</v>
      </c>
    </row>
    <row r="716" spans="1:9" x14ac:dyDescent="0.25">
      <c r="A716">
        <f t="shared" si="74"/>
        <v>715</v>
      </c>
      <c r="B716" s="1" t="s">
        <v>943</v>
      </c>
      <c r="C716" s="1">
        <v>46252</v>
      </c>
      <c r="D716" t="str">
        <f>VLOOKUP(B716,Trades!A$1:N101508,3,FALSE)</f>
        <v>NFLX</v>
      </c>
      <c r="E716" t="s">
        <v>61</v>
      </c>
      <c r="F716">
        <v>78.849999999999994</v>
      </c>
      <c r="G716">
        <v>10</v>
      </c>
      <c r="H716">
        <f>IF(VLOOKUP(B716,Trades!A:N,4,FALSE)="Long",(F716-VLOOKUP(B716,Trades!A:N,6,FALSE))*G716,(VLOOKUP(B716,Trades!A:N,6,FALSE)-F716)*G716)</f>
        <v>16.400000000000006</v>
      </c>
      <c r="I716">
        <f>H716/VLOOKUP(B716,Trades!A$1:$N$100794,9,FALSE)</f>
        <v>1.6400000000000006</v>
      </c>
    </row>
    <row r="717" spans="1:9" x14ac:dyDescent="0.25">
      <c r="A717">
        <f t="shared" si="74"/>
        <v>716</v>
      </c>
      <c r="B717" s="1" t="s">
        <v>944</v>
      </c>
      <c r="C717" s="1">
        <v>46252</v>
      </c>
      <c r="D717" t="str">
        <f>VLOOKUP(B717,Trades!A$1:N101509,3,FALSE)</f>
        <v>ORCL</v>
      </c>
      <c r="E717" t="s">
        <v>61</v>
      </c>
      <c r="F717">
        <v>143.34</v>
      </c>
      <c r="G717">
        <v>10</v>
      </c>
      <c r="H717">
        <f>IF(VLOOKUP(B717,Trades!A:N,4,FALSE)="Long",(F717-VLOOKUP(B717,Trades!A:N,6,FALSE))*G717,(VLOOKUP(B717,Trades!A:N,6,FALSE)-F717)*G717)</f>
        <v>-8.4999999999999432</v>
      </c>
      <c r="I717">
        <f>H717/VLOOKUP(B717,Trades!A$1:$N$100794,9,FALSE)</f>
        <v>-0.84999999999999432</v>
      </c>
    </row>
    <row r="718" spans="1:9" x14ac:dyDescent="0.25">
      <c r="A718">
        <f t="shared" si="74"/>
        <v>717</v>
      </c>
      <c r="B718" s="1" t="s">
        <v>945</v>
      </c>
      <c r="C718" s="1">
        <v>46252</v>
      </c>
      <c r="D718" t="str">
        <f>VLOOKUP(B718,Trades!A$1:N101510,3,FALSE)</f>
        <v>MU</v>
      </c>
      <c r="E718" t="s">
        <v>61</v>
      </c>
      <c r="F718">
        <v>930.9</v>
      </c>
      <c r="G718">
        <v>1</v>
      </c>
      <c r="H718">
        <f>IF(VLOOKUP(B718,Trades!A:N,4,FALSE)="Long",(F718-VLOOKUP(B718,Trades!A:N,6,FALSE))*G718,(VLOOKUP(B718,Trades!A:N,6,FALSE)-F718)*G718)</f>
        <v>-11.550000000000068</v>
      </c>
      <c r="I718">
        <f>H718/VLOOKUP(B718,Trades!A$1:$N$100794,9,FALSE)</f>
        <v>-11.550000000000068</v>
      </c>
    </row>
    <row r="719" spans="1:9" x14ac:dyDescent="0.25">
      <c r="A719">
        <f t="shared" si="74"/>
        <v>718</v>
      </c>
      <c r="B719" s="1" t="s">
        <v>946</v>
      </c>
      <c r="C719" s="1">
        <v>46252</v>
      </c>
      <c r="D719" t="str">
        <f>VLOOKUP(B719,Trades!A$1:N101511,3,FALSE)</f>
        <v>GOOG</v>
      </c>
      <c r="E719" t="s">
        <v>61</v>
      </c>
      <c r="F719">
        <v>340.38</v>
      </c>
      <c r="G719">
        <v>3</v>
      </c>
      <c r="H719">
        <f>IF(VLOOKUP(B719,Trades!A:N,4,FALSE)="Long",(F719-VLOOKUP(B719,Trades!A:N,6,FALSE))*G719,(VLOOKUP(B719,Trades!A:N,6,FALSE)-F719)*G719)</f>
        <v>-1.5599999999999454</v>
      </c>
      <c r="I719">
        <f>H719/VLOOKUP(B719,Trades!A$1:$N$100794,9,FALSE)</f>
        <v>-0.51999999999998181</v>
      </c>
    </row>
    <row r="720" spans="1:9" x14ac:dyDescent="0.25">
      <c r="A720">
        <f t="shared" si="74"/>
        <v>719</v>
      </c>
      <c r="B720" s="1" t="s">
        <v>947</v>
      </c>
      <c r="C720" s="1">
        <v>46252</v>
      </c>
      <c r="D720" t="str">
        <f>VLOOKUP(B720,Trades!A$1:N101512,3,FALSE)</f>
        <v>SMCI</v>
      </c>
      <c r="E720" t="s">
        <v>61</v>
      </c>
      <c r="F720">
        <v>37.51</v>
      </c>
      <c r="G720">
        <v>20</v>
      </c>
      <c r="H720">
        <f>IF(VLOOKUP(B720,Trades!A:N,4,FALSE)="Long",(F720-VLOOKUP(B720,Trades!A:N,6,FALSE))*G720,(VLOOKUP(B720,Trades!A:N,6,FALSE)-F720)*G720)</f>
        <v>2.8000000000000114</v>
      </c>
      <c r="I720">
        <f>H720/VLOOKUP(B720,Trades!A$1:$N$100794,9,FALSE)</f>
        <v>0.17500000000000071</v>
      </c>
    </row>
    <row r="721" spans="1:9" x14ac:dyDescent="0.25">
      <c r="A721">
        <f t="shared" ref="A721:A730" si="75">ROW()-1</f>
        <v>720</v>
      </c>
      <c r="B721" s="1" t="s">
        <v>948</v>
      </c>
      <c r="C721" s="1">
        <v>46253</v>
      </c>
      <c r="D721" t="str">
        <f>VLOOKUP(B721,Trades!A$1:N101513,3,FALSE)</f>
        <v>INTC</v>
      </c>
      <c r="E721" t="s">
        <v>61</v>
      </c>
      <c r="F721">
        <v>94.96</v>
      </c>
      <c r="G721">
        <v>9</v>
      </c>
      <c r="H721">
        <f>IF(VLOOKUP(B721,Trades!A:N,4,FALSE)="Long",(F721-VLOOKUP(B721,Trades!A:N,6,FALSE))*G721,(VLOOKUP(B721,Trades!A:N,6,FALSE)-F721)*G721)</f>
        <v>-103.9500000000001</v>
      </c>
      <c r="I721">
        <f>H721/VLOOKUP(B721,Trades!A$1:$N$100794,9,FALSE)</f>
        <v>-11.550000000000011</v>
      </c>
    </row>
    <row r="722" spans="1:9" x14ac:dyDescent="0.25">
      <c r="A722">
        <f t="shared" si="75"/>
        <v>721</v>
      </c>
      <c r="B722" s="1" t="s">
        <v>949</v>
      </c>
      <c r="C722" s="1">
        <v>46253</v>
      </c>
      <c r="D722" t="str">
        <f>VLOOKUP(B722,Trades!A$1:N101514,3,FALSE)</f>
        <v>INTC</v>
      </c>
      <c r="E722" t="s">
        <v>61</v>
      </c>
      <c r="F722">
        <v>94.96</v>
      </c>
      <c r="G722">
        <v>1</v>
      </c>
      <c r="H722">
        <f>IF(VLOOKUP(B722,Trades!A:N,4,FALSE)="Long",(F722-VLOOKUP(B722,Trades!A:N,6,FALSE))*G722,(VLOOKUP(B722,Trades!A:N,6,FALSE)-F722)*G722)</f>
        <v>-10.280000000000001</v>
      </c>
      <c r="I722">
        <f>H722/VLOOKUP(B722,Trades!A$1:$N$100794,9,FALSE)</f>
        <v>-10.280000000000001</v>
      </c>
    </row>
    <row r="723" spans="1:9" x14ac:dyDescent="0.25">
      <c r="A723">
        <f t="shared" si="75"/>
        <v>722</v>
      </c>
      <c r="B723" s="1" t="s">
        <v>950</v>
      </c>
      <c r="C723" s="1">
        <v>46253</v>
      </c>
      <c r="D723" t="str">
        <f>VLOOKUP(B723,Trades!A$1:N101515,3,FALSE)</f>
        <v>MRVL</v>
      </c>
      <c r="E723" t="s">
        <v>61</v>
      </c>
      <c r="F723">
        <v>236.73</v>
      </c>
      <c r="G723">
        <v>5</v>
      </c>
      <c r="H723">
        <f>IF(VLOOKUP(B723,Trades!A:N,4,FALSE)="Long",(F723-VLOOKUP(B723,Trades!A:N,6,FALSE))*G723,(VLOOKUP(B723,Trades!A:N,6,FALSE)-F723)*G723)</f>
        <v>-9.8499999999999943</v>
      </c>
      <c r="I723">
        <f>H723/VLOOKUP(B723,Trades!A$1:$N$100794,9,FALSE)</f>
        <v>-1.9699999999999989</v>
      </c>
    </row>
    <row r="724" spans="1:9" x14ac:dyDescent="0.25">
      <c r="A724">
        <f t="shared" si="75"/>
        <v>723</v>
      </c>
      <c r="B724" s="1" t="s">
        <v>952</v>
      </c>
      <c r="C724" s="1">
        <v>46253</v>
      </c>
      <c r="D724" t="str">
        <f>VLOOKUP(B724,Trades!A$1:N101516,3,FALSE)</f>
        <v>MU</v>
      </c>
      <c r="E724" t="s">
        <v>61</v>
      </c>
      <c r="F724">
        <v>919.29</v>
      </c>
      <c r="G724">
        <v>1</v>
      </c>
      <c r="H724">
        <f>IF(VLOOKUP(B724,Trades!A:N,4,FALSE)="Long",(F724-VLOOKUP(B724,Trades!A:N,6,FALSE))*G724,(VLOOKUP(B724,Trades!A:N,6,FALSE)-F724)*G724)</f>
        <v>-40.129999999999995</v>
      </c>
      <c r="I724">
        <f>H724/VLOOKUP(B724,Trades!A$1:$N$100794,9,FALSE)</f>
        <v>-40.129999999999995</v>
      </c>
    </row>
    <row r="725" spans="1:9" x14ac:dyDescent="0.25">
      <c r="A725">
        <f t="shared" si="75"/>
        <v>724</v>
      </c>
      <c r="B725" s="1" t="s">
        <v>953</v>
      </c>
      <c r="C725" s="1">
        <v>46253</v>
      </c>
      <c r="D725" t="str">
        <f>VLOOKUP(B725,Trades!A$1:N101517,3,FALSE)</f>
        <v>PATH</v>
      </c>
      <c r="E725" t="s">
        <v>61</v>
      </c>
      <c r="F725">
        <v>16.100000000000001</v>
      </c>
      <c r="G725">
        <v>50</v>
      </c>
      <c r="H725">
        <f>IF(VLOOKUP(B725,Trades!A:N,4,FALSE)="Long",(F725-VLOOKUP(B725,Trades!A:N,6,FALSE))*G725,(VLOOKUP(B725,Trades!A:N,6,FALSE)-F725)*G725)</f>
        <v>19.000000000000039</v>
      </c>
      <c r="I725">
        <f>H725/VLOOKUP(B725,Trades!A$1:$N$100794,9,FALSE)</f>
        <v>0.38000000000000078</v>
      </c>
    </row>
    <row r="726" spans="1:9" x14ac:dyDescent="0.25">
      <c r="A726">
        <f t="shared" si="75"/>
        <v>725</v>
      </c>
      <c r="B726" s="1" t="s">
        <v>954</v>
      </c>
      <c r="C726" s="1">
        <v>46253</v>
      </c>
      <c r="D726" t="str">
        <f>VLOOKUP(B726,Trades!A$1:N101518,3,FALSE)</f>
        <v>ABNB</v>
      </c>
      <c r="E726" t="s">
        <v>61</v>
      </c>
      <c r="F726">
        <v>189.1</v>
      </c>
      <c r="G726">
        <v>5</v>
      </c>
      <c r="H726">
        <f>IF(VLOOKUP(B726,Trades!A:N,4,FALSE)="Long",(F726-VLOOKUP(B726,Trades!A:N,6,FALSE))*G726,(VLOOKUP(B726,Trades!A:N,6,FALSE)-F726)*G726)</f>
        <v>17.69999999999996</v>
      </c>
      <c r="I726">
        <f>H726/VLOOKUP(B726,Trades!A$1:$N$100794,9,FALSE)</f>
        <v>3.539999999999992</v>
      </c>
    </row>
    <row r="727" spans="1:9" x14ac:dyDescent="0.25">
      <c r="A727">
        <f t="shared" si="75"/>
        <v>726</v>
      </c>
      <c r="B727" s="1" t="s">
        <v>955</v>
      </c>
      <c r="C727" s="1">
        <v>46253</v>
      </c>
      <c r="D727" t="str">
        <f>VLOOKUP(B727,Trades!A$1:N101519,3,FALSE)</f>
        <v>MU</v>
      </c>
      <c r="E727" t="s">
        <v>61</v>
      </c>
      <c r="F727">
        <v>928.59</v>
      </c>
      <c r="G727">
        <v>1</v>
      </c>
      <c r="H727">
        <f>IF(VLOOKUP(B727,Trades!A:N,4,FALSE)="Long",(F727-VLOOKUP(B727,Trades!A:N,6,FALSE))*G727,(VLOOKUP(B727,Trades!A:N,6,FALSE)-F727)*G727)</f>
        <v>-4.0899999999999181</v>
      </c>
      <c r="I727">
        <f>H727/VLOOKUP(B727,Trades!A$1:$N$100794,9,FALSE)</f>
        <v>-4.0899999999999181</v>
      </c>
    </row>
    <row r="728" spans="1:9" x14ac:dyDescent="0.25">
      <c r="A728">
        <f t="shared" si="75"/>
        <v>727</v>
      </c>
      <c r="B728" s="1" t="s">
        <v>956</v>
      </c>
      <c r="C728" s="1">
        <v>46253</v>
      </c>
      <c r="D728" t="str">
        <f>VLOOKUP(B728,Trades!A$1:N101520,3,FALSE)</f>
        <v>SMCI</v>
      </c>
      <c r="E728" t="s">
        <v>61</v>
      </c>
      <c r="F728">
        <v>37.021000000000001</v>
      </c>
      <c r="G728">
        <v>5</v>
      </c>
      <c r="H728">
        <f>IF(VLOOKUP(B728,Trades!A:N,4,FALSE)="Long",(F728-VLOOKUP(B728,Trades!A:N,6,FALSE))*G728,(VLOOKUP(B728,Trades!A:N,6,FALSE)-F728)*G728)</f>
        <v>0.25500000000000966</v>
      </c>
      <c r="I728">
        <f>H728/VLOOKUP(B728,Trades!A$1:$N$100794,9,FALSE)</f>
        <v>1.2750000000000483E-2</v>
      </c>
    </row>
    <row r="729" spans="1:9" x14ac:dyDescent="0.25">
      <c r="A729">
        <f t="shared" si="75"/>
        <v>728</v>
      </c>
      <c r="B729" s="1" t="s">
        <v>957</v>
      </c>
      <c r="C729" s="1">
        <v>46253</v>
      </c>
      <c r="D729" t="str">
        <f>VLOOKUP(B729,Trades!A$1:N101521,3,FALSE)</f>
        <v>NFLX</v>
      </c>
      <c r="E729" t="s">
        <v>61</v>
      </c>
      <c r="F729">
        <v>80.239999999999995</v>
      </c>
      <c r="G729">
        <v>5</v>
      </c>
      <c r="H729">
        <f>IF(VLOOKUP(B729,Trades!A:N,4,FALSE)="Long",(F729-VLOOKUP(B729,Trades!A:N,6,FALSE))*G729,(VLOOKUP(B729,Trades!A:N,6,FALSE)-F729)*G729)</f>
        <v>7.1499999999999631</v>
      </c>
      <c r="I729">
        <f>H729/VLOOKUP(B729,Trades!A$1:$N$100794,9,FALSE)</f>
        <v>1.4299999999999926</v>
      </c>
    </row>
    <row r="730" spans="1:9" x14ac:dyDescent="0.25">
      <c r="A730">
        <f t="shared" si="75"/>
        <v>729</v>
      </c>
      <c r="B730" s="1" t="s">
        <v>958</v>
      </c>
      <c r="C730" s="1">
        <v>46253</v>
      </c>
      <c r="D730" t="str">
        <f>VLOOKUP(B730,Trades!A$1:N101522,3,FALSE)</f>
        <v>BNTX</v>
      </c>
      <c r="E730" t="s">
        <v>61</v>
      </c>
      <c r="F730">
        <v>112.99</v>
      </c>
      <c r="G730">
        <v>5</v>
      </c>
      <c r="H730">
        <f>IF(VLOOKUP(B730,Trades!A:N,4,FALSE)="Long",(F730-VLOOKUP(B730,Trades!A:N,6,FALSE))*G730,(VLOOKUP(B730,Trades!A:N,6,FALSE)-F730)*G730)</f>
        <v>6.8499999999999517</v>
      </c>
      <c r="I730">
        <f>H730/VLOOKUP(B730,Trades!A$1:$N$100794,9,FALSE)</f>
        <v>1.3699999999999903</v>
      </c>
    </row>
    <row r="731" spans="1:9" x14ac:dyDescent="0.25">
      <c r="A731">
        <f t="shared" ref="A731:A738" si="76">ROW()-1</f>
        <v>730</v>
      </c>
      <c r="B731" s="1" t="s">
        <v>960</v>
      </c>
      <c r="C731" s="1">
        <v>46254</v>
      </c>
      <c r="D731" t="str">
        <f>VLOOKUP(B731,Trades!A$1:N101523,3,FALSE)</f>
        <v>MU</v>
      </c>
      <c r="E731" t="s">
        <v>61</v>
      </c>
      <c r="F731">
        <v>934.07</v>
      </c>
      <c r="G731">
        <v>1</v>
      </c>
      <c r="H731">
        <f>IF(VLOOKUP(B731,Trades!A:N,4,FALSE)="Long",(F731-VLOOKUP(B731,Trades!A:N,6,FALSE))*G731,(VLOOKUP(B731,Trades!A:N,6,FALSE)-F731)*G731)</f>
        <v>-10.509999999999991</v>
      </c>
      <c r="I731">
        <f>H731/VLOOKUP(B731,Trades!A$1:$N$100794,9,FALSE)</f>
        <v>-10.509999999999991</v>
      </c>
    </row>
    <row r="732" spans="1:9" x14ac:dyDescent="0.25">
      <c r="A732">
        <f t="shared" si="76"/>
        <v>731</v>
      </c>
      <c r="B732" s="1" t="s">
        <v>962</v>
      </c>
      <c r="C732" s="1">
        <v>46254</v>
      </c>
      <c r="D732" t="str">
        <f>VLOOKUP(B732,Trades!A$1:N101524,3,FALSE)</f>
        <v>HSAI</v>
      </c>
      <c r="E732" t="s">
        <v>61</v>
      </c>
      <c r="F732">
        <v>18.71</v>
      </c>
      <c r="G732">
        <v>18</v>
      </c>
      <c r="H732">
        <f>IF(VLOOKUP(B732,Trades!A:N,4,FALSE)="Long",(F732-VLOOKUP(B732,Trades!A:N,6,FALSE))*G732,(VLOOKUP(B732,Trades!A:N,6,FALSE)-F732)*G732)</f>
        <v>-9.7199999999999847</v>
      </c>
      <c r="I732">
        <f>H732/VLOOKUP(B732,Trades!A$1:$N$100794,9,FALSE)</f>
        <v>-0.53999999999999915</v>
      </c>
    </row>
    <row r="733" spans="1:9" x14ac:dyDescent="0.25">
      <c r="A733">
        <f t="shared" si="76"/>
        <v>732</v>
      </c>
      <c r="B733" s="1" t="s">
        <v>964</v>
      </c>
      <c r="C733" s="1">
        <v>46254</v>
      </c>
      <c r="D733" t="str">
        <f>VLOOKUP(B733,Trades!A$1:N101525,3,FALSE)</f>
        <v>NFLX</v>
      </c>
      <c r="E733" t="s">
        <v>61</v>
      </c>
      <c r="F733">
        <v>80.010000000000005</v>
      </c>
      <c r="G733">
        <v>10</v>
      </c>
      <c r="H733">
        <f>IF(VLOOKUP(B733,Trades!A:N,4,FALSE)="Long",(F733-VLOOKUP(B733,Trades!A:N,6,FALSE))*G733,(VLOOKUP(B733,Trades!A:N,6,FALSE)-F733)*G733)</f>
        <v>-9.2999999999999261</v>
      </c>
      <c r="I733">
        <f>H733/VLOOKUP(B733,Trades!A$1:$N$100794,9,FALSE)</f>
        <v>-0.92999999999999261</v>
      </c>
    </row>
    <row r="734" spans="1:9" x14ac:dyDescent="0.25">
      <c r="A734">
        <f t="shared" si="76"/>
        <v>733</v>
      </c>
      <c r="B734" s="1" t="s">
        <v>966</v>
      </c>
      <c r="C734" s="1">
        <v>46254</v>
      </c>
      <c r="D734" t="str">
        <f>VLOOKUP(B734,Trades!A$1:N101526,3,FALSE)</f>
        <v>ANDG</v>
      </c>
      <c r="E734" t="s">
        <v>61</v>
      </c>
      <c r="F734">
        <v>48.82</v>
      </c>
      <c r="G734">
        <v>10</v>
      </c>
      <c r="H734">
        <f>IF(VLOOKUP(B734,Trades!A:N,4,FALSE)="Long",(F734-VLOOKUP(B734,Trades!A:N,6,FALSE))*G734,(VLOOKUP(B734,Trades!A:N,6,FALSE)-F734)*G734)</f>
        <v>10.200000000000031</v>
      </c>
      <c r="I734">
        <f>H734/VLOOKUP(B734,Trades!A$1:$N$100794,9,FALSE)</f>
        <v>1.0200000000000031</v>
      </c>
    </row>
    <row r="735" spans="1:9" x14ac:dyDescent="0.25">
      <c r="A735">
        <f t="shared" si="76"/>
        <v>734</v>
      </c>
      <c r="B735" s="1" t="s">
        <v>967</v>
      </c>
      <c r="C735" s="1">
        <v>46254</v>
      </c>
      <c r="D735" t="str">
        <f>VLOOKUP(B735,Trades!A$1:N101527,3,FALSE)</f>
        <v>BTDR</v>
      </c>
      <c r="E735" t="s">
        <v>61</v>
      </c>
      <c r="F735">
        <v>10.28</v>
      </c>
      <c r="G735">
        <v>20</v>
      </c>
      <c r="H735">
        <f>IF(VLOOKUP(B735,Trades!A:N,4,FALSE)="Long",(F735-VLOOKUP(B735,Trades!A:N,6,FALSE))*G735,(VLOOKUP(B735,Trades!A:N,6,FALSE)-F735)*G735)</f>
        <v>-9.4000000000000128</v>
      </c>
      <c r="I735">
        <f>H735/VLOOKUP(B735,Trades!A$1:$N$100794,9,FALSE)</f>
        <v>-0.47000000000000064</v>
      </c>
    </row>
    <row r="736" spans="1:9" x14ac:dyDescent="0.25">
      <c r="A736">
        <f t="shared" si="76"/>
        <v>735</v>
      </c>
      <c r="B736" s="1" t="s">
        <v>968</v>
      </c>
      <c r="C736" s="1">
        <v>46254</v>
      </c>
      <c r="D736" t="str">
        <f>VLOOKUP(B736,Trades!A$1:N101528,3,FALSE)</f>
        <v>MARA</v>
      </c>
      <c r="E736" t="s">
        <v>61</v>
      </c>
      <c r="F736">
        <v>10.85</v>
      </c>
      <c r="G736">
        <v>20</v>
      </c>
      <c r="H736">
        <f>IF(VLOOKUP(B736,Trades!A:N,4,FALSE)="Long",(F736-VLOOKUP(B736,Trades!A:N,6,FALSE))*G736,(VLOOKUP(B736,Trades!A:N,6,FALSE)-F736)*G736)</f>
        <v>7.5999999999999801</v>
      </c>
      <c r="I736">
        <f>H736/VLOOKUP(B736,Trades!A$1:$N$100794,9,FALSE)</f>
        <v>0.37999999999999901</v>
      </c>
    </row>
    <row r="737" spans="1:9" x14ac:dyDescent="0.25">
      <c r="A737">
        <f t="shared" si="76"/>
        <v>736</v>
      </c>
      <c r="B737" s="1" t="s">
        <v>969</v>
      </c>
      <c r="C737" s="1">
        <v>46254</v>
      </c>
      <c r="D737" t="str">
        <f>VLOOKUP(B737,Trades!A$1:N101529,3,FALSE)</f>
        <v>TEM</v>
      </c>
      <c r="E737" t="s">
        <v>61</v>
      </c>
      <c r="F737">
        <v>66.8</v>
      </c>
      <c r="G737">
        <v>5</v>
      </c>
      <c r="H737">
        <f>IF(VLOOKUP(B737,Trades!A:N,4,FALSE)="Long",(F737-VLOOKUP(B737,Trades!A:N,6,FALSE))*G737,(VLOOKUP(B737,Trades!A:N,6,FALSE)-F737)*G737)</f>
        <v>-2.7000000000000313</v>
      </c>
      <c r="I737">
        <f>H737/VLOOKUP(B737,Trades!A$1:$N$100794,9,FALSE)</f>
        <v>-0.54000000000000625</v>
      </c>
    </row>
    <row r="738" spans="1:9" x14ac:dyDescent="0.25">
      <c r="A738">
        <f t="shared" si="76"/>
        <v>737</v>
      </c>
      <c r="B738" s="1" t="s">
        <v>970</v>
      </c>
      <c r="C738" s="1">
        <v>46254</v>
      </c>
      <c r="D738" t="str">
        <f>VLOOKUP(B738,Trades!A$1:N101530,3,FALSE)</f>
        <v>BABA</v>
      </c>
      <c r="E738" t="s">
        <v>61</v>
      </c>
      <c r="F738">
        <v>130.35</v>
      </c>
      <c r="G738">
        <v>5</v>
      </c>
      <c r="H738">
        <f>IF(VLOOKUP(B738,Trades!A:N,4,FALSE)="Long",(F738-VLOOKUP(B738,Trades!A:N,6,FALSE))*G738,(VLOOKUP(B738,Trades!A:N,6,FALSE)-F738)*G738)</f>
        <v>19.249999999999972</v>
      </c>
      <c r="I738">
        <f>H738/VLOOKUP(B738,Trades!A$1:$N$100794,9,FALSE)</f>
        <v>3.8499999999999943</v>
      </c>
    </row>
    <row r="739" spans="1:9" x14ac:dyDescent="0.25">
      <c r="A739">
        <f t="shared" ref="A739:A750" si="77">ROW()-1</f>
        <v>738</v>
      </c>
      <c r="B739" s="1" t="s">
        <v>973</v>
      </c>
      <c r="C739" s="1">
        <v>46255</v>
      </c>
      <c r="D739" t="str">
        <f>VLOOKUP(B739,Trades!A$1:N101531,3,FALSE)</f>
        <v>PATH</v>
      </c>
      <c r="E739" t="s">
        <v>61</v>
      </c>
      <c r="F739">
        <v>15.78</v>
      </c>
      <c r="G739">
        <v>30</v>
      </c>
      <c r="H739">
        <f>IF(VLOOKUP(B739,Trades!A:N,4,FALSE)="Long",(F739-VLOOKUP(B739,Trades!A:N,6,FALSE))*G739,(VLOOKUP(B739,Trades!A:N,6,FALSE)-F739)*G739)</f>
        <v>1.1999999999999744</v>
      </c>
      <c r="I739">
        <f>H739/VLOOKUP(B739,Trades!A$1:$N$100794,9,FALSE)</f>
        <v>3.9999999999999147E-2</v>
      </c>
    </row>
    <row r="740" spans="1:9" x14ac:dyDescent="0.25">
      <c r="A740">
        <f t="shared" si="77"/>
        <v>739</v>
      </c>
      <c r="B740" s="1" t="s">
        <v>975</v>
      </c>
      <c r="C740" s="1">
        <v>46255</v>
      </c>
      <c r="D740" t="str">
        <f>VLOOKUP(B740,Trades!A$1:N101532,3,FALSE)</f>
        <v>PURR</v>
      </c>
      <c r="E740" t="s">
        <v>61</v>
      </c>
      <c r="F740">
        <v>10.7</v>
      </c>
      <c r="G740">
        <v>40</v>
      </c>
      <c r="H740">
        <f>IF(VLOOKUP(B740,Trades!A:N,4,FALSE)="Long",(F740-VLOOKUP(B740,Trades!A:N,6,FALSE))*G740,(VLOOKUP(B740,Trades!A:N,6,FALSE)-F740)*G740)</f>
        <v>-12.000000000000028</v>
      </c>
      <c r="I740">
        <f>H740/VLOOKUP(B740,Trades!A$1:$N$100794,9,FALSE)</f>
        <v>-0.30000000000000071</v>
      </c>
    </row>
    <row r="741" spans="1:9" x14ac:dyDescent="0.25">
      <c r="A741">
        <f t="shared" si="77"/>
        <v>740</v>
      </c>
      <c r="B741" s="1" t="s">
        <v>976</v>
      </c>
      <c r="C741" s="1">
        <v>46255</v>
      </c>
      <c r="D741" t="str">
        <f>VLOOKUP(B741,Trades!A$1:N101533,3,FALSE)</f>
        <v>BTDR</v>
      </c>
      <c r="E741" t="s">
        <v>61</v>
      </c>
      <c r="F741">
        <v>11.18</v>
      </c>
      <c r="G741">
        <v>20</v>
      </c>
      <c r="H741">
        <f>IF(VLOOKUP(B741,Trades!A:N,4,FALSE)="Long",(F741-VLOOKUP(B741,Trades!A:N,6,FALSE))*G741,(VLOOKUP(B741,Trades!A:N,6,FALSE)-F741)*G741)</f>
        <v>-8.0000000000000071</v>
      </c>
      <c r="I741">
        <f>H741/VLOOKUP(B741,Trades!A$1:$N$100794,9,FALSE)</f>
        <v>-0.40000000000000036</v>
      </c>
    </row>
    <row r="742" spans="1:9" x14ac:dyDescent="0.25">
      <c r="A742">
        <f t="shared" si="77"/>
        <v>741</v>
      </c>
      <c r="B742" s="1" t="s">
        <v>977</v>
      </c>
      <c r="C742" s="1">
        <v>46255</v>
      </c>
      <c r="D742" t="str">
        <f>VLOOKUP(B742,Trades!A$1:N101534,3,FALSE)</f>
        <v>MARA</v>
      </c>
      <c r="E742" t="s">
        <v>61</v>
      </c>
      <c r="F742">
        <v>11.59</v>
      </c>
      <c r="G742">
        <v>20</v>
      </c>
      <c r="H742">
        <f>IF(VLOOKUP(B742,Trades!A:N,4,FALSE)="Long",(F742-VLOOKUP(B742,Trades!A:N,6,FALSE))*G742,(VLOOKUP(B742,Trades!A:N,6,FALSE)-F742)*G742)</f>
        <v>-9.2000000000000171</v>
      </c>
      <c r="I742">
        <f>H742/VLOOKUP(B742,Trades!A$1:$N$100794,9,FALSE)</f>
        <v>-0.46000000000000085</v>
      </c>
    </row>
    <row r="743" spans="1:9" x14ac:dyDescent="0.25">
      <c r="A743">
        <f t="shared" si="77"/>
        <v>742</v>
      </c>
      <c r="B743" s="1" t="s">
        <v>978</v>
      </c>
      <c r="C743" s="1">
        <v>46255</v>
      </c>
      <c r="D743" t="str">
        <f>VLOOKUP(B743,Trades!A$1:N101535,3,FALSE)</f>
        <v>CRCL</v>
      </c>
      <c r="E743" t="s">
        <v>61</v>
      </c>
      <c r="F743">
        <v>89.31</v>
      </c>
      <c r="G743">
        <v>6</v>
      </c>
      <c r="H743">
        <f>IF(VLOOKUP(B743,Trades!A:N,4,FALSE)="Long",(F743-VLOOKUP(B743,Trades!A:N,6,FALSE))*G743,(VLOOKUP(B743,Trades!A:N,6,FALSE)-F743)*G743)</f>
        <v>-12.95999999999998</v>
      </c>
      <c r="I743">
        <f>H743/VLOOKUP(B743,Trades!A$1:$N$100794,9,FALSE)</f>
        <v>-1.8514285714285685</v>
      </c>
    </row>
    <row r="744" spans="1:9" x14ac:dyDescent="0.25">
      <c r="A744">
        <f t="shared" si="77"/>
        <v>743</v>
      </c>
      <c r="B744" s="1" t="s">
        <v>979</v>
      </c>
      <c r="C744" s="1">
        <v>46255</v>
      </c>
      <c r="D744" t="str">
        <f>VLOOKUP(B744,Trades!A$1:N101536,3,FALSE)</f>
        <v>AMZN</v>
      </c>
      <c r="E744" t="s">
        <v>61</v>
      </c>
      <c r="F744">
        <v>258.14</v>
      </c>
      <c r="G744">
        <v>4</v>
      </c>
      <c r="H744">
        <f>IF(VLOOKUP(B744,Trades!A:N,4,FALSE)="Long",(F744-VLOOKUP(B744,Trades!A:N,6,FALSE))*G744,(VLOOKUP(B744,Trades!A:N,6,FALSE)-F744)*G744)</f>
        <v>-8.4800000000000182</v>
      </c>
      <c r="I744">
        <f>H744/VLOOKUP(B744,Trades!A$1:$N$100794,9,FALSE)</f>
        <v>-2.1200000000000045</v>
      </c>
    </row>
    <row r="745" spans="1:9" x14ac:dyDescent="0.25">
      <c r="A745">
        <f t="shared" si="77"/>
        <v>744</v>
      </c>
      <c r="B745" s="1" t="s">
        <v>980</v>
      </c>
      <c r="C745" s="1">
        <v>46255</v>
      </c>
      <c r="D745" t="str">
        <f>VLOOKUP(B745,Trades!A$1:N101537,3,FALSE)</f>
        <v>ORCL</v>
      </c>
      <c r="E745" t="s">
        <v>61</v>
      </c>
      <c r="F745">
        <v>146.59</v>
      </c>
      <c r="G745">
        <v>6</v>
      </c>
      <c r="H745">
        <f>IF(VLOOKUP(B745,Trades!A:N,4,FALSE)="Long",(F745-VLOOKUP(B745,Trades!A:N,6,FALSE))*G745,(VLOOKUP(B745,Trades!A:N,6,FALSE)-F745)*G745)</f>
        <v>-5.4599999999999795</v>
      </c>
      <c r="I745">
        <f>H745/VLOOKUP(B745,Trades!A$1:$N$100794,9,FALSE)</f>
        <v>-0.90999999999999659</v>
      </c>
    </row>
    <row r="746" spans="1:9" x14ac:dyDescent="0.25">
      <c r="A746">
        <f t="shared" si="77"/>
        <v>745</v>
      </c>
      <c r="B746" s="1" t="s">
        <v>981</v>
      </c>
      <c r="C746" s="1">
        <v>46255</v>
      </c>
      <c r="D746" t="str">
        <f>VLOOKUP(B746,Trades!A$1:N101538,3,FALSE)</f>
        <v>COIN</v>
      </c>
      <c r="E746" t="s">
        <v>61</v>
      </c>
      <c r="F746">
        <v>185.08</v>
      </c>
      <c r="G746">
        <v>2</v>
      </c>
      <c r="H746">
        <f>IF(VLOOKUP(B746,Trades!A:N,4,FALSE)="Long",(F746-VLOOKUP(B746,Trades!A:N,6,FALSE))*G746,(VLOOKUP(B746,Trades!A:N,6,FALSE)-F746)*G746)</f>
        <v>-4.7199999999999704</v>
      </c>
      <c r="I746">
        <f>H746/VLOOKUP(B746,Trades!A$1:$N$100794,9,FALSE)</f>
        <v>-2.3599999999999852</v>
      </c>
    </row>
    <row r="747" spans="1:9" x14ac:dyDescent="0.25">
      <c r="A747">
        <f t="shared" si="77"/>
        <v>746</v>
      </c>
      <c r="B747" s="1" t="s">
        <v>982</v>
      </c>
      <c r="C747" s="1">
        <v>46255</v>
      </c>
      <c r="D747" t="str">
        <f>VLOOKUP(B747,Trades!A$1:N101539,3,FALSE)</f>
        <v>NFLX</v>
      </c>
      <c r="E747" t="s">
        <v>61</v>
      </c>
      <c r="F747">
        <v>80.05</v>
      </c>
      <c r="G747">
        <v>12</v>
      </c>
      <c r="H747">
        <f>IF(VLOOKUP(B747,Trades!A:N,4,FALSE)="Long",(F747-VLOOKUP(B747,Trades!A:N,6,FALSE))*G747,(VLOOKUP(B747,Trades!A:N,6,FALSE)-F747)*G747)</f>
        <v>-4.8000000000000682</v>
      </c>
      <c r="I747">
        <f>H747/VLOOKUP(B747,Trades!A$1:$N$100794,9,FALSE)</f>
        <v>-0.40000000000000568</v>
      </c>
    </row>
    <row r="748" spans="1:9" x14ac:dyDescent="0.25">
      <c r="A748">
        <f t="shared" si="77"/>
        <v>747</v>
      </c>
      <c r="B748" s="1" t="s">
        <v>983</v>
      </c>
      <c r="C748" s="1">
        <v>46255</v>
      </c>
      <c r="D748" t="str">
        <f>VLOOKUP(B748,Trades!A$1:N101540,3,FALSE)</f>
        <v>MU</v>
      </c>
      <c r="E748" t="s">
        <v>61</v>
      </c>
      <c r="F748">
        <v>962</v>
      </c>
      <c r="G748">
        <v>1</v>
      </c>
      <c r="H748">
        <f>IF(VLOOKUP(B748,Trades!A:N,4,FALSE)="Long",(F748-VLOOKUP(B748,Trades!A:N,6,FALSE))*G748,(VLOOKUP(B748,Trades!A:N,6,FALSE)-F748)*G748)</f>
        <v>-2.57000000000005</v>
      </c>
      <c r="I748">
        <f>H748/VLOOKUP(B748,Trades!A$1:$N$100794,9,FALSE)</f>
        <v>-2.57000000000005</v>
      </c>
    </row>
    <row r="749" spans="1:9" x14ac:dyDescent="0.25">
      <c r="A749">
        <f t="shared" si="77"/>
        <v>748</v>
      </c>
      <c r="B749" s="1" t="s">
        <v>984</v>
      </c>
      <c r="C749" s="1">
        <v>46255</v>
      </c>
      <c r="D749" t="str">
        <f>VLOOKUP(B749,Trades!A$1:N101541,3,FALSE)</f>
        <v>FCX</v>
      </c>
      <c r="E749" t="s">
        <v>61</v>
      </c>
      <c r="F749">
        <v>76.64</v>
      </c>
      <c r="G749">
        <v>6</v>
      </c>
      <c r="H749">
        <f>IF(VLOOKUP(B749,Trades!A:N,4,FALSE)="Long",(F749-VLOOKUP(B749,Trades!A:N,6,FALSE))*G749,(VLOOKUP(B749,Trades!A:N,6,FALSE)-F749)*G749)</f>
        <v>1.6199999999999761</v>
      </c>
      <c r="I749">
        <f>H749/VLOOKUP(B749,Trades!A$1:$N$100794,9,FALSE)</f>
        <v>0.26999999999999602</v>
      </c>
    </row>
    <row r="750" spans="1:9" x14ac:dyDescent="0.25">
      <c r="A750">
        <f t="shared" si="77"/>
        <v>749</v>
      </c>
      <c r="B750" s="1" t="s">
        <v>985</v>
      </c>
      <c r="C750" s="1">
        <v>46255</v>
      </c>
      <c r="D750" t="str">
        <f>VLOOKUP(B750,Trades!A$1:N101542,3,FALSE)</f>
        <v>GOOG</v>
      </c>
      <c r="E750" t="s">
        <v>61</v>
      </c>
      <c r="F750">
        <v>342.9</v>
      </c>
      <c r="G750">
        <v>3</v>
      </c>
      <c r="H750">
        <f>IF(VLOOKUP(B750,Trades!A:N,4,FALSE)="Long",(F750-VLOOKUP(B750,Trades!A:N,6,FALSE))*G750,(VLOOKUP(B750,Trades!A:N,6,FALSE)-F750)*G750)</f>
        <v>8.3699999999998909</v>
      </c>
      <c r="I750">
        <f>H750/VLOOKUP(B750,Trades!A$1:$N$100794,9,FALSE)</f>
        <v>2.7899999999999636</v>
      </c>
    </row>
    <row r="751" spans="1:9" x14ac:dyDescent="0.25">
      <c r="A751">
        <f t="shared" ref="A751:A758" si="78">ROW()-1</f>
        <v>750</v>
      </c>
      <c r="B751" s="1" t="s">
        <v>987</v>
      </c>
      <c r="C751" s="1">
        <v>46258</v>
      </c>
      <c r="D751" t="str">
        <f>VLOOKUP(B751,Trades!A$1:N101543,3,FALSE)</f>
        <v>AGI</v>
      </c>
      <c r="E751" t="s">
        <v>61</v>
      </c>
      <c r="F751">
        <v>38.25</v>
      </c>
      <c r="G751">
        <v>20</v>
      </c>
      <c r="H751">
        <f>IF(VLOOKUP(B751,Trades!A:N,4,FALSE)="Long",(F751-VLOOKUP(B751,Trades!A:N,6,FALSE))*G751,(VLOOKUP(B751,Trades!A:N,6,FALSE)-F751)*G751)</f>
        <v>-9.2000000000000171</v>
      </c>
      <c r="I751">
        <f>H751/VLOOKUP(B751,Trades!A$1:$N$100794,9,FALSE)</f>
        <v>-0.46000000000000085</v>
      </c>
    </row>
    <row r="752" spans="1:9" x14ac:dyDescent="0.25">
      <c r="A752">
        <f t="shared" si="78"/>
        <v>751</v>
      </c>
      <c r="B752" s="1" t="s">
        <v>988</v>
      </c>
      <c r="C752" s="1">
        <v>46258</v>
      </c>
      <c r="D752" t="str">
        <f>VLOOKUP(B752,Trades!A$1:N101544,3,FALSE)</f>
        <v>MU</v>
      </c>
      <c r="E752" t="s">
        <v>61</v>
      </c>
      <c r="F752">
        <v>895.37</v>
      </c>
      <c r="G752">
        <v>1</v>
      </c>
      <c r="H752">
        <f>IF(VLOOKUP(B752,Trades!A:N,4,FALSE)="Long",(F752-VLOOKUP(B752,Trades!A:N,6,FALSE))*G752,(VLOOKUP(B752,Trades!A:N,6,FALSE)-F752)*G752)</f>
        <v>-10.17999999999995</v>
      </c>
      <c r="I752">
        <f>H752/VLOOKUP(B752,Trades!A$1:$N$100794,9,FALSE)</f>
        <v>-10.17999999999995</v>
      </c>
    </row>
    <row r="753" spans="1:9" x14ac:dyDescent="0.25">
      <c r="A753">
        <f t="shared" si="78"/>
        <v>752</v>
      </c>
      <c r="B753" s="1" t="s">
        <v>989</v>
      </c>
      <c r="C753" s="1">
        <v>46258</v>
      </c>
      <c r="D753" t="str">
        <f>VLOOKUP(B753,Trades!A$1:N101545,3,FALSE)</f>
        <v>DIS</v>
      </c>
      <c r="E753" t="s">
        <v>61</v>
      </c>
      <c r="F753">
        <v>111.42</v>
      </c>
      <c r="G753">
        <v>10</v>
      </c>
      <c r="H753">
        <f>IF(VLOOKUP(B753,Trades!A:N,4,FALSE)="Long",(F753-VLOOKUP(B753,Trades!A:N,6,FALSE))*G753,(VLOOKUP(B753,Trades!A:N,6,FALSE)-F753)*G753)</f>
        <v>26.599999999999966</v>
      </c>
      <c r="I753">
        <f>H753/VLOOKUP(B753,Trades!A$1:$N$100794,9,FALSE)</f>
        <v>2.6599999999999966</v>
      </c>
    </row>
    <row r="754" spans="1:9" x14ac:dyDescent="0.25">
      <c r="A754">
        <f t="shared" si="78"/>
        <v>753</v>
      </c>
      <c r="B754" s="1" t="s">
        <v>990</v>
      </c>
      <c r="C754" s="1">
        <v>46258</v>
      </c>
      <c r="D754" t="str">
        <f>VLOOKUP(B754,Trades!A$1:N101546,3,FALSE)</f>
        <v>COIN</v>
      </c>
      <c r="E754" t="s">
        <v>61</v>
      </c>
      <c r="F754">
        <v>185.89</v>
      </c>
      <c r="G754">
        <v>4</v>
      </c>
      <c r="H754">
        <f>IF(VLOOKUP(B754,Trades!A:N,4,FALSE)="Long",(F754-VLOOKUP(B754,Trades!A:N,6,FALSE))*G754,(VLOOKUP(B754,Trades!A:N,6,FALSE)-F754)*G754)</f>
        <v>-11.400000000000091</v>
      </c>
      <c r="I754">
        <f>H754/VLOOKUP(B754,Trades!A$1:$N$100794,9,FALSE)</f>
        <v>-2.8500000000000227</v>
      </c>
    </row>
    <row r="755" spans="1:9" x14ac:dyDescent="0.25">
      <c r="A755">
        <f t="shared" si="78"/>
        <v>754</v>
      </c>
      <c r="B755" s="1" t="s">
        <v>991</v>
      </c>
      <c r="C755" s="1">
        <v>46258</v>
      </c>
      <c r="D755" t="str">
        <f>VLOOKUP(B755,Trades!A$1:N101547,3,FALSE)</f>
        <v>ABNB</v>
      </c>
      <c r="E755" t="s">
        <v>61</v>
      </c>
      <c r="F755">
        <v>191.29</v>
      </c>
      <c r="G755">
        <v>4</v>
      </c>
      <c r="H755">
        <f>IF(VLOOKUP(B755,Trades!A:N,4,FALSE)="Long",(F755-VLOOKUP(B755,Trades!A:N,6,FALSE))*G755,(VLOOKUP(B755,Trades!A:N,6,FALSE)-F755)*G755)</f>
        <v>0.67999999999994998</v>
      </c>
      <c r="I755">
        <f>H755/VLOOKUP(B755,Trades!A$1:$N$100794,9,FALSE)</f>
        <v>0.16999999999998749</v>
      </c>
    </row>
    <row r="756" spans="1:9" x14ac:dyDescent="0.25">
      <c r="A756">
        <f t="shared" si="78"/>
        <v>755</v>
      </c>
      <c r="B756" s="1" t="s">
        <v>992</v>
      </c>
      <c r="C756" s="1">
        <v>46258</v>
      </c>
      <c r="D756" t="str">
        <f>VLOOKUP(B756,Trades!A$1:N101548,3,FALSE)</f>
        <v>AMD</v>
      </c>
      <c r="E756" t="s">
        <v>61</v>
      </c>
      <c r="F756">
        <v>457.42</v>
      </c>
      <c r="G756">
        <v>2</v>
      </c>
      <c r="H756">
        <f>IF(VLOOKUP(B756,Trades!A:N,4,FALSE)="Long",(F756-VLOOKUP(B756,Trades!A:N,6,FALSE))*G756,(VLOOKUP(B756,Trades!A:N,6,FALSE)-F756)*G756)</f>
        <v>3.5</v>
      </c>
      <c r="I756">
        <f>H756/VLOOKUP(B756,Trades!A$1:$N$100794,9,FALSE)</f>
        <v>1.75</v>
      </c>
    </row>
    <row r="757" spans="1:9" x14ac:dyDescent="0.25">
      <c r="A757">
        <f t="shared" si="78"/>
        <v>756</v>
      </c>
      <c r="B757" s="1" t="s">
        <v>993</v>
      </c>
      <c r="C757" s="1">
        <v>46258</v>
      </c>
      <c r="D757" t="str">
        <f>VLOOKUP(B757,Trades!A$1:N101549,3,FALSE)</f>
        <v>GOOG</v>
      </c>
      <c r="E757" t="s">
        <v>61</v>
      </c>
      <c r="F757">
        <v>345.13</v>
      </c>
      <c r="G757">
        <v>4</v>
      </c>
      <c r="H757">
        <f>IF(VLOOKUP(B757,Trades!A:N,4,FALSE)="Long",(F757-VLOOKUP(B757,Trades!A:N,6,FALSE))*G757,(VLOOKUP(B757,Trades!A:N,6,FALSE)-F757)*G757)</f>
        <v>3.2400000000000091</v>
      </c>
      <c r="I757">
        <f>H757/VLOOKUP(B757,Trades!A$1:$N$100794,9,FALSE)</f>
        <v>0.81000000000000227</v>
      </c>
    </row>
    <row r="758" spans="1:9" x14ac:dyDescent="0.25">
      <c r="A758">
        <f t="shared" si="78"/>
        <v>757</v>
      </c>
      <c r="B758" s="1" t="s">
        <v>994</v>
      </c>
      <c r="C758" s="1">
        <v>46258</v>
      </c>
      <c r="D758" t="str">
        <f>VLOOKUP(B758,Trades!A$1:N101550,3,FALSE)</f>
        <v>NFLX</v>
      </c>
      <c r="E758" t="s">
        <v>61</v>
      </c>
      <c r="F758">
        <v>80.22</v>
      </c>
      <c r="G758">
        <v>10</v>
      </c>
      <c r="H758">
        <f>IF(VLOOKUP(B758,Trades!A:N,4,FALSE)="Long",(F758-VLOOKUP(B758,Trades!A:N,6,FALSE))*G758,(VLOOKUP(B758,Trades!A:N,6,FALSE)-F758)*G758)</f>
        <v>-0.30000000000001137</v>
      </c>
      <c r="I758">
        <f>H758/VLOOKUP(B758,Trades!A$1:$N$100794,9,FALSE)</f>
        <v>-3.0000000000001137E-2</v>
      </c>
    </row>
    <row r="759" spans="1:9" x14ac:dyDescent="0.25">
      <c r="A759">
        <f t="shared" ref="A759:A767" si="79">ROW()-1</f>
        <v>758</v>
      </c>
      <c r="B759" s="1" t="s">
        <v>995</v>
      </c>
      <c r="C759" s="1">
        <v>46259</v>
      </c>
      <c r="D759" t="str">
        <f>VLOOKUP(B759,Trades!A$1:N101551,3,FALSE)</f>
        <v>PATH</v>
      </c>
      <c r="E759" t="s">
        <v>61</v>
      </c>
      <c r="F759">
        <v>16.41</v>
      </c>
      <c r="G759">
        <v>12</v>
      </c>
      <c r="H759">
        <f>IF(VLOOKUP(B759,Trades!A:N,4,FALSE)="Long",(F759-VLOOKUP(B759,Trades!A:N,6,FALSE))*G759,(VLOOKUP(B759,Trades!A:N,6,FALSE)-F759)*G759)</f>
        <v>-2.2800000000000153</v>
      </c>
      <c r="I759">
        <f>H759/VLOOKUP(B759,Trades!A$1:$N$100794,9,FALSE)</f>
        <v>-0.19000000000000128</v>
      </c>
    </row>
    <row r="760" spans="1:9" x14ac:dyDescent="0.25">
      <c r="A760">
        <f t="shared" si="79"/>
        <v>759</v>
      </c>
      <c r="B760" s="1" t="s">
        <v>996</v>
      </c>
      <c r="C760" s="1">
        <v>46259</v>
      </c>
      <c r="D760" t="str">
        <f>VLOOKUP(B760,Trades!A$1:N101552,3,FALSE)</f>
        <v>ORCL</v>
      </c>
      <c r="E760" t="s">
        <v>61</v>
      </c>
      <c r="F760">
        <v>144.56</v>
      </c>
      <c r="G760">
        <v>10</v>
      </c>
      <c r="H760">
        <f>IF(VLOOKUP(B760,Trades!A:N,4,FALSE)="Long",(F760-VLOOKUP(B760,Trades!A:N,6,FALSE))*G760,(VLOOKUP(B760,Trades!A:N,6,FALSE)-F760)*G760)</f>
        <v>-11.999999999999886</v>
      </c>
      <c r="I760">
        <f>H760/VLOOKUP(B760,Trades!A$1:$N$100794,9,FALSE)</f>
        <v>-1.1999999999999886</v>
      </c>
    </row>
    <row r="761" spans="1:9" x14ac:dyDescent="0.25">
      <c r="A761">
        <f t="shared" si="79"/>
        <v>760</v>
      </c>
      <c r="B761" s="1" t="s">
        <v>997</v>
      </c>
      <c r="C761" s="1">
        <v>46259</v>
      </c>
      <c r="D761" t="str">
        <f>VLOOKUP(B761,Trades!A$1:N101553,3,FALSE)</f>
        <v>AMD</v>
      </c>
      <c r="E761" t="s">
        <v>61</v>
      </c>
      <c r="F761">
        <v>471.31</v>
      </c>
      <c r="G761">
        <v>2</v>
      </c>
      <c r="H761">
        <f>IF(VLOOKUP(B761,Trades!A:N,4,FALSE)="Long",(F761-VLOOKUP(B761,Trades!A:N,6,FALSE))*G761,(VLOOKUP(B761,Trades!A:N,6,FALSE)-F761)*G761)</f>
        <v>-12.340000000000032</v>
      </c>
      <c r="I761">
        <f>H761/VLOOKUP(B761,Trades!A$1:$N$100794,9,FALSE)</f>
        <v>-6.1700000000000159</v>
      </c>
    </row>
    <row r="762" spans="1:9" x14ac:dyDescent="0.25">
      <c r="A762">
        <f t="shared" si="79"/>
        <v>761</v>
      </c>
      <c r="B762" s="1" t="s">
        <v>998</v>
      </c>
      <c r="C762" s="1">
        <v>46259</v>
      </c>
      <c r="D762" t="str">
        <f>VLOOKUP(B762,Trades!A$1:N101554,3,FALSE)</f>
        <v>SPCX</v>
      </c>
      <c r="E762" t="s">
        <v>61</v>
      </c>
      <c r="F762">
        <v>138.19</v>
      </c>
      <c r="G762">
        <v>6</v>
      </c>
      <c r="H762">
        <f>IF(VLOOKUP(B762,Trades!A:N,4,FALSE)="Long",(F762-VLOOKUP(B762,Trades!A:N,6,FALSE))*G762,(VLOOKUP(B762,Trades!A:N,6,FALSE)-F762)*G762)</f>
        <v>2.0999999999999659</v>
      </c>
      <c r="I762">
        <f>H762/VLOOKUP(B762,Trades!A$1:$N$100794,9,FALSE)</f>
        <v>0.34999999999999432</v>
      </c>
    </row>
    <row r="763" spans="1:9" x14ac:dyDescent="0.25">
      <c r="A763">
        <f t="shared" si="79"/>
        <v>762</v>
      </c>
      <c r="B763" s="1" t="s">
        <v>999</v>
      </c>
      <c r="C763" s="1">
        <v>46259</v>
      </c>
      <c r="D763" t="str">
        <f>VLOOKUP(B763,Trades!A$1:N101555,3,FALSE)</f>
        <v>NFLX</v>
      </c>
      <c r="E763" t="s">
        <v>61</v>
      </c>
      <c r="F763">
        <v>82.32</v>
      </c>
      <c r="G763">
        <v>10</v>
      </c>
      <c r="H763">
        <f>IF(VLOOKUP(B763,Trades!A:N,4,FALSE)="Long",(F763-VLOOKUP(B763,Trades!A:N,6,FALSE))*G763,(VLOOKUP(B763,Trades!A:N,6,FALSE)-F763)*G763)</f>
        <v>15.899999999999892</v>
      </c>
      <c r="I763">
        <f>H763/VLOOKUP(B763,Trades!A$1:$N$100794,9,FALSE)</f>
        <v>1.5899999999999892</v>
      </c>
    </row>
    <row r="764" spans="1:9" x14ac:dyDescent="0.25">
      <c r="A764">
        <f t="shared" si="79"/>
        <v>763</v>
      </c>
      <c r="B764" s="1" t="s">
        <v>1000</v>
      </c>
      <c r="C764" s="1">
        <v>46259</v>
      </c>
      <c r="D764" t="str">
        <f>VLOOKUP(B764,Trades!A$1:N101556,3,FALSE)</f>
        <v>DIS</v>
      </c>
      <c r="E764" t="s">
        <v>61</v>
      </c>
      <c r="F764">
        <v>111.36</v>
      </c>
      <c r="G764">
        <v>10</v>
      </c>
      <c r="H764">
        <f>IF(VLOOKUP(B764,Trades!A:N,4,FALSE)="Long",(F764-VLOOKUP(B764,Trades!A:N,6,FALSE))*G764,(VLOOKUP(B764,Trades!A:N,6,FALSE)-F764)*G764)</f>
        <v>8.2999999999999829</v>
      </c>
      <c r="I764">
        <f>H764/VLOOKUP(B764,Trades!A$1:$N$100794,9,FALSE)</f>
        <v>0.82999999999999829</v>
      </c>
    </row>
    <row r="765" spans="1:9" x14ac:dyDescent="0.25">
      <c r="A765">
        <f t="shared" si="79"/>
        <v>764</v>
      </c>
      <c r="B765" s="1" t="s">
        <v>1001</v>
      </c>
      <c r="C765" s="1">
        <v>46259</v>
      </c>
      <c r="D765" t="str">
        <f>VLOOKUP(B765,Trades!A$1:N101557,3,FALSE)</f>
        <v>MU</v>
      </c>
      <c r="E765" t="s">
        <v>61</v>
      </c>
      <c r="F765">
        <v>921.57</v>
      </c>
      <c r="G765">
        <v>1</v>
      </c>
      <c r="H765">
        <f>IF(VLOOKUP(B765,Trades!A:N,4,FALSE)="Long",(F765-VLOOKUP(B765,Trades!A:N,6,FALSE))*G765,(VLOOKUP(B765,Trades!A:N,6,FALSE)-F765)*G765)</f>
        <v>-4.2299999999999045</v>
      </c>
      <c r="I765">
        <f>H765/VLOOKUP(B765,Trades!A$1:$N$100794,9,FALSE)</f>
        <v>-4.2299999999999045</v>
      </c>
    </row>
    <row r="766" spans="1:9" x14ac:dyDescent="0.25">
      <c r="A766">
        <f t="shared" si="79"/>
        <v>765</v>
      </c>
      <c r="B766" s="1" t="s">
        <v>1002</v>
      </c>
      <c r="C766" s="1">
        <v>46259</v>
      </c>
      <c r="D766" t="str">
        <f>VLOOKUP(B766,Trades!A$1:N101558,3,FALSE)</f>
        <v>PURR</v>
      </c>
      <c r="E766" t="s">
        <v>61</v>
      </c>
      <c r="F766">
        <v>12.05</v>
      </c>
      <c r="G766">
        <v>20</v>
      </c>
      <c r="H766">
        <f>IF(VLOOKUP(B766,Trades!A:N,4,FALSE)="Long",(F766-VLOOKUP(B766,Trades!A:N,6,FALSE))*G766,(VLOOKUP(B766,Trades!A:N,6,FALSE)-F766)*G766)</f>
        <v>16.000000000000014</v>
      </c>
      <c r="I766">
        <f>H766/VLOOKUP(B766,Trades!A$1:$N$100794,9,FALSE)</f>
        <v>0.80000000000000071</v>
      </c>
    </row>
    <row r="767" spans="1:9" x14ac:dyDescent="0.25">
      <c r="A767">
        <f t="shared" si="79"/>
        <v>766</v>
      </c>
      <c r="B767" s="1" t="s">
        <v>1003</v>
      </c>
      <c r="C767" s="1">
        <v>46259</v>
      </c>
      <c r="D767" t="str">
        <f>VLOOKUP(B767,Trades!A$1:N101559,3,FALSE)</f>
        <v>NVDA</v>
      </c>
      <c r="E767" t="s">
        <v>61</v>
      </c>
      <c r="F767">
        <v>211.8</v>
      </c>
      <c r="G767">
        <v>4</v>
      </c>
      <c r="H767">
        <f>IF(VLOOKUP(B767,Trades!A:N,4,FALSE)="Long",(F767-VLOOKUP(B767,Trades!A:N,6,FALSE))*G767,(VLOOKUP(B767,Trades!A:N,6,FALSE)-F767)*G767)</f>
        <v>-2.1999999999999318</v>
      </c>
      <c r="I767">
        <f>H767/VLOOKUP(B767,Trades!A$1:$N$100794,9,FALSE)</f>
        <v>-0.54999999999998295</v>
      </c>
    </row>
    <row r="768" spans="1:9" x14ac:dyDescent="0.25">
      <c r="A768">
        <f t="shared" ref="A768:A778" si="80">ROW()-1</f>
        <v>767</v>
      </c>
      <c r="B768" s="1" t="s">
        <v>1004</v>
      </c>
      <c r="C768" s="1">
        <v>46260</v>
      </c>
      <c r="D768" t="str">
        <f>VLOOKUP(B768,Trades!A$1:N101560,3,FALSE)</f>
        <v>UUUU</v>
      </c>
      <c r="E768" t="s">
        <v>61</v>
      </c>
      <c r="F768">
        <v>16.05</v>
      </c>
      <c r="G768">
        <v>30</v>
      </c>
      <c r="H768">
        <f>IF(VLOOKUP(B768,Trades!A:N,4,FALSE)="Long",(F768-VLOOKUP(B768,Trades!A:N,6,FALSE))*G768,(VLOOKUP(B768,Trades!A:N,6,FALSE)-F768)*G768)</f>
        <v>-8.3999999999999275</v>
      </c>
      <c r="I768">
        <f>H768/VLOOKUP(B768,Trades!A$1:$N$100794,9,FALSE)</f>
        <v>-0.27999999999999758</v>
      </c>
    </row>
    <row r="769" spans="1:9" x14ac:dyDescent="0.25">
      <c r="A769">
        <f t="shared" si="80"/>
        <v>768</v>
      </c>
      <c r="B769" s="1" t="s">
        <v>1005</v>
      </c>
      <c r="C769" s="1">
        <v>46260</v>
      </c>
      <c r="D769" t="str">
        <f>VLOOKUP(B769,Trades!A$1:N101561,3,FALSE)</f>
        <v>UEC</v>
      </c>
      <c r="E769" t="s">
        <v>61</v>
      </c>
      <c r="F769">
        <v>13.37</v>
      </c>
      <c r="G769">
        <v>30</v>
      </c>
      <c r="H769">
        <f>IF(VLOOKUP(B769,Trades!A:N,4,FALSE)="Long",(F769-VLOOKUP(B769,Trades!A:N,6,FALSE))*G769,(VLOOKUP(B769,Trades!A:N,6,FALSE)-F769)*G769)</f>
        <v>-9.3000000000000149</v>
      </c>
      <c r="I769">
        <f>H769/VLOOKUP(B769,Trades!A$1:$N$100794,9,FALSE)</f>
        <v>-0.3100000000000005</v>
      </c>
    </row>
    <row r="770" spans="1:9" x14ac:dyDescent="0.25">
      <c r="A770">
        <f t="shared" si="80"/>
        <v>769</v>
      </c>
      <c r="B770" s="1" t="s">
        <v>1006</v>
      </c>
      <c r="C770" s="1">
        <v>46260</v>
      </c>
      <c r="D770" t="str">
        <f>VLOOKUP(B770,Trades!A$1:N101562,3,FALSE)</f>
        <v>AMZN</v>
      </c>
      <c r="E770" t="s">
        <v>61</v>
      </c>
      <c r="F770">
        <v>258.94</v>
      </c>
      <c r="G770">
        <v>4</v>
      </c>
      <c r="H770">
        <f>IF(VLOOKUP(B770,Trades!A:N,4,FALSE)="Long",(F770-VLOOKUP(B770,Trades!A:N,6,FALSE))*G770,(VLOOKUP(B770,Trades!A:N,6,FALSE)-F770)*G770)</f>
        <v>-7.2000000000000455</v>
      </c>
      <c r="I770">
        <f>H770/VLOOKUP(B770,Trades!A$1:$N$100794,9,FALSE)</f>
        <v>-1.8000000000000114</v>
      </c>
    </row>
    <row r="771" spans="1:9" x14ac:dyDescent="0.25">
      <c r="A771">
        <f t="shared" si="80"/>
        <v>770</v>
      </c>
      <c r="B771" s="1" t="s">
        <v>1007</v>
      </c>
      <c r="C771" s="1">
        <v>46260</v>
      </c>
      <c r="D771" t="str">
        <f>VLOOKUP(B771,Trades!A$1:N101563,3,FALSE)</f>
        <v>CRCL</v>
      </c>
      <c r="E771" t="s">
        <v>61</v>
      </c>
      <c r="F771">
        <v>90.97</v>
      </c>
      <c r="G771">
        <v>5</v>
      </c>
      <c r="H771">
        <f>IF(VLOOKUP(B771,Trades!A:N,4,FALSE)="Long",(F771-VLOOKUP(B771,Trades!A:N,6,FALSE))*G771,(VLOOKUP(B771,Trades!A:N,6,FALSE)-F771)*G771)</f>
        <v>-7.6500000000000057</v>
      </c>
      <c r="I771">
        <f>H771/VLOOKUP(B771,Trades!A$1:$N$100794,9,FALSE)</f>
        <v>-1.5300000000000011</v>
      </c>
    </row>
    <row r="772" spans="1:9" x14ac:dyDescent="0.25">
      <c r="A772">
        <f t="shared" si="80"/>
        <v>771</v>
      </c>
      <c r="B772" s="1" t="s">
        <v>1008</v>
      </c>
      <c r="C772" s="1">
        <v>46260</v>
      </c>
      <c r="D772" t="str">
        <f>VLOOKUP(B772,Trades!A$1:N101564,3,FALSE)</f>
        <v>PATH</v>
      </c>
      <c r="E772" t="s">
        <v>61</v>
      </c>
      <c r="F772">
        <v>16.63</v>
      </c>
      <c r="G772">
        <v>50</v>
      </c>
      <c r="H772">
        <f>IF(VLOOKUP(B772,Trades!A:N,4,FALSE)="Long",(F772-VLOOKUP(B772,Trades!A:N,6,FALSE))*G772,(VLOOKUP(B772,Trades!A:N,6,FALSE)-F772)*G772)</f>
        <v>-12.5</v>
      </c>
      <c r="I772">
        <f>H772/VLOOKUP(B772,Trades!A$1:$N$100794,9,FALSE)</f>
        <v>-0.25</v>
      </c>
    </row>
    <row r="773" spans="1:9" x14ac:dyDescent="0.25">
      <c r="A773">
        <f t="shared" si="80"/>
        <v>772</v>
      </c>
      <c r="B773" s="1" t="s">
        <v>1011</v>
      </c>
      <c r="C773" s="1">
        <v>46260</v>
      </c>
      <c r="D773" t="str">
        <f>VLOOKUP(B773,Trades!A$1:N101565,3,FALSE)</f>
        <v>AMD</v>
      </c>
      <c r="E773" t="s">
        <v>61</v>
      </c>
      <c r="F773">
        <v>481.12</v>
      </c>
      <c r="G773">
        <v>2</v>
      </c>
      <c r="H773">
        <f>IF(VLOOKUP(B773,Trades!A:N,4,FALSE)="Long",(F773-VLOOKUP(B773,Trades!A:N,6,FALSE))*G773,(VLOOKUP(B773,Trades!A:N,6,FALSE)-F773)*G773)</f>
        <v>-5.7799999999999727</v>
      </c>
      <c r="I773">
        <f>H773/VLOOKUP(B773,Trades!A$1:$N$100794,9,FALSE)</f>
        <v>-2.8899999999999864</v>
      </c>
    </row>
    <row r="774" spans="1:9" x14ac:dyDescent="0.25">
      <c r="A774">
        <f t="shared" si="80"/>
        <v>773</v>
      </c>
      <c r="B774" s="1" t="s">
        <v>1012</v>
      </c>
      <c r="C774" s="1">
        <v>46260</v>
      </c>
      <c r="D774" t="str">
        <f>VLOOKUP(B774,Trades!A$1:N101566,3,FALSE)</f>
        <v>META</v>
      </c>
      <c r="E774" t="s">
        <v>61</v>
      </c>
      <c r="F774">
        <v>576.11</v>
      </c>
      <c r="G774">
        <v>1</v>
      </c>
      <c r="H774">
        <f>IF(VLOOKUP(B774,Trades!A:N,4,FALSE)="Long",(F774-VLOOKUP(B774,Trades!A:N,6,FALSE))*G774,(VLOOKUP(B774,Trades!A:N,6,FALSE)-F774)*G774)</f>
        <v>3.2300000000000182</v>
      </c>
      <c r="I774">
        <f>H774/VLOOKUP(B774,Trades!A$1:$N$100794,9,FALSE)</f>
        <v>3.2300000000000182</v>
      </c>
    </row>
    <row r="775" spans="1:9" x14ac:dyDescent="0.25">
      <c r="A775">
        <f t="shared" si="80"/>
        <v>774</v>
      </c>
      <c r="B775" s="1" t="s">
        <v>1013</v>
      </c>
      <c r="C775" s="1">
        <v>46260</v>
      </c>
      <c r="D775" t="str">
        <f>VLOOKUP(B775,Trades!A$1:N101567,3,FALSE)</f>
        <v>NFLX</v>
      </c>
      <c r="E775" t="s">
        <v>61</v>
      </c>
      <c r="F775">
        <v>81.510000000000005</v>
      </c>
      <c r="G775">
        <v>12</v>
      </c>
      <c r="H775">
        <f>IF(VLOOKUP(B775,Trades!A:N,4,FALSE)="Long",(F775-VLOOKUP(B775,Trades!A:N,6,FALSE))*G775,(VLOOKUP(B775,Trades!A:N,6,FALSE)-F775)*G775)</f>
        <v>-4.6800000000000068</v>
      </c>
      <c r="I775">
        <f>H775/VLOOKUP(B775,Trades!A$1:$N$100794,9,FALSE)</f>
        <v>-0.39000000000000057</v>
      </c>
    </row>
    <row r="776" spans="1:9" x14ac:dyDescent="0.25">
      <c r="A776">
        <f t="shared" si="80"/>
        <v>775</v>
      </c>
      <c r="B776" s="1" t="s">
        <v>1014</v>
      </c>
      <c r="C776" s="1">
        <v>46260</v>
      </c>
      <c r="D776" t="str">
        <f>VLOOKUP(B776,Trades!A$1:N101568,3,FALSE)</f>
        <v>MU</v>
      </c>
      <c r="E776" t="s">
        <v>61</v>
      </c>
      <c r="F776">
        <v>935.76</v>
      </c>
      <c r="G776">
        <v>1</v>
      </c>
      <c r="H776">
        <f>IF(VLOOKUP(B776,Trades!A:N,4,FALSE)="Long",(F776-VLOOKUP(B776,Trades!A:N,6,FALSE))*G776,(VLOOKUP(B776,Trades!A:N,6,FALSE)-F776)*G776)</f>
        <v>4.2200000000000273</v>
      </c>
      <c r="I776">
        <f>H776/VLOOKUP(B776,Trades!A$1:$N$100794,9,FALSE)</f>
        <v>4.2200000000000273</v>
      </c>
    </row>
    <row r="777" spans="1:9" x14ac:dyDescent="0.25">
      <c r="A777">
        <f t="shared" si="80"/>
        <v>776</v>
      </c>
      <c r="B777" s="1" t="s">
        <v>1016</v>
      </c>
      <c r="C777" s="1">
        <v>46260</v>
      </c>
      <c r="D777" t="str">
        <f>VLOOKUP(B777,Trades!A$1:N101569,3,FALSE)</f>
        <v>ANF</v>
      </c>
      <c r="E777" t="s">
        <v>61</v>
      </c>
      <c r="F777">
        <v>149.21</v>
      </c>
      <c r="G777">
        <v>2</v>
      </c>
      <c r="H777">
        <f>IF(VLOOKUP(B777,Trades!A:N,4,FALSE)="Long",(F777-VLOOKUP(B777,Trades!A:N,6,FALSE))*G777,(VLOOKUP(B777,Trades!A:N,6,FALSE)-F777)*G777)</f>
        <v>2.2599999999999909</v>
      </c>
      <c r="I777">
        <f>H777/VLOOKUP(B777,Trades!A$1:$N$100794,9,FALSE)</f>
        <v>1.1299999999999955</v>
      </c>
    </row>
    <row r="778" spans="1:9" x14ac:dyDescent="0.25">
      <c r="A778">
        <f t="shared" si="80"/>
        <v>777</v>
      </c>
      <c r="B778" s="1" t="s">
        <v>1015</v>
      </c>
      <c r="C778" s="1">
        <v>46260</v>
      </c>
      <c r="D778" t="str">
        <f>VLOOKUP(B778,Trades!A$1:N101570,3,FALSE)</f>
        <v>IBKR</v>
      </c>
      <c r="E778" t="s">
        <v>61</v>
      </c>
      <c r="F778">
        <v>96.98</v>
      </c>
      <c r="G778">
        <v>5</v>
      </c>
      <c r="H778">
        <f>IF(VLOOKUP(B778,Trades!A:N,4,FALSE)="Long",(F778-VLOOKUP(B778,Trades!A:N,6,FALSE))*G778,(VLOOKUP(B778,Trades!A:N,6,FALSE)-F778)*G778)</f>
        <v>0.54999999999999716</v>
      </c>
      <c r="I778">
        <f>H778/VLOOKUP(B778,Trades!A$1:$N$100794,9,FALSE)</f>
        <v>0.10999999999999943</v>
      </c>
    </row>
    <row r="779" spans="1:9" x14ac:dyDescent="0.25">
      <c r="A779">
        <f t="shared" ref="A779:A786" si="81">ROW()-1</f>
        <v>778</v>
      </c>
      <c r="B779" s="1" t="s">
        <v>1018</v>
      </c>
      <c r="C779" s="1">
        <v>46261</v>
      </c>
      <c r="D779" t="str">
        <f>VLOOKUP(B779,Trades!A$1:N101571,3,FALSE)</f>
        <v>ARM</v>
      </c>
      <c r="E779" t="s">
        <v>61</v>
      </c>
      <c r="F779">
        <v>259.37</v>
      </c>
      <c r="G779">
        <v>4</v>
      </c>
      <c r="H779">
        <f>IF(VLOOKUP(B779,Trades!A:N,4,FALSE)="Long",(F779-VLOOKUP(B779,Trades!A:N,6,FALSE))*G779,(VLOOKUP(B779,Trades!A:N,6,FALSE)-F779)*G779)</f>
        <v>-12.879999999999882</v>
      </c>
      <c r="I779">
        <f>H779/VLOOKUP(B779,Trades!A$1:$N$100794,9,FALSE)</f>
        <v>-3.2199999999999704</v>
      </c>
    </row>
    <row r="780" spans="1:9" x14ac:dyDescent="0.25">
      <c r="A780">
        <f t="shared" si="81"/>
        <v>779</v>
      </c>
      <c r="B780" s="1" t="s">
        <v>1019</v>
      </c>
      <c r="C780" s="1">
        <v>46261</v>
      </c>
      <c r="D780" t="str">
        <f>VLOOKUP(B780,Trades!A$1:N101572,3,FALSE)</f>
        <v>AMD</v>
      </c>
      <c r="E780" t="s">
        <v>61</v>
      </c>
      <c r="F780">
        <v>473.42</v>
      </c>
      <c r="G780">
        <v>2</v>
      </c>
      <c r="H780">
        <f>IF(VLOOKUP(B780,Trades!A:N,4,FALSE)="Long",(F780-VLOOKUP(B780,Trades!A:N,6,FALSE))*G780,(VLOOKUP(B780,Trades!A:N,6,FALSE)-F780)*G780)</f>
        <v>-6.17999999999995</v>
      </c>
      <c r="I780">
        <f>H780/VLOOKUP(B780,Trades!A$1:$N$100794,9,FALSE)</f>
        <v>-3.089999999999975</v>
      </c>
    </row>
    <row r="781" spans="1:9" x14ac:dyDescent="0.25">
      <c r="A781">
        <f t="shared" si="81"/>
        <v>780</v>
      </c>
      <c r="B781" s="1" t="s">
        <v>1020</v>
      </c>
      <c r="C781" s="1">
        <v>46261</v>
      </c>
      <c r="D781" t="str">
        <f>VLOOKUP(B781,Trades!A$1:N101573,3,FALSE)</f>
        <v>OKTA</v>
      </c>
      <c r="E781" t="s">
        <v>61</v>
      </c>
      <c r="F781">
        <v>170.33</v>
      </c>
      <c r="G781">
        <v>4</v>
      </c>
      <c r="H781">
        <f>IF(VLOOKUP(B781,Trades!A:N,4,FALSE)="Long",(F781-VLOOKUP(B781,Trades!A:N,6,FALSE))*G781,(VLOOKUP(B781,Trades!A:N,6,FALSE)-F781)*G781)</f>
        <v>13.960000000000036</v>
      </c>
      <c r="I781">
        <f>H781/VLOOKUP(B781,Trades!A$1:$N$100794,9,FALSE)</f>
        <v>3.4900000000000091</v>
      </c>
    </row>
    <row r="782" spans="1:9" x14ac:dyDescent="0.25">
      <c r="A782">
        <f t="shared" si="81"/>
        <v>781</v>
      </c>
      <c r="B782" s="1" t="s">
        <v>1021</v>
      </c>
      <c r="C782" s="1">
        <v>46261</v>
      </c>
      <c r="D782" t="str">
        <f>VLOOKUP(B782,Trades!A$1:N101574,3,FALSE)</f>
        <v>NVDA</v>
      </c>
      <c r="E782" t="s">
        <v>61</v>
      </c>
      <c r="F782">
        <v>229.84</v>
      </c>
      <c r="G782">
        <v>4</v>
      </c>
      <c r="H782">
        <f>IF(VLOOKUP(B782,Trades!A:N,4,FALSE)="Long",(F782-VLOOKUP(B782,Trades!A:N,6,FALSE))*G782,(VLOOKUP(B782,Trades!A:N,6,FALSE)-F782)*G782)</f>
        <v>21.600000000000023</v>
      </c>
      <c r="I782">
        <f>H782/VLOOKUP(B782,Trades!A$1:$N$100794,9,FALSE)</f>
        <v>5.4000000000000057</v>
      </c>
    </row>
    <row r="783" spans="1:9" x14ac:dyDescent="0.25">
      <c r="A783">
        <f t="shared" si="81"/>
        <v>782</v>
      </c>
      <c r="B783" s="1" t="s">
        <v>1022</v>
      </c>
      <c r="C783" s="1">
        <v>46261</v>
      </c>
      <c r="D783" t="str">
        <f>VLOOKUP(B783,Trades!A$1:N101575,3,FALSE)</f>
        <v>GTLB</v>
      </c>
      <c r="E783" t="s">
        <v>61</v>
      </c>
      <c r="F783">
        <v>44.24</v>
      </c>
      <c r="G783">
        <v>20</v>
      </c>
      <c r="H783">
        <f>IF(VLOOKUP(B783,Trades!A:N,4,FALSE)="Long",(F783-VLOOKUP(B783,Trades!A:N,6,FALSE))*G783,(VLOOKUP(B783,Trades!A:N,6,FALSE)-F783)*G783)</f>
        <v>15</v>
      </c>
      <c r="I783">
        <f>H783/VLOOKUP(B783,Trades!A$1:$N$100794,9,FALSE)</f>
        <v>0.75</v>
      </c>
    </row>
    <row r="784" spans="1:9" x14ac:dyDescent="0.25">
      <c r="A784">
        <f t="shared" si="81"/>
        <v>783</v>
      </c>
      <c r="B784" s="1" t="s">
        <v>1023</v>
      </c>
      <c r="C784" s="1">
        <v>46261</v>
      </c>
      <c r="D784" t="str">
        <f>VLOOKUP(B784,Trades!A$1:N101576,3,FALSE)</f>
        <v>CRCL</v>
      </c>
      <c r="E784" t="s">
        <v>61</v>
      </c>
      <c r="F784">
        <v>93.62</v>
      </c>
      <c r="G784">
        <v>5</v>
      </c>
      <c r="H784">
        <f>IF(VLOOKUP(B784,Trades!A:N,4,FALSE)="Long",(F784-VLOOKUP(B784,Trades!A:N,6,FALSE))*G784,(VLOOKUP(B784,Trades!A:N,6,FALSE)-F784)*G784)</f>
        <v>0.60000000000002274</v>
      </c>
      <c r="I784">
        <f>H784/VLOOKUP(B784,Trades!A$1:$N$100794,9,FALSE)</f>
        <v>0.12000000000000455</v>
      </c>
    </row>
    <row r="785" spans="1:9" x14ac:dyDescent="0.25">
      <c r="A785">
        <f t="shared" si="81"/>
        <v>784</v>
      </c>
      <c r="B785" s="1" t="s">
        <v>1024</v>
      </c>
      <c r="C785" s="1">
        <v>46261</v>
      </c>
      <c r="D785" t="str">
        <f>VLOOKUP(B785,Trades!A$1:N101577,3,FALSE)</f>
        <v>GOOG</v>
      </c>
      <c r="E785" t="s">
        <v>61</v>
      </c>
      <c r="F785">
        <v>337.25</v>
      </c>
      <c r="G785">
        <v>3</v>
      </c>
      <c r="H785">
        <f>IF(VLOOKUP(B785,Trades!A:N,4,FALSE)="Long",(F785-VLOOKUP(B785,Trades!A:N,6,FALSE))*G785,(VLOOKUP(B785,Trades!A:N,6,FALSE)-F785)*G785)</f>
        <v>-3.4199999999999591</v>
      </c>
      <c r="I785">
        <f>H785/VLOOKUP(B785,Trades!A$1:$N$100794,9,FALSE)</f>
        <v>-1.1399999999999864</v>
      </c>
    </row>
    <row r="786" spans="1:9" x14ac:dyDescent="0.25">
      <c r="A786">
        <f t="shared" si="81"/>
        <v>785</v>
      </c>
      <c r="B786" s="1" t="s">
        <v>1025</v>
      </c>
      <c r="C786" s="1">
        <v>46261</v>
      </c>
      <c r="D786" t="str">
        <f>VLOOKUP(B786,Trades!A$1:N101578,3,FALSE)</f>
        <v>MU</v>
      </c>
      <c r="E786" t="s">
        <v>61</v>
      </c>
      <c r="F786">
        <v>918.05</v>
      </c>
      <c r="G786">
        <v>1</v>
      </c>
      <c r="H786">
        <f>IF(VLOOKUP(B786,Trades!A:N,4,FALSE)="Long",(F786-VLOOKUP(B786,Trades!A:N,6,FALSE))*G786,(VLOOKUP(B786,Trades!A:N,6,FALSE)-F786)*G786)</f>
        <v>-9.7800000000000864</v>
      </c>
      <c r="I786">
        <f>H786/VLOOKUP(B786,Trades!A$1:$N$100794,9,FALSE)</f>
        <v>-9.7800000000000864</v>
      </c>
    </row>
    <row r="787" spans="1:9" x14ac:dyDescent="0.25">
      <c r="A787">
        <f t="shared" ref="A787:A792" si="82">ROW()-1</f>
        <v>786</v>
      </c>
      <c r="B787" s="1" t="s">
        <v>1026</v>
      </c>
      <c r="C787" s="1">
        <v>46262</v>
      </c>
      <c r="D787" t="str">
        <f>VLOOKUP(B787,Trades!A$1:N101579,3,FALSE)</f>
        <v>NVDA</v>
      </c>
      <c r="E787" t="s">
        <v>61</v>
      </c>
      <c r="F787">
        <v>225.32</v>
      </c>
      <c r="G787">
        <v>4</v>
      </c>
      <c r="H787">
        <f>IF(VLOOKUP(B787,Trades!A:N,4,FALSE)="Long",(F787-VLOOKUP(B787,Trades!A:N,6,FALSE))*G787,(VLOOKUP(B787,Trades!A:N,6,FALSE)-F787)*G787)</f>
        <v>-6.6000000000000227</v>
      </c>
      <c r="I787">
        <f>H787/VLOOKUP(B787,Trades!A$1:$N$100794,9,FALSE)</f>
        <v>-1.6500000000000057</v>
      </c>
    </row>
    <row r="788" spans="1:9" x14ac:dyDescent="0.25">
      <c r="A788">
        <f t="shared" si="82"/>
        <v>787</v>
      </c>
      <c r="B788" s="1" t="s">
        <v>1027</v>
      </c>
      <c r="C788" s="1">
        <v>46262</v>
      </c>
      <c r="D788" t="str">
        <f>VLOOKUP(B788,Trades!A$1:N101580,3,FALSE)</f>
        <v>META</v>
      </c>
      <c r="E788" t="s">
        <v>61</v>
      </c>
      <c r="F788">
        <v>575.74</v>
      </c>
      <c r="G788">
        <v>2</v>
      </c>
      <c r="H788">
        <f>IF(VLOOKUP(B788,Trades!A:N,4,FALSE)="Long",(F788-VLOOKUP(B788,Trades!A:N,6,FALSE))*G788,(VLOOKUP(B788,Trades!A:N,6,FALSE)-F788)*G788)</f>
        <v>-9.7000000000000455</v>
      </c>
      <c r="I788">
        <f>H788/VLOOKUP(B788,Trades!A$1:$N$100794,9,FALSE)</f>
        <v>-4.8500000000000227</v>
      </c>
    </row>
    <row r="789" spans="1:9" x14ac:dyDescent="0.25">
      <c r="A789">
        <f t="shared" si="82"/>
        <v>788</v>
      </c>
      <c r="B789" s="1" t="s">
        <v>1028</v>
      </c>
      <c r="C789" s="1">
        <v>46262</v>
      </c>
      <c r="D789" t="str">
        <f>VLOOKUP(B789,Trades!A$1:N101581,3,FALSE)</f>
        <v>AMD</v>
      </c>
      <c r="E789" t="s">
        <v>61</v>
      </c>
      <c r="F789">
        <v>474.4</v>
      </c>
      <c r="G789">
        <v>2</v>
      </c>
      <c r="H789">
        <f>IF(VLOOKUP(B789,Trades!A:N,4,FALSE)="Long",(F789-VLOOKUP(B789,Trades!A:N,6,FALSE))*G789,(VLOOKUP(B789,Trades!A:N,6,FALSE)-F789)*G789)</f>
        <v>7</v>
      </c>
      <c r="I789">
        <f>H789/VLOOKUP(B789,Trades!A$1:$N$100794,9,FALSE)</f>
        <v>3.5</v>
      </c>
    </row>
    <row r="790" spans="1:9" x14ac:dyDescent="0.25">
      <c r="A790">
        <f t="shared" si="82"/>
        <v>789</v>
      </c>
      <c r="B790" s="1" t="s">
        <v>1029</v>
      </c>
      <c r="C790" s="1">
        <v>46262</v>
      </c>
      <c r="D790" t="str">
        <f>VLOOKUP(B790,Trades!A$1:N101582,3,FALSE)</f>
        <v>NVDA</v>
      </c>
      <c r="E790" t="s">
        <v>61</v>
      </c>
      <c r="F790">
        <v>223.14</v>
      </c>
      <c r="G790">
        <v>4</v>
      </c>
      <c r="H790">
        <f>IF(VLOOKUP(B790,Trades!A:N,4,FALSE)="Long",(F790-VLOOKUP(B790,Trades!A:N,6,FALSE))*G790,(VLOOKUP(B790,Trades!A:N,6,FALSE)-F790)*G790)</f>
        <v>-10.760000000000105</v>
      </c>
      <c r="I790">
        <f>H790/VLOOKUP(B790,Trades!A$1:$N$100794,9,FALSE)</f>
        <v>-2.6900000000000261</v>
      </c>
    </row>
    <row r="791" spans="1:9" x14ac:dyDescent="0.25">
      <c r="A791">
        <f t="shared" si="82"/>
        <v>790</v>
      </c>
      <c r="B791" s="1" t="s">
        <v>1030</v>
      </c>
      <c r="C791" s="1">
        <v>46262</v>
      </c>
      <c r="D791" t="str">
        <f>VLOOKUP(B791,Trades!A$1:N101583,3,FALSE)</f>
        <v>NFLX</v>
      </c>
      <c r="E791" t="s">
        <v>61</v>
      </c>
      <c r="F791">
        <v>82.17</v>
      </c>
      <c r="G791">
        <v>12</v>
      </c>
      <c r="H791">
        <f>IF(VLOOKUP(B791,Trades!A:N,4,FALSE)="Long",(F791-VLOOKUP(B791,Trades!A:N,6,FALSE))*G791,(VLOOKUP(B791,Trades!A:N,6,FALSE)-F791)*G791)</f>
        <v>14.04000000000002</v>
      </c>
      <c r="I791">
        <f>H791/VLOOKUP(B791,Trades!A$1:$N$100794,9,FALSE)</f>
        <v>1.1700000000000017</v>
      </c>
    </row>
    <row r="792" spans="1:9" x14ac:dyDescent="0.25">
      <c r="A792">
        <f t="shared" si="82"/>
        <v>791</v>
      </c>
      <c r="B792" s="1" t="s">
        <v>1031</v>
      </c>
      <c r="C792" s="1">
        <v>46262</v>
      </c>
      <c r="D792" t="str">
        <f>VLOOKUP(B792,Trades!A$1:N101584,3,FALSE)</f>
        <v>MU</v>
      </c>
      <c r="E792" t="s">
        <v>61</v>
      </c>
      <c r="F792">
        <v>923.37</v>
      </c>
      <c r="G792">
        <v>1</v>
      </c>
      <c r="H792">
        <f>IF(VLOOKUP(B792,Trades!A:N,4,FALSE)="Long",(F792-VLOOKUP(B792,Trades!A:N,6,FALSE))*G792,(VLOOKUP(B792,Trades!A:N,6,FALSE)-F792)*G792)</f>
        <v>-14.850000000000023</v>
      </c>
      <c r="I792">
        <f>H792/VLOOKUP(B792,Trades!A$1:$N$100794,9,FALSE)</f>
        <v>-14.850000000000023</v>
      </c>
    </row>
    <row r="793" spans="1:9" x14ac:dyDescent="0.25">
      <c r="A793">
        <f t="shared" ref="A793:A800" si="83">ROW()-1</f>
        <v>792</v>
      </c>
      <c r="B793" s="1" t="s">
        <v>1032</v>
      </c>
      <c r="C793" s="1">
        <v>46266</v>
      </c>
      <c r="D793" t="str">
        <f>VLOOKUP(B793,Trades!A$1:N101585,3,FALSE)</f>
        <v>MSFT</v>
      </c>
      <c r="E793" t="s">
        <v>61</v>
      </c>
      <c r="F793">
        <v>497.71</v>
      </c>
      <c r="G793">
        <v>2</v>
      </c>
      <c r="H793">
        <f>IF(VLOOKUP(B793,Trades!A:N,4,FALSE)="Long",(F793-VLOOKUP(B793,Trades!A:N,6,FALSE))*G793,(VLOOKUP(B793,Trades!A:N,6,FALSE)-F793)*G793)</f>
        <v>-29.659999999999968</v>
      </c>
      <c r="I793">
        <f>H793/VLOOKUP(B793,Trades!A$1:$N$100794,9,FALSE)</f>
        <v>-14.829999999999984</v>
      </c>
    </row>
    <row r="794" spans="1:9" x14ac:dyDescent="0.25">
      <c r="A794">
        <f t="shared" si="83"/>
        <v>793</v>
      </c>
      <c r="B794" s="1" t="s">
        <v>1033</v>
      </c>
      <c r="C794" s="1">
        <v>46266</v>
      </c>
      <c r="D794" t="str">
        <f>VLOOKUP(B794,Trades!A$1:N101586,3,FALSE)</f>
        <v>APPS</v>
      </c>
      <c r="E794" t="s">
        <v>61</v>
      </c>
      <c r="F794">
        <v>10.4</v>
      </c>
      <c r="G794">
        <v>10</v>
      </c>
      <c r="H794">
        <f>IF(VLOOKUP(B794,Trades!A:N,4,FALSE)="Long",(F794-VLOOKUP(B794,Trades!A:N,6,FALSE))*G794,(VLOOKUP(B794,Trades!A:N,6,FALSE)-F794)*G794)</f>
        <v>-11.999999999999993</v>
      </c>
      <c r="I794">
        <f>H794/VLOOKUP(B794,Trades!A$1:$N$100794,9,FALSE)</f>
        <v>-1.1999999999999993</v>
      </c>
    </row>
    <row r="795" spans="1:9" x14ac:dyDescent="0.25">
      <c r="A795">
        <f t="shared" si="83"/>
        <v>794</v>
      </c>
      <c r="B795" s="1" t="s">
        <v>1034</v>
      </c>
      <c r="C795" s="1">
        <v>46266</v>
      </c>
      <c r="D795" t="str">
        <f>VLOOKUP(B795,Trades!A$1:N101587,3,FALSE)</f>
        <v>DIS</v>
      </c>
      <c r="E795" t="s">
        <v>61</v>
      </c>
      <c r="F795">
        <v>107.63</v>
      </c>
      <c r="G795">
        <v>10</v>
      </c>
      <c r="H795">
        <f>IF(VLOOKUP(B795,Trades!A:N,4,FALSE)="Long",(F795-VLOOKUP(B795,Trades!A:N,6,FALSE))*G795,(VLOOKUP(B795,Trades!A:N,6,FALSE)-F795)*G795)</f>
        <v>-12.5</v>
      </c>
      <c r="I795">
        <f>H795/VLOOKUP(B795,Trades!A$1:$N$100794,9,FALSE)</f>
        <v>-1.25</v>
      </c>
    </row>
    <row r="796" spans="1:9" x14ac:dyDescent="0.25">
      <c r="A796">
        <f t="shared" si="83"/>
        <v>795</v>
      </c>
      <c r="B796" s="1" t="s">
        <v>1035</v>
      </c>
      <c r="C796" s="1">
        <v>46266</v>
      </c>
      <c r="D796" t="str">
        <f>VLOOKUP(B796,Trades!A$1:N101588,3,FALSE)</f>
        <v>MU</v>
      </c>
      <c r="E796" t="s">
        <v>61</v>
      </c>
      <c r="F796">
        <v>965.67</v>
      </c>
      <c r="G796">
        <v>1</v>
      </c>
      <c r="H796">
        <f>IF(VLOOKUP(B796,Trades!A:N,4,FALSE)="Long",(F796-VLOOKUP(B796,Trades!A:N,6,FALSE))*G796,(VLOOKUP(B796,Trades!A:N,6,FALSE)-F796)*G796)</f>
        <v>25.419999999999959</v>
      </c>
      <c r="I796">
        <f>H796/VLOOKUP(B796,Trades!A$1:$N$100794,9,FALSE)</f>
        <v>25.419999999999959</v>
      </c>
    </row>
    <row r="797" spans="1:9" x14ac:dyDescent="0.25">
      <c r="A797">
        <f t="shared" si="83"/>
        <v>796</v>
      </c>
      <c r="B797" s="1" t="s">
        <v>1036</v>
      </c>
      <c r="C797" s="1">
        <v>46266</v>
      </c>
      <c r="D797" t="str">
        <f>VLOOKUP(B797,Trades!A$1:N101589,3,FALSE)</f>
        <v>CRCL</v>
      </c>
      <c r="E797" t="s">
        <v>61</v>
      </c>
      <c r="F797">
        <v>89.42</v>
      </c>
      <c r="G797">
        <v>5</v>
      </c>
      <c r="H797">
        <f>IF(VLOOKUP(B797,Trades!A:N,4,FALSE)="Long",(F797-VLOOKUP(B797,Trades!A:N,6,FALSE))*G797,(VLOOKUP(B797,Trades!A:N,6,FALSE)-F797)*G797)</f>
        <v>-13.599999999999994</v>
      </c>
      <c r="I797">
        <f>H797/VLOOKUP(B797,Trades!A$1:$N$100794,9,FALSE)</f>
        <v>-2.7199999999999989</v>
      </c>
    </row>
    <row r="798" spans="1:9" x14ac:dyDescent="0.25">
      <c r="A798">
        <f t="shared" si="83"/>
        <v>797</v>
      </c>
      <c r="B798" s="1" t="s">
        <v>1037</v>
      </c>
      <c r="C798" s="1">
        <v>46266</v>
      </c>
      <c r="D798" t="str">
        <f>VLOOKUP(B798,Trades!A$1:N101590,3,FALSE)</f>
        <v>AMD</v>
      </c>
      <c r="E798" t="s">
        <v>61</v>
      </c>
      <c r="F798">
        <v>454.8</v>
      </c>
      <c r="G798">
        <v>2</v>
      </c>
      <c r="H798">
        <f>IF(VLOOKUP(B798,Trades!A:N,4,FALSE)="Long",(F798-VLOOKUP(B798,Trades!A:N,6,FALSE))*G798,(VLOOKUP(B798,Trades!A:N,6,FALSE)-F798)*G798)</f>
        <v>-5.4800000000000182</v>
      </c>
      <c r="I798">
        <f>H798/VLOOKUP(B798,Trades!A$1:$N$100794,9,FALSE)</f>
        <v>-2.7400000000000091</v>
      </c>
    </row>
    <row r="799" spans="1:9" x14ac:dyDescent="0.25">
      <c r="A799">
        <f t="shared" si="83"/>
        <v>798</v>
      </c>
      <c r="B799" s="1" t="s">
        <v>1038</v>
      </c>
      <c r="C799" s="1">
        <v>46266</v>
      </c>
      <c r="D799" t="str">
        <f>VLOOKUP(B799,Trades!A$1:N101591,3,FALSE)</f>
        <v>NVDA</v>
      </c>
      <c r="E799" t="s">
        <v>61</v>
      </c>
      <c r="F799">
        <v>217.49</v>
      </c>
      <c r="G799">
        <v>4</v>
      </c>
      <c r="H799">
        <f>IF(VLOOKUP(B799,Trades!A:N,4,FALSE)="Long",(F799-VLOOKUP(B799,Trades!A:N,6,FALSE))*G799,(VLOOKUP(B799,Trades!A:N,6,FALSE)-F799)*G799)</f>
        <v>-4.67999999999995</v>
      </c>
      <c r="I799">
        <f>H799/VLOOKUP(B799,Trades!A$1:$N$100794,9,FALSE)</f>
        <v>-1.1699999999999875</v>
      </c>
    </row>
    <row r="800" spans="1:9" x14ac:dyDescent="0.25">
      <c r="A800">
        <f t="shared" si="83"/>
        <v>799</v>
      </c>
      <c r="B800" s="1" t="s">
        <v>1039</v>
      </c>
      <c r="C800" s="1">
        <v>46266</v>
      </c>
      <c r="D800" t="str">
        <f>VLOOKUP(B800,Trades!A$1:N101592,3,FALSE)</f>
        <v>MDT</v>
      </c>
      <c r="E800" t="s">
        <v>61</v>
      </c>
      <c r="F800">
        <v>91.86</v>
      </c>
      <c r="G800">
        <v>5</v>
      </c>
      <c r="H800">
        <f>IF(VLOOKUP(B800,Trades!A:N,4,FALSE)="Long",(F800-VLOOKUP(B800,Trades!A:N,6,FALSE))*G800,(VLOOKUP(B800,Trades!A:N,6,FALSE)-F800)*G800)</f>
        <v>-2.6500000000000057</v>
      </c>
      <c r="I800">
        <f>H800/VLOOKUP(B800,Trades!A$1:$N$100794,9,FALSE)</f>
        <v>-0.53000000000000114</v>
      </c>
    </row>
    <row r="801" spans="1:9" x14ac:dyDescent="0.25">
      <c r="A801">
        <f t="shared" ref="A801:A810" si="84">ROW()-1</f>
        <v>800</v>
      </c>
      <c r="B801" s="1" t="s">
        <v>1040</v>
      </c>
      <c r="C801" s="1">
        <v>46267</v>
      </c>
      <c r="D801" t="str">
        <f>VLOOKUP(B801,Trades!A$1:N101593,3,FALSE)</f>
        <v>MU</v>
      </c>
      <c r="E801" t="s">
        <v>61</v>
      </c>
      <c r="F801">
        <v>940.73</v>
      </c>
      <c r="G801">
        <v>1</v>
      </c>
      <c r="H801">
        <f>IF(VLOOKUP(B801,Trades!A:N,4,FALSE)="Long",(F801-VLOOKUP(B801,Trades!A:N,6,FALSE))*G801,(VLOOKUP(B801,Trades!A:N,6,FALSE)-F801)*G801)</f>
        <v>6.7100000000000364</v>
      </c>
      <c r="I801">
        <f>H801/VLOOKUP(B801,Trades!A$1:$N$100794,9,FALSE)</f>
        <v>6.7100000000000364</v>
      </c>
    </row>
    <row r="802" spans="1:9" x14ac:dyDescent="0.25">
      <c r="A802">
        <f t="shared" si="84"/>
        <v>801</v>
      </c>
      <c r="B802" s="1" t="s">
        <v>1041</v>
      </c>
      <c r="C802" s="1">
        <v>46267</v>
      </c>
      <c r="D802" t="str">
        <f>VLOOKUP(B802,Trades!A$1:N101594,3,FALSE)</f>
        <v>AMD</v>
      </c>
      <c r="E802" t="s">
        <v>61</v>
      </c>
      <c r="F802">
        <v>455.79</v>
      </c>
      <c r="G802">
        <v>2</v>
      </c>
      <c r="H802">
        <f>IF(VLOOKUP(B802,Trades!A:N,4,FALSE)="Long",(F802-VLOOKUP(B802,Trades!A:N,6,FALSE))*G802,(VLOOKUP(B802,Trades!A:N,6,FALSE)-F802)*G802)</f>
        <v>-8.8999999999999773</v>
      </c>
      <c r="I802">
        <f>H802/VLOOKUP(B802,Trades!A$1:$N$100794,9,FALSE)</f>
        <v>-4.4499999999999886</v>
      </c>
    </row>
    <row r="803" spans="1:9" x14ac:dyDescent="0.25">
      <c r="A803">
        <f t="shared" si="84"/>
        <v>802</v>
      </c>
      <c r="B803" s="1" t="s">
        <v>1042</v>
      </c>
      <c r="C803" s="1">
        <v>46267</v>
      </c>
      <c r="D803" t="str">
        <f>VLOOKUP(B803,Trades!A$1:N101595,3,FALSE)</f>
        <v>GTLB</v>
      </c>
      <c r="E803" t="s">
        <v>61</v>
      </c>
      <c r="F803">
        <v>51.05</v>
      </c>
      <c r="G803">
        <v>10</v>
      </c>
      <c r="H803">
        <f>IF(VLOOKUP(B803,Trades!A:N,4,FALSE)="Long",(F803-VLOOKUP(B803,Trades!A:N,6,FALSE))*G803,(VLOOKUP(B803,Trades!A:N,6,FALSE)-F803)*G803)</f>
        <v>-15.700000000000003</v>
      </c>
      <c r="I803">
        <f>H803/VLOOKUP(B803,Trades!A$1:$N$100794,9,FALSE)</f>
        <v>-1.5700000000000003</v>
      </c>
    </row>
    <row r="804" spans="1:9" x14ac:dyDescent="0.25">
      <c r="A804">
        <f t="shared" si="84"/>
        <v>803</v>
      </c>
      <c r="B804" s="1" t="s">
        <v>1043</v>
      </c>
      <c r="C804" s="1">
        <v>46267</v>
      </c>
      <c r="D804" t="str">
        <f>VLOOKUP(B804,Trades!A$1:N101596,3,FALSE)</f>
        <v>NFLX</v>
      </c>
      <c r="E804" t="s">
        <v>61</v>
      </c>
      <c r="F804">
        <v>82.56</v>
      </c>
      <c r="G804">
        <v>10</v>
      </c>
      <c r="H804">
        <f>IF(VLOOKUP(B804,Trades!A:N,4,FALSE)="Long",(F804-VLOOKUP(B804,Trades!A:N,6,FALSE))*G804,(VLOOKUP(B804,Trades!A:N,6,FALSE)-F804)*G804)</f>
        <v>10.900000000000034</v>
      </c>
      <c r="I804">
        <f>H804/VLOOKUP(B804,Trades!A$1:$N$100794,9,FALSE)</f>
        <v>1.0900000000000034</v>
      </c>
    </row>
    <row r="805" spans="1:9" x14ac:dyDescent="0.25">
      <c r="A805">
        <f t="shared" si="84"/>
        <v>804</v>
      </c>
      <c r="B805" s="1" t="s">
        <v>1044</v>
      </c>
      <c r="C805" s="1">
        <v>46267</v>
      </c>
      <c r="D805" t="str">
        <f>VLOOKUP(B805,Trades!A$1:N101597,3,FALSE)</f>
        <v>PATH</v>
      </c>
      <c r="E805" t="s">
        <v>61</v>
      </c>
      <c r="F805">
        <v>17.989999999999998</v>
      </c>
      <c r="G805">
        <v>30</v>
      </c>
      <c r="H805">
        <f>IF(VLOOKUP(B805,Trades!A:N,4,FALSE)="Long",(F805-VLOOKUP(B805,Trades!A:N,6,FALSE))*G805,(VLOOKUP(B805,Trades!A:N,6,FALSE)-F805)*G805)</f>
        <v>-11.10000000000003</v>
      </c>
      <c r="I805">
        <f>H805/VLOOKUP(B805,Trades!A$1:$N$100794,9,FALSE)</f>
        <v>-0.37000000000000099</v>
      </c>
    </row>
    <row r="806" spans="1:9" x14ac:dyDescent="0.25">
      <c r="A806">
        <f t="shared" si="84"/>
        <v>805</v>
      </c>
      <c r="B806" s="1" t="s">
        <v>1045</v>
      </c>
      <c r="C806" s="1">
        <v>46267</v>
      </c>
      <c r="D806" t="str">
        <f>VLOOKUP(B806,Trades!A$1:N101598,3,FALSE)</f>
        <v>META</v>
      </c>
      <c r="E806" t="s">
        <v>61</v>
      </c>
      <c r="F806">
        <v>592</v>
      </c>
      <c r="G806">
        <v>1</v>
      </c>
      <c r="H806">
        <f>IF(VLOOKUP(B806,Trades!A:N,4,FALSE)="Long",(F806-VLOOKUP(B806,Trades!A:N,6,FALSE))*G806,(VLOOKUP(B806,Trades!A:N,6,FALSE)-F806)*G806)</f>
        <v>-2.1299999999999955</v>
      </c>
      <c r="I806">
        <f>H806/VLOOKUP(B806,Trades!A$1:$N$100794,9,FALSE)</f>
        <v>-2.1299999999999955</v>
      </c>
    </row>
    <row r="807" spans="1:9" x14ac:dyDescent="0.25">
      <c r="A807">
        <f t="shared" si="84"/>
        <v>806</v>
      </c>
      <c r="B807" s="1" t="s">
        <v>1046</v>
      </c>
      <c r="C807" s="1">
        <v>46267</v>
      </c>
      <c r="D807" t="str">
        <f>VLOOKUP(B807,Trades!A$1:N101599,3,FALSE)</f>
        <v>SOUN</v>
      </c>
      <c r="E807" t="s">
        <v>61</v>
      </c>
      <c r="F807">
        <v>6.72</v>
      </c>
      <c r="G807">
        <v>9</v>
      </c>
      <c r="H807">
        <f>IF(VLOOKUP(B807,Trades!A:N,4,FALSE)="Long",(F807-VLOOKUP(B807,Trades!A:N,6,FALSE))*G807,(VLOOKUP(B807,Trades!A:N,6,FALSE)-F807)*G807)</f>
        <v>-2.9700000000000006</v>
      </c>
      <c r="I807">
        <f>H807/VLOOKUP(B807,Trades!A$1:$N$100794,9,FALSE)</f>
        <v>-0.33000000000000007</v>
      </c>
    </row>
    <row r="808" spans="1:9" x14ac:dyDescent="0.25">
      <c r="A808">
        <f t="shared" si="84"/>
        <v>807</v>
      </c>
      <c r="B808" s="1" t="s">
        <v>1048</v>
      </c>
      <c r="C808" s="1">
        <v>46267</v>
      </c>
      <c r="D808" t="str">
        <f>VLOOKUP(B808,Trades!A$1:N101600,3,FALSE)</f>
        <v>GOOG</v>
      </c>
      <c r="E808" t="s">
        <v>61</v>
      </c>
      <c r="F808">
        <v>333.69</v>
      </c>
      <c r="G808">
        <v>4</v>
      </c>
      <c r="H808">
        <f>IF(VLOOKUP(B808,Trades!A:N,4,FALSE)="Long",(F808-VLOOKUP(B808,Trades!A:N,6,FALSE))*G808,(VLOOKUP(B808,Trades!A:N,6,FALSE)-F808)*G808)</f>
        <v>6.1600000000000819</v>
      </c>
      <c r="I808">
        <f>H808/VLOOKUP(B808,Trades!A$1:$N$100794,9,FALSE)</f>
        <v>1.5400000000000205</v>
      </c>
    </row>
    <row r="809" spans="1:9" x14ac:dyDescent="0.25">
      <c r="A809">
        <f t="shared" si="84"/>
        <v>808</v>
      </c>
      <c r="B809" s="1" t="s">
        <v>1049</v>
      </c>
      <c r="C809" s="1">
        <v>46267</v>
      </c>
      <c r="D809" t="str">
        <f>VLOOKUP(B809,Trades!A$1:N101601,3,FALSE)</f>
        <v>DIS</v>
      </c>
      <c r="E809" t="s">
        <v>61</v>
      </c>
      <c r="F809">
        <v>108.44</v>
      </c>
      <c r="G809">
        <v>6</v>
      </c>
      <c r="H809">
        <f>IF(VLOOKUP(B809,Trades!A:N,4,FALSE)="Long",(F809-VLOOKUP(B809,Trades!A:N,6,FALSE))*G809,(VLOOKUP(B809,Trades!A:N,6,FALSE)-F809)*G809)</f>
        <v>3.4199999999999591</v>
      </c>
      <c r="I809">
        <f>H809/VLOOKUP(B809,Trades!A$1:$N$100794,9,FALSE)</f>
        <v>0.56999999999999318</v>
      </c>
    </row>
    <row r="810" spans="1:9" x14ac:dyDescent="0.25">
      <c r="A810">
        <f t="shared" si="84"/>
        <v>809</v>
      </c>
      <c r="B810" s="1" t="s">
        <v>1050</v>
      </c>
      <c r="C810" s="1">
        <v>46267</v>
      </c>
      <c r="D810" t="str">
        <f>VLOOKUP(B810,Trades!A$1:N101602,3,FALSE)</f>
        <v>MU</v>
      </c>
      <c r="E810" t="s">
        <v>61</v>
      </c>
      <c r="F810">
        <v>956.06</v>
      </c>
      <c r="G810">
        <v>1</v>
      </c>
      <c r="H810">
        <f>IF(VLOOKUP(B810,Trades!A:N,4,FALSE)="Long",(F810-VLOOKUP(B810,Trades!A:N,6,FALSE))*G810,(VLOOKUP(B810,Trades!A:N,6,FALSE)-F810)*G810)</f>
        <v>11.25</v>
      </c>
      <c r="I810">
        <f>H810/VLOOKUP(B810,Trades!A$1:$N$100794,9,FALSE)</f>
        <v>11.25</v>
      </c>
    </row>
    <row r="811" spans="1:9" x14ac:dyDescent="0.25">
      <c r="A811">
        <f t="shared" ref="A811:A819" si="85">ROW()-1</f>
        <v>810</v>
      </c>
      <c r="B811" s="1" t="s">
        <v>1051</v>
      </c>
      <c r="C811" s="1">
        <v>46268</v>
      </c>
      <c r="D811" t="str">
        <f>VLOOKUP(B811,Trades!A$1:N101603,3,FALSE)</f>
        <v>INTC</v>
      </c>
      <c r="E811" t="s">
        <v>61</v>
      </c>
      <c r="F811">
        <v>88.61</v>
      </c>
      <c r="G811">
        <v>10</v>
      </c>
      <c r="H811">
        <f>IF(VLOOKUP(B811,Trades!A:N,4,FALSE)="Long",(F811-VLOOKUP(B811,Trades!A:N,6,FALSE))*G811,(VLOOKUP(B811,Trades!A:N,6,FALSE)-F811)*G811)</f>
        <v>-9.6999999999999886</v>
      </c>
      <c r="I811">
        <f>H811/VLOOKUP(B811,Trades!A$1:$N$100794,9,FALSE)</f>
        <v>-0.96999999999999886</v>
      </c>
    </row>
    <row r="812" spans="1:9" x14ac:dyDescent="0.25">
      <c r="A812">
        <f t="shared" si="85"/>
        <v>811</v>
      </c>
      <c r="B812" s="1" t="s">
        <v>1052</v>
      </c>
      <c r="C812" s="1">
        <v>46268</v>
      </c>
      <c r="D812" t="str">
        <f>VLOOKUP(B812,Trades!A$1:N101604,3,FALSE)</f>
        <v>NFLX</v>
      </c>
      <c r="E812" t="s">
        <v>61</v>
      </c>
      <c r="F812">
        <v>82.11</v>
      </c>
      <c r="G812">
        <v>10</v>
      </c>
      <c r="H812">
        <f>IF(VLOOKUP(B812,Trades!A:N,4,FALSE)="Long",(F812-VLOOKUP(B812,Trades!A:N,6,FALSE))*G812,(VLOOKUP(B812,Trades!A:N,6,FALSE)-F812)*G812)</f>
        <v>-9.3000000000000682</v>
      </c>
      <c r="I812">
        <f>H812/VLOOKUP(B812,Trades!A$1:$N$100794,9,FALSE)</f>
        <v>-0.93000000000000682</v>
      </c>
    </row>
    <row r="813" spans="1:9" x14ac:dyDescent="0.25">
      <c r="A813">
        <f t="shared" si="85"/>
        <v>812</v>
      </c>
      <c r="B813" s="1" t="s">
        <v>1053</v>
      </c>
      <c r="C813" s="1">
        <v>46268</v>
      </c>
      <c r="D813" t="str">
        <f>VLOOKUP(B813,Trades!A$1:N101605,3,FALSE)</f>
        <v>DELL</v>
      </c>
      <c r="E813" t="s">
        <v>61</v>
      </c>
      <c r="F813">
        <v>522.45000000000005</v>
      </c>
      <c r="G813">
        <v>1</v>
      </c>
      <c r="H813">
        <f>IF(VLOOKUP(B813,Trades!A:N,4,FALSE)="Long",(F813-VLOOKUP(B813,Trades!A:N,6,FALSE))*G813,(VLOOKUP(B813,Trades!A:N,6,FALSE)-F813)*G813)</f>
        <v>17.890000000000043</v>
      </c>
      <c r="I813">
        <f>H813/VLOOKUP(B813,Trades!A$1:$N$100794,9,FALSE)</f>
        <v>17.890000000000043</v>
      </c>
    </row>
    <row r="814" spans="1:9" x14ac:dyDescent="0.25">
      <c r="A814">
        <f t="shared" si="85"/>
        <v>813</v>
      </c>
      <c r="B814" s="1" t="s">
        <v>1054</v>
      </c>
      <c r="C814" s="1">
        <v>46268</v>
      </c>
      <c r="D814" t="str">
        <f>VLOOKUP(B814,Trades!A$1:N101606,3,FALSE)</f>
        <v>ORCL</v>
      </c>
      <c r="E814" t="s">
        <v>61</v>
      </c>
      <c r="F814">
        <v>153.36000000000001</v>
      </c>
      <c r="G814">
        <v>5</v>
      </c>
      <c r="H814">
        <f>IF(VLOOKUP(B814,Trades!A:N,4,FALSE)="Long",(F814-VLOOKUP(B814,Trades!A:N,6,FALSE))*G814,(VLOOKUP(B814,Trades!A:N,6,FALSE)-F814)*G814)</f>
        <v>13.55000000000004</v>
      </c>
      <c r="I814">
        <f>H814/VLOOKUP(B814,Trades!A$1:$N$100794,9,FALSE)</f>
        <v>2.710000000000008</v>
      </c>
    </row>
    <row r="815" spans="1:9" x14ac:dyDescent="0.25">
      <c r="A815">
        <f t="shared" si="85"/>
        <v>814</v>
      </c>
      <c r="B815" s="1" t="s">
        <v>1055</v>
      </c>
      <c r="C815" s="1">
        <v>46268</v>
      </c>
      <c r="D815" t="str">
        <f>VLOOKUP(B815,Trades!A$1:N101607,3,FALSE)</f>
        <v>SNOW</v>
      </c>
      <c r="E815" t="s">
        <v>61</v>
      </c>
      <c r="F815">
        <v>366.62</v>
      </c>
      <c r="G815">
        <v>2</v>
      </c>
      <c r="H815">
        <f>IF(VLOOKUP(B815,Trades!A:N,4,FALSE)="Long",(F815-VLOOKUP(B815,Trades!A:N,6,FALSE))*G815,(VLOOKUP(B815,Trades!A:N,6,FALSE)-F815)*G815)</f>
        <v>-22.799999999999955</v>
      </c>
      <c r="I815">
        <f>H815/VLOOKUP(B815,Trades!A$1:$N$100794,9,FALSE)</f>
        <v>-11.399999999999977</v>
      </c>
    </row>
    <row r="816" spans="1:9" x14ac:dyDescent="0.25">
      <c r="A816">
        <f t="shared" si="85"/>
        <v>815</v>
      </c>
      <c r="B816" s="1" t="s">
        <v>1056</v>
      </c>
      <c r="C816" s="1">
        <v>46268</v>
      </c>
      <c r="D816" t="str">
        <f>VLOOKUP(B816,Trades!A$1:N101608,3,FALSE)</f>
        <v>INTC</v>
      </c>
      <c r="E816" t="s">
        <v>61</v>
      </c>
      <c r="F816">
        <v>92.09</v>
      </c>
      <c r="G816">
        <v>8</v>
      </c>
      <c r="H816">
        <f>IF(VLOOKUP(B816,Trades!A:N,4,FALSE)="Long",(F816-VLOOKUP(B816,Trades!A:N,6,FALSE))*G816,(VLOOKUP(B816,Trades!A:N,6,FALSE)-F816)*G816)</f>
        <v>16.560000000000059</v>
      </c>
      <c r="I816">
        <f>H816/VLOOKUP(B816,Trades!A$1:$N$100794,9,FALSE)</f>
        <v>2.0700000000000074</v>
      </c>
    </row>
    <row r="817" spans="1:9" x14ac:dyDescent="0.25">
      <c r="A817">
        <f t="shared" si="85"/>
        <v>816</v>
      </c>
      <c r="B817" s="1" t="s">
        <v>1057</v>
      </c>
      <c r="C817" s="1">
        <v>46268</v>
      </c>
      <c r="D817" t="str">
        <f>VLOOKUP(B817,Trades!A$1:N101609,3,FALSE)</f>
        <v>MU</v>
      </c>
      <c r="E817" t="s">
        <v>61</v>
      </c>
      <c r="F817">
        <v>950.77</v>
      </c>
      <c r="G817">
        <v>1</v>
      </c>
      <c r="H817">
        <f>IF(VLOOKUP(B817,Trades!A:N,4,FALSE)="Long",(F817-VLOOKUP(B817,Trades!A:N,6,FALSE))*G817,(VLOOKUP(B817,Trades!A:N,6,FALSE)-F817)*G817)</f>
        <v>9.9700000000000273</v>
      </c>
      <c r="I817">
        <f>H817/VLOOKUP(B817,Trades!A$1:$N$100794,9,FALSE)</f>
        <v>9.9700000000000273</v>
      </c>
    </row>
    <row r="818" spans="1:9" x14ac:dyDescent="0.25">
      <c r="A818">
        <f t="shared" si="85"/>
        <v>817</v>
      </c>
      <c r="B818" s="1" t="s">
        <v>1058</v>
      </c>
      <c r="C818" s="1">
        <v>46268</v>
      </c>
      <c r="D818" t="str">
        <f>VLOOKUP(B818,Trades!A$1:N101610,3,FALSE)</f>
        <v>QCOM</v>
      </c>
      <c r="E818" t="s">
        <v>61</v>
      </c>
      <c r="F818">
        <v>169.55</v>
      </c>
      <c r="G818">
        <v>5</v>
      </c>
      <c r="H818">
        <f>IF(VLOOKUP(B818,Trades!A:N,4,FALSE)="Long",(F818-VLOOKUP(B818,Trades!A:N,6,FALSE))*G818,(VLOOKUP(B818,Trades!A:N,6,FALSE)-F818)*G818)</f>
        <v>4.6999999999999886</v>
      </c>
      <c r="I818">
        <f>H818/VLOOKUP(B818,Trades!A$1:$N$100794,9,FALSE)</f>
        <v>0.93999999999999773</v>
      </c>
    </row>
    <row r="819" spans="1:9" x14ac:dyDescent="0.25">
      <c r="A819">
        <f t="shared" si="85"/>
        <v>818</v>
      </c>
      <c r="B819" s="1" t="s">
        <v>1059</v>
      </c>
      <c r="C819" s="1">
        <v>46268</v>
      </c>
      <c r="D819" t="str">
        <f>VLOOKUP(B819,Trades!A$1:N101611,3,FALSE)</f>
        <v>NVDA</v>
      </c>
      <c r="E819" t="s">
        <v>61</v>
      </c>
      <c r="F819">
        <v>229.18</v>
      </c>
      <c r="G819">
        <v>4</v>
      </c>
      <c r="H819">
        <f>IF(VLOOKUP(B819,Trades!A:N,4,FALSE)="Long",(F819-VLOOKUP(B819,Trades!A:N,6,FALSE))*G819,(VLOOKUP(B819,Trades!A:N,6,FALSE)-F819)*G819)</f>
        <v>7.1200000000000045</v>
      </c>
      <c r="I819">
        <f>H819/VLOOKUP(B819,Trades!A$1:$N$100794,9,FALSE)</f>
        <v>1.7800000000000011</v>
      </c>
    </row>
    <row r="820" spans="1:9" x14ac:dyDescent="0.25">
      <c r="A820">
        <f t="shared" ref="A820:A828" si="86">ROW()-1</f>
        <v>819</v>
      </c>
      <c r="B820" s="1" t="s">
        <v>1061</v>
      </c>
      <c r="C820" s="1">
        <v>46269</v>
      </c>
      <c r="D820" t="str">
        <f>VLOOKUP(B820,Trades!A$1:N101612,3,FALSE)</f>
        <v>QCOM</v>
      </c>
      <c r="E820" t="s">
        <v>61</v>
      </c>
      <c r="F820">
        <v>169.05</v>
      </c>
      <c r="G820">
        <v>8</v>
      </c>
      <c r="H820">
        <f>IF(VLOOKUP(B820,Trades!A:N,4,FALSE)="Long",(F820-VLOOKUP(B820,Trades!A:N,6,FALSE))*G820,(VLOOKUP(B820,Trades!A:N,6,FALSE)-F820)*G820)</f>
        <v>-11.599999999999909</v>
      </c>
      <c r="I820">
        <f>H820/VLOOKUP(B820,Trades!A$1:$N$100794,9,FALSE)</f>
        <v>-1.4499999999999886</v>
      </c>
    </row>
    <row r="821" spans="1:9" x14ac:dyDescent="0.25">
      <c r="A821">
        <f t="shared" si="86"/>
        <v>820</v>
      </c>
      <c r="B821" s="1" t="s">
        <v>1062</v>
      </c>
      <c r="C821" s="1">
        <v>46269</v>
      </c>
      <c r="D821" t="str">
        <f>VLOOKUP(B821,Trades!A$1:N101613,3,FALSE)</f>
        <v>NVDA</v>
      </c>
      <c r="E821" t="s">
        <v>61</v>
      </c>
      <c r="F821">
        <v>232.42</v>
      </c>
      <c r="G821">
        <v>4</v>
      </c>
      <c r="H821">
        <f>IF(VLOOKUP(B821,Trades!A:N,4,FALSE)="Long",(F821-VLOOKUP(B821,Trades!A:N,6,FALSE))*G821,(VLOOKUP(B821,Trades!A:N,6,FALSE)-F821)*G821)</f>
        <v>-3.9600000000000364</v>
      </c>
      <c r="I821">
        <f>H821/VLOOKUP(B821,Trades!A$1:$N$100794,9,FALSE)</f>
        <v>-0.99000000000000909</v>
      </c>
    </row>
    <row r="822" spans="1:9" x14ac:dyDescent="0.25">
      <c r="A822">
        <f t="shared" si="86"/>
        <v>821</v>
      </c>
      <c r="B822" s="1" t="s">
        <v>1063</v>
      </c>
      <c r="C822" s="1">
        <v>46269</v>
      </c>
      <c r="D822" t="str">
        <f>VLOOKUP(B822,Trades!A$1:N101614,3,FALSE)</f>
        <v>APP</v>
      </c>
      <c r="E822" t="s">
        <v>61</v>
      </c>
      <c r="F822">
        <v>322.39</v>
      </c>
      <c r="G822">
        <v>2</v>
      </c>
      <c r="H822">
        <f>IF(VLOOKUP(B822,Trades!A:N,4,FALSE)="Long",(F822-VLOOKUP(B822,Trades!A:N,6,FALSE))*G822,(VLOOKUP(B822,Trades!A:N,6,FALSE)-F822)*G822)</f>
        <v>17.799999999999955</v>
      </c>
      <c r="I822">
        <f>H822/VLOOKUP(B822,Trades!A$1:$N$100794,9,FALSE)</f>
        <v>5.9333333333333185</v>
      </c>
    </row>
    <row r="823" spans="1:9" x14ac:dyDescent="0.25">
      <c r="A823">
        <f t="shared" si="86"/>
        <v>822</v>
      </c>
      <c r="B823" s="1" t="s">
        <v>1064</v>
      </c>
      <c r="C823" s="1">
        <v>46269</v>
      </c>
      <c r="D823" t="str">
        <f>VLOOKUP(B823,Trades!A$1:N101615,3,FALSE)</f>
        <v>ALAB</v>
      </c>
      <c r="E823" t="s">
        <v>61</v>
      </c>
      <c r="F823">
        <v>316.35000000000002</v>
      </c>
      <c r="G823">
        <v>1</v>
      </c>
      <c r="H823">
        <f>IF(VLOOKUP(B823,Trades!A:N,4,FALSE)="Long",(F823-VLOOKUP(B823,Trades!A:N,6,FALSE))*G823,(VLOOKUP(B823,Trades!A:N,6,FALSE)-F823)*G823)</f>
        <v>5.5</v>
      </c>
      <c r="I823">
        <f>H823/VLOOKUP(B823,Trades!A$1:$N$100794,9,FALSE)</f>
        <v>5.5</v>
      </c>
    </row>
    <row r="824" spans="1:9" x14ac:dyDescent="0.25">
      <c r="A824">
        <f t="shared" si="86"/>
        <v>823</v>
      </c>
      <c r="B824" s="1" t="s">
        <v>1065</v>
      </c>
      <c r="C824" s="1">
        <v>46269</v>
      </c>
      <c r="D824" t="str">
        <f>VLOOKUP(B824,Trades!A$1:N101616,3,FALSE)</f>
        <v>AMD</v>
      </c>
      <c r="E824" t="s">
        <v>61</v>
      </c>
      <c r="F824">
        <v>476.12</v>
      </c>
      <c r="G824">
        <v>2</v>
      </c>
      <c r="H824">
        <f>IF(VLOOKUP(B824,Trades!A:N,4,FALSE)="Long",(F824-VLOOKUP(B824,Trades!A:N,6,FALSE))*G824,(VLOOKUP(B824,Trades!A:N,6,FALSE)-F824)*G824)</f>
        <v>13.860000000000014</v>
      </c>
      <c r="I824">
        <f>H824/VLOOKUP(B824,Trades!A$1:$N$100794,9,FALSE)</f>
        <v>6.9300000000000068</v>
      </c>
    </row>
    <row r="825" spans="1:9" x14ac:dyDescent="0.25">
      <c r="A825">
        <f t="shared" si="86"/>
        <v>824</v>
      </c>
      <c r="B825" s="1" t="s">
        <v>1066</v>
      </c>
      <c r="C825" s="1">
        <v>46269</v>
      </c>
      <c r="D825" t="str">
        <f>VLOOKUP(B825,Trades!A$1:N101617,3,FALSE)</f>
        <v>ORCL</v>
      </c>
      <c r="E825" t="s">
        <v>61</v>
      </c>
      <c r="F825">
        <v>157.33000000000001</v>
      </c>
      <c r="G825">
        <v>5</v>
      </c>
      <c r="H825">
        <f>IF(VLOOKUP(B825,Trades!A:N,4,FALSE)="Long",(F825-VLOOKUP(B825,Trades!A:N,6,FALSE))*G825,(VLOOKUP(B825,Trades!A:N,6,FALSE)-F825)*G825)</f>
        <v>-7.0499999999999829</v>
      </c>
      <c r="I825">
        <f>H825/VLOOKUP(B825,Trades!A$1:$N$100794,9,FALSE)</f>
        <v>-1.4099999999999966</v>
      </c>
    </row>
    <row r="826" spans="1:9" x14ac:dyDescent="0.25">
      <c r="A826">
        <f t="shared" si="86"/>
        <v>825</v>
      </c>
      <c r="B826" s="1" t="s">
        <v>1063</v>
      </c>
      <c r="C826" s="1">
        <v>46269</v>
      </c>
      <c r="D826" t="str">
        <f>VLOOKUP(B826,Trades!A$1:N101618,3,FALSE)</f>
        <v>APP</v>
      </c>
      <c r="E826" t="s">
        <v>61</v>
      </c>
      <c r="F826">
        <v>323</v>
      </c>
      <c r="G826">
        <v>1</v>
      </c>
      <c r="H826">
        <f>IF(VLOOKUP(B826,Trades!A:N,4,FALSE)="Long",(F826-VLOOKUP(B826,Trades!A:N,6,FALSE))*G826,(VLOOKUP(B826,Trades!A:N,6,FALSE)-F826)*G826)</f>
        <v>9.5099999999999909</v>
      </c>
      <c r="I826">
        <f>H826/VLOOKUP(B826,Trades!A$1:$N$100794,9,FALSE)</f>
        <v>3.1699999999999968</v>
      </c>
    </row>
    <row r="827" spans="1:9" x14ac:dyDescent="0.25">
      <c r="A827">
        <f t="shared" si="86"/>
        <v>826</v>
      </c>
      <c r="B827" s="1" t="s">
        <v>1067</v>
      </c>
      <c r="C827" s="1">
        <v>46269</v>
      </c>
      <c r="D827" t="str">
        <f>VLOOKUP(B827,Trades!A$1:N101619,3,FALSE)</f>
        <v>DELL</v>
      </c>
      <c r="E827" t="s">
        <v>61</v>
      </c>
      <c r="F827">
        <v>524.86</v>
      </c>
      <c r="G827">
        <v>2</v>
      </c>
      <c r="H827">
        <f>IF(VLOOKUP(B827,Trades!A:N,4,FALSE)="Long",(F827-VLOOKUP(B827,Trades!A:N,6,FALSE))*G827,(VLOOKUP(B827,Trades!A:N,6,FALSE)-F827)*G827)</f>
        <v>-1.7000000000000455</v>
      </c>
      <c r="I827">
        <f>H827/VLOOKUP(B827,Trades!A$1:$N$100794,9,FALSE)</f>
        <v>-0.85000000000002274</v>
      </c>
    </row>
    <row r="828" spans="1:9" x14ac:dyDescent="0.25">
      <c r="A828">
        <f t="shared" si="86"/>
        <v>827</v>
      </c>
      <c r="B828" s="1" t="s">
        <v>1070</v>
      </c>
      <c r="C828" s="1">
        <v>46269</v>
      </c>
      <c r="D828" t="str">
        <f>VLOOKUP(B828,Trades!A$1:N101620,3,FALSE)</f>
        <v>MU</v>
      </c>
      <c r="E828" t="s">
        <v>61</v>
      </c>
      <c r="F828">
        <v>1003.44</v>
      </c>
      <c r="G828">
        <v>1</v>
      </c>
      <c r="H828">
        <f>IF(VLOOKUP(B828,Trades!A:N,4,FALSE)="Long",(F828-VLOOKUP(B828,Trades!A:N,6,FALSE))*G828,(VLOOKUP(B828,Trades!A:N,6,FALSE)-F828)*G828)</f>
        <v>3.2700000000000955</v>
      </c>
      <c r="I828">
        <f>H828/VLOOKUP(B828,Trades!A$1:$N$100794,9,FALSE)</f>
        <v>3.2700000000000955</v>
      </c>
    </row>
    <row r="829" spans="1:9" x14ac:dyDescent="0.25">
      <c r="A829">
        <f t="shared" ref="A829:A837" si="87">ROW()-1</f>
        <v>828</v>
      </c>
      <c r="B829" s="1" t="s">
        <v>1071</v>
      </c>
      <c r="C829" s="1">
        <v>46273</v>
      </c>
      <c r="D829" t="str">
        <f>VLOOKUP(B829,Trades!A$1:N101621,3,FALSE)</f>
        <v>ORCL</v>
      </c>
      <c r="E829" t="s">
        <v>61</v>
      </c>
      <c r="F829">
        <v>166.22</v>
      </c>
      <c r="G829">
        <v>5</v>
      </c>
      <c r="H829">
        <f>IF(VLOOKUP(B829,Trades!A:N,4,FALSE)="Long",(F829-VLOOKUP(B829,Trades!A:N,6,FALSE))*G829,(VLOOKUP(B829,Trades!A:N,6,FALSE)-F829)*G829)</f>
        <v>-9.3000000000000682</v>
      </c>
      <c r="I829">
        <f>H829/VLOOKUP(B829,Trades!A$1:$N$100794,9,FALSE)</f>
        <v>-1.8600000000000136</v>
      </c>
    </row>
    <row r="830" spans="1:9" x14ac:dyDescent="0.25">
      <c r="A830">
        <f t="shared" si="87"/>
        <v>829</v>
      </c>
      <c r="B830" s="1" t="s">
        <v>1073</v>
      </c>
      <c r="C830" s="1">
        <v>46273</v>
      </c>
      <c r="D830" t="str">
        <f>VLOOKUP(B830,Trades!A$1:N101622,3,FALSE)</f>
        <v>AMD</v>
      </c>
      <c r="E830" t="s">
        <v>61</v>
      </c>
      <c r="F830">
        <v>486.7</v>
      </c>
      <c r="G830">
        <v>2</v>
      </c>
      <c r="H830">
        <f>IF(VLOOKUP(B830,Trades!A:N,4,FALSE)="Long",(F830-VLOOKUP(B830,Trades!A:N,6,FALSE))*G830,(VLOOKUP(B830,Trades!A:N,6,FALSE)-F830)*G830)</f>
        <v>-12.600000000000023</v>
      </c>
      <c r="I830">
        <f>H830/VLOOKUP(B830,Trades!A$1:$N$100794,9,FALSE)</f>
        <v>-6.3000000000000114</v>
      </c>
    </row>
    <row r="831" spans="1:9" x14ac:dyDescent="0.25">
      <c r="A831">
        <f t="shared" si="87"/>
        <v>830</v>
      </c>
      <c r="B831" s="1" t="s">
        <v>1074</v>
      </c>
      <c r="C831" s="1">
        <v>46273</v>
      </c>
      <c r="D831" t="str">
        <f>VLOOKUP(B831,Trades!A$1:N101623,3,FALSE)</f>
        <v>APP</v>
      </c>
      <c r="E831" t="s">
        <v>61</v>
      </c>
      <c r="F831">
        <v>311.5</v>
      </c>
      <c r="G831">
        <v>2</v>
      </c>
      <c r="H831">
        <f>IF(VLOOKUP(B831,Trades!A:N,4,FALSE)="Long",(F831-VLOOKUP(B831,Trades!A:N,6,FALSE))*G831,(VLOOKUP(B831,Trades!A:N,6,FALSE)-F831)*G831)</f>
        <v>-5.5</v>
      </c>
      <c r="I831">
        <f>H831/VLOOKUP(B831,Trades!A$1:$N$100794,9,FALSE)</f>
        <v>-2.75</v>
      </c>
    </row>
    <row r="832" spans="1:9" x14ac:dyDescent="0.25">
      <c r="A832">
        <f t="shared" si="87"/>
        <v>831</v>
      </c>
      <c r="B832" s="1" t="s">
        <v>1075</v>
      </c>
      <c r="C832" s="1">
        <v>46273</v>
      </c>
      <c r="D832" t="str">
        <f>VLOOKUP(B832,Trades!A$1:N101624,3,FALSE)</f>
        <v>INTC</v>
      </c>
      <c r="E832" t="s">
        <v>61</v>
      </c>
      <c r="F832">
        <v>104.48</v>
      </c>
      <c r="G832">
        <v>5</v>
      </c>
      <c r="H832">
        <f>IF(VLOOKUP(B832,Trades!A:N,4,FALSE)="Long",(F832-VLOOKUP(B832,Trades!A:N,6,FALSE))*G832,(VLOOKUP(B832,Trades!A:N,6,FALSE)-F832)*G832)</f>
        <v>15.350000000000037</v>
      </c>
      <c r="I832">
        <f>H832/VLOOKUP(B832,Trades!A$1:$N$100794,9,FALSE)</f>
        <v>1.5350000000000037</v>
      </c>
    </row>
    <row r="833" spans="1:9" x14ac:dyDescent="0.25">
      <c r="A833">
        <f t="shared" si="87"/>
        <v>832</v>
      </c>
      <c r="B833" s="1" t="s">
        <v>1075</v>
      </c>
      <c r="C833" s="1">
        <v>46273</v>
      </c>
      <c r="D833" t="str">
        <f>VLOOKUP(B833,Trades!A$1:N101625,3,FALSE)</f>
        <v>INTC</v>
      </c>
      <c r="E833" t="s">
        <v>61</v>
      </c>
      <c r="F833">
        <v>104.78</v>
      </c>
      <c r="G833">
        <v>5</v>
      </c>
      <c r="H833">
        <f>IF(VLOOKUP(B833,Trades!A:N,4,FALSE)="Long",(F833-VLOOKUP(B833,Trades!A:N,6,FALSE))*G833,(VLOOKUP(B833,Trades!A:N,6,FALSE)-F833)*G833)</f>
        <v>16.850000000000023</v>
      </c>
      <c r="I833">
        <f>H833/VLOOKUP(B833,Trades!A$1:$N$100794,9,FALSE)</f>
        <v>1.6850000000000023</v>
      </c>
    </row>
    <row r="834" spans="1:9" x14ac:dyDescent="0.25">
      <c r="A834">
        <f t="shared" si="87"/>
        <v>833</v>
      </c>
      <c r="B834" s="1" t="s">
        <v>1076</v>
      </c>
      <c r="C834" s="1">
        <v>46273</v>
      </c>
      <c r="D834" t="str">
        <f>VLOOKUP(B834,Trades!A$1:N101626,3,FALSE)</f>
        <v>DELL</v>
      </c>
      <c r="E834" t="s">
        <v>61</v>
      </c>
      <c r="F834">
        <v>532.37</v>
      </c>
      <c r="G834">
        <v>2</v>
      </c>
      <c r="H834">
        <f>IF(VLOOKUP(B834,Trades!A:N,4,FALSE)="Long",(F834-VLOOKUP(B834,Trades!A:N,6,FALSE))*G834,(VLOOKUP(B834,Trades!A:N,6,FALSE)-F834)*G834)</f>
        <v>24.160000000000082</v>
      </c>
      <c r="I834">
        <f>H834/VLOOKUP(B834,Trades!A$1:$N$100794,9,FALSE)</f>
        <v>12.080000000000041</v>
      </c>
    </row>
    <row r="835" spans="1:9" x14ac:dyDescent="0.25">
      <c r="A835">
        <f t="shared" si="87"/>
        <v>834</v>
      </c>
      <c r="B835" s="1" t="s">
        <v>1077</v>
      </c>
      <c r="C835" s="1">
        <v>46273</v>
      </c>
      <c r="D835" t="str">
        <f>VLOOKUP(B835,Trades!A$1:N101627,3,FALSE)</f>
        <v>META</v>
      </c>
      <c r="E835" t="s">
        <v>61</v>
      </c>
      <c r="F835">
        <v>615.88</v>
      </c>
      <c r="G835">
        <v>2</v>
      </c>
      <c r="H835">
        <f>IF(VLOOKUP(B835,Trades!A:N,4,FALSE)="Long",(F835-VLOOKUP(B835,Trades!A:N,6,FALSE))*G835,(VLOOKUP(B835,Trades!A:N,6,FALSE)-F835)*G835)</f>
        <v>-6.2000000000000455</v>
      </c>
      <c r="I835">
        <f>H835/VLOOKUP(B835,Trades!A$1:$N$100794,9,FALSE)</f>
        <v>-3.1000000000000227</v>
      </c>
    </row>
    <row r="836" spans="1:9" x14ac:dyDescent="0.25">
      <c r="A836">
        <f t="shared" si="87"/>
        <v>835</v>
      </c>
      <c r="B836" s="1" t="s">
        <v>1079</v>
      </c>
      <c r="C836" s="1">
        <v>46273</v>
      </c>
      <c r="D836" t="str">
        <f>VLOOKUP(B836,Trades!A$1:N101628,3,FALSE)</f>
        <v>MU</v>
      </c>
      <c r="E836" t="s">
        <v>61</v>
      </c>
      <c r="F836">
        <v>1014.3</v>
      </c>
      <c r="G836">
        <v>1</v>
      </c>
      <c r="H836">
        <f>IF(VLOOKUP(B836,Trades!A:N,4,FALSE)="Long",(F836-VLOOKUP(B836,Trades!A:N,6,FALSE))*G836,(VLOOKUP(B836,Trades!A:N,6,FALSE)-F836)*G836)</f>
        <v>-11.819999999999936</v>
      </c>
      <c r="I836">
        <f>H836/VLOOKUP(B836,Trades!A$1:$N$100794,9,FALSE)</f>
        <v>-11.819999999999936</v>
      </c>
    </row>
    <row r="837" spans="1:9" x14ac:dyDescent="0.25">
      <c r="A837">
        <f t="shared" si="87"/>
        <v>836</v>
      </c>
      <c r="B837" s="1" t="s">
        <v>1080</v>
      </c>
      <c r="C837" s="1">
        <v>46273</v>
      </c>
      <c r="D837" t="str">
        <f>VLOOKUP(B837,Trades!A$1:N101629,3,FALSE)</f>
        <v>APP</v>
      </c>
      <c r="E837" t="s">
        <v>61</v>
      </c>
      <c r="F837">
        <v>311.05</v>
      </c>
      <c r="G837">
        <v>1</v>
      </c>
      <c r="H837">
        <f>IF(VLOOKUP(B837,Trades!A:N,4,FALSE)="Long",(F837-VLOOKUP(B837,Trades!A:N,6,FALSE))*G837,(VLOOKUP(B837,Trades!A:N,6,FALSE)-F837)*G837)</f>
        <v>-3.0600000000000023</v>
      </c>
      <c r="I837">
        <f>H837/VLOOKUP(B837,Trades!A$1:$N$100794,9,FALSE)</f>
        <v>-3.0600000000000023</v>
      </c>
    </row>
    <row r="838" spans="1:9" x14ac:dyDescent="0.25">
      <c r="A838">
        <f t="shared" ref="A838:A845" si="88">ROW()-1</f>
        <v>837</v>
      </c>
      <c r="B838" s="1" t="s">
        <v>1081</v>
      </c>
      <c r="C838" s="1">
        <v>46274</v>
      </c>
      <c r="D838" t="str">
        <f>VLOOKUP(B838,Trades!A$1:N101630,3,FALSE)</f>
        <v>GTLB</v>
      </c>
      <c r="E838" t="s">
        <v>61</v>
      </c>
      <c r="F838">
        <v>46.46</v>
      </c>
      <c r="G838">
        <v>10</v>
      </c>
      <c r="H838">
        <f>IF(VLOOKUP(B838,Trades!A:N,4,FALSE)="Long",(F838-VLOOKUP(B838,Trades!A:N,6,FALSE))*G838,(VLOOKUP(B838,Trades!A:N,6,FALSE)-F838)*G838)</f>
        <v>-10.600000000000023</v>
      </c>
      <c r="I838">
        <f>H838/VLOOKUP(B838,Trades!A$1:$N$100794,9,FALSE)</f>
        <v>-1.0600000000000023</v>
      </c>
    </row>
    <row r="839" spans="1:9" x14ac:dyDescent="0.25">
      <c r="A839">
        <f t="shared" si="88"/>
        <v>838</v>
      </c>
      <c r="B839" s="1" t="s">
        <v>1082</v>
      </c>
      <c r="C839" s="1">
        <v>46274</v>
      </c>
      <c r="D839" t="str">
        <f>VLOOKUP(B839,Trades!A$1:N101631,3,FALSE)</f>
        <v>ORCL</v>
      </c>
      <c r="E839" t="s">
        <v>61</v>
      </c>
      <c r="F839">
        <v>161.88999999999999</v>
      </c>
      <c r="G839">
        <v>8</v>
      </c>
      <c r="H839">
        <f>IF(VLOOKUP(B839,Trades!A:N,4,FALSE)="Long",(F839-VLOOKUP(B839,Trades!A:N,6,FALSE))*G839,(VLOOKUP(B839,Trades!A:N,6,FALSE)-F839)*G839)</f>
        <v>-12.960000000000036</v>
      </c>
      <c r="I839">
        <f>H839/VLOOKUP(B839,Trades!A$1:$N$100794,9,FALSE)</f>
        <v>-1.6200000000000045</v>
      </c>
    </row>
    <row r="840" spans="1:9" x14ac:dyDescent="0.25">
      <c r="A840">
        <f t="shared" si="88"/>
        <v>839</v>
      </c>
      <c r="B840" s="1" t="s">
        <v>1083</v>
      </c>
      <c r="C840" s="1">
        <v>46274</v>
      </c>
      <c r="D840" t="str">
        <f>VLOOKUP(B840,Trades!A$1:N101632,3,FALSE)</f>
        <v>AMD</v>
      </c>
      <c r="E840" t="s">
        <v>61</v>
      </c>
      <c r="F840">
        <v>524.01</v>
      </c>
      <c r="G840">
        <v>2</v>
      </c>
      <c r="H840">
        <f>IF(VLOOKUP(B840,Trades!A:N,4,FALSE)="Long",(F840-VLOOKUP(B840,Trades!A:N,6,FALSE))*G840,(VLOOKUP(B840,Trades!A:N,6,FALSE)-F840)*G840)</f>
        <v>18.279999999999973</v>
      </c>
      <c r="I840">
        <f>H840/VLOOKUP(B840,Trades!A$1:$N$100794,9,FALSE)</f>
        <v>9.1399999999999864</v>
      </c>
    </row>
    <row r="841" spans="1:9" x14ac:dyDescent="0.25">
      <c r="A841">
        <f t="shared" si="88"/>
        <v>840</v>
      </c>
      <c r="B841" s="1" t="s">
        <v>1084</v>
      </c>
      <c r="C841" s="1">
        <v>46274</v>
      </c>
      <c r="D841" t="str">
        <f>VLOOKUP(B841,Trades!A$1:N101633,3,FALSE)</f>
        <v>MU</v>
      </c>
      <c r="E841" t="s">
        <v>61</v>
      </c>
      <c r="F841">
        <v>1038.45</v>
      </c>
      <c r="G841">
        <v>1</v>
      </c>
      <c r="H841">
        <f>IF(VLOOKUP(B841,Trades!A:N,4,FALSE)="Long",(F841-VLOOKUP(B841,Trades!A:N,6,FALSE))*G841,(VLOOKUP(B841,Trades!A:N,6,FALSE)-F841)*G841)</f>
        <v>35.540000000000077</v>
      </c>
      <c r="I841">
        <f>H841/VLOOKUP(B841,Trades!A$1:$N$100794,9,FALSE)</f>
        <v>35.540000000000077</v>
      </c>
    </row>
    <row r="842" spans="1:9" x14ac:dyDescent="0.25">
      <c r="A842">
        <f t="shared" si="88"/>
        <v>841</v>
      </c>
      <c r="B842" s="1" t="s">
        <v>1086</v>
      </c>
      <c r="C842" s="1">
        <v>46274</v>
      </c>
      <c r="D842" t="str">
        <f>VLOOKUP(B842,Trades!A$1:N101634,3,FALSE)</f>
        <v>AMD</v>
      </c>
      <c r="E842" t="s">
        <v>61</v>
      </c>
      <c r="F842">
        <v>518.66</v>
      </c>
      <c r="G842">
        <v>2</v>
      </c>
      <c r="H842">
        <f>IF(VLOOKUP(B842,Trades!A:N,4,FALSE)="Long",(F842-VLOOKUP(B842,Trades!A:N,6,FALSE))*G842,(VLOOKUP(B842,Trades!A:N,6,FALSE)-F842)*G842)</f>
        <v>-6.7999999999999545</v>
      </c>
      <c r="I842">
        <f>H842/VLOOKUP(B842,Trades!A$1:$N$100794,9,FALSE)</f>
        <v>-3.3999999999999773</v>
      </c>
    </row>
    <row r="843" spans="1:9" x14ac:dyDescent="0.25">
      <c r="A843">
        <f t="shared" si="88"/>
        <v>842</v>
      </c>
      <c r="B843" s="1" t="s">
        <v>1087</v>
      </c>
      <c r="C843" s="1">
        <v>46274</v>
      </c>
      <c r="D843" t="str">
        <f>VLOOKUP(B843,Trades!A$1:N101635,3,FALSE)</f>
        <v>NFLX</v>
      </c>
      <c r="E843" t="s">
        <v>61</v>
      </c>
      <c r="F843">
        <v>76.19</v>
      </c>
      <c r="G843">
        <v>14</v>
      </c>
      <c r="H843">
        <f>IF(VLOOKUP(B843,Trades!A:N,4,FALSE)="Long",(F843-VLOOKUP(B843,Trades!A:N,6,FALSE))*G843,(VLOOKUP(B843,Trades!A:N,6,FALSE)-F843)*G843)</f>
        <v>-5.3199999999999363</v>
      </c>
      <c r="I843">
        <f>H843/VLOOKUP(B843,Trades!A$1:$N$100794,9,FALSE)</f>
        <v>-0.37999999999999545</v>
      </c>
    </row>
    <row r="844" spans="1:9" x14ac:dyDescent="0.25">
      <c r="A844">
        <f t="shared" si="88"/>
        <v>843</v>
      </c>
      <c r="B844" s="1" t="s">
        <v>1088</v>
      </c>
      <c r="C844" s="1">
        <v>46274</v>
      </c>
      <c r="D844" t="str">
        <f>VLOOKUP(B844,Trades!A$1:N101636,3,FALSE)</f>
        <v>CMPS</v>
      </c>
      <c r="E844" t="s">
        <v>61</v>
      </c>
      <c r="F844">
        <v>15.74</v>
      </c>
      <c r="G844">
        <v>14</v>
      </c>
      <c r="H844">
        <f>IF(VLOOKUP(B844,Trades!A:N,4,FALSE)="Long",(F844-VLOOKUP(B844,Trades!A:N,6,FALSE))*G844,(VLOOKUP(B844,Trades!A:N,6,FALSE)-F844)*G844)</f>
        <v>10.220000000000006</v>
      </c>
      <c r="I844">
        <f>H844/VLOOKUP(B844,Trades!A$1:$N$100794,9,FALSE)</f>
        <v>0.73000000000000043</v>
      </c>
    </row>
    <row r="845" spans="1:9" x14ac:dyDescent="0.25">
      <c r="A845">
        <f t="shared" si="88"/>
        <v>844</v>
      </c>
      <c r="B845" s="1" t="s">
        <v>1089</v>
      </c>
      <c r="C845" s="1">
        <v>46274</v>
      </c>
      <c r="D845" t="str">
        <f>VLOOKUP(B845,Trades!A$1:N101637,3,FALSE)</f>
        <v>APP</v>
      </c>
      <c r="E845" t="s">
        <v>61</v>
      </c>
      <c r="F845">
        <v>307.27</v>
      </c>
      <c r="G845">
        <v>2</v>
      </c>
      <c r="H845">
        <f>IF(VLOOKUP(B845,Trades!A:N,4,FALSE)="Long",(F845-VLOOKUP(B845,Trades!A:N,6,FALSE))*G845,(VLOOKUP(B845,Trades!A:N,6,FALSE)-F845)*G845)</f>
        <v>-10.680000000000064</v>
      </c>
      <c r="I845">
        <f>H845/VLOOKUP(B845,Trades!A$1:$N$100794,9,FALSE)</f>
        <v>-5.3400000000000318</v>
      </c>
    </row>
    <row r="846" spans="1:9" x14ac:dyDescent="0.25">
      <c r="A846">
        <f t="shared" ref="A846:A858" si="89">ROW()-1</f>
        <v>845</v>
      </c>
      <c r="B846" s="1" t="s">
        <v>1090</v>
      </c>
      <c r="C846" s="1">
        <v>46275</v>
      </c>
      <c r="D846" t="str">
        <f>VLOOKUP(B846,Trades!A$1:N101638,3,FALSE)</f>
        <v>INTC</v>
      </c>
      <c r="E846" t="s">
        <v>61</v>
      </c>
      <c r="F846">
        <v>100.74</v>
      </c>
      <c r="G846">
        <v>10</v>
      </c>
      <c r="H846">
        <f>IF(VLOOKUP(B846,Trades!A:N,4,FALSE)="Long",(F846-VLOOKUP(B846,Trades!A:N,6,FALSE))*G846,(VLOOKUP(B846,Trades!A:N,6,FALSE)-F846)*G846)</f>
        <v>-10.400000000000063</v>
      </c>
      <c r="I846">
        <f>H846/VLOOKUP(B846,Trades!A$1:$N$100794,9,FALSE)</f>
        <v>-1.0400000000000063</v>
      </c>
    </row>
    <row r="847" spans="1:9" x14ac:dyDescent="0.25">
      <c r="A847">
        <f t="shared" si="89"/>
        <v>846</v>
      </c>
      <c r="B847" s="1" t="s">
        <v>1091</v>
      </c>
      <c r="C847" s="1">
        <v>46275</v>
      </c>
      <c r="D847" t="str">
        <f>VLOOKUP(B847,Trades!A$1:N101639,3,FALSE)</f>
        <v>META</v>
      </c>
      <c r="E847" t="s">
        <v>61</v>
      </c>
      <c r="F847">
        <v>651.64</v>
      </c>
      <c r="G847">
        <v>2</v>
      </c>
      <c r="H847">
        <f>IF(VLOOKUP(B847,Trades!A:N,4,FALSE)="Long",(F847-VLOOKUP(B847,Trades!A:N,6,FALSE))*G847,(VLOOKUP(B847,Trades!A:N,6,FALSE)-F847)*G847)</f>
        <v>11.099999999999909</v>
      </c>
      <c r="I847">
        <f>H847/VLOOKUP(B847,Trades!A$1:$N$100794,9,FALSE)</f>
        <v>5.5499999999999545</v>
      </c>
    </row>
    <row r="848" spans="1:9" x14ac:dyDescent="0.25">
      <c r="A848">
        <f t="shared" si="89"/>
        <v>847</v>
      </c>
      <c r="B848" s="1" t="s">
        <v>1092</v>
      </c>
      <c r="C848" s="1">
        <v>46275</v>
      </c>
      <c r="D848" t="str">
        <f>VLOOKUP(B848,Trades!A$1:N101640,3,FALSE)</f>
        <v>HPQ</v>
      </c>
      <c r="E848" t="s">
        <v>61</v>
      </c>
      <c r="F848">
        <v>32.795000000000002</v>
      </c>
      <c r="G848">
        <v>20</v>
      </c>
      <c r="H848">
        <f>IF(VLOOKUP(B848,Trades!A:N,4,FALSE)="Long",(F848-VLOOKUP(B848,Trades!A:N,6,FALSE))*G848,(VLOOKUP(B848,Trades!A:N,6,FALSE)-F848)*G848)</f>
        <v>9.3000000000000682</v>
      </c>
      <c r="I848">
        <f>H848/VLOOKUP(B848,Trades!A$1:$N$100794,9,FALSE)</f>
        <v>0.46500000000000341</v>
      </c>
    </row>
    <row r="849" spans="1:9" x14ac:dyDescent="0.25">
      <c r="A849">
        <f t="shared" si="89"/>
        <v>848</v>
      </c>
      <c r="B849" s="1" t="s">
        <v>1093</v>
      </c>
      <c r="C849" s="1">
        <v>46275</v>
      </c>
      <c r="D849" t="str">
        <f>VLOOKUP(B849,Trades!A$1:N101641,3,FALSE)</f>
        <v>INTC</v>
      </c>
      <c r="E849" t="s">
        <v>61</v>
      </c>
      <c r="F849">
        <v>101.2</v>
      </c>
      <c r="G849">
        <v>10</v>
      </c>
      <c r="H849">
        <f>IF(VLOOKUP(B849,Trades!A:N,4,FALSE)="Long",(F849-VLOOKUP(B849,Trades!A:N,6,FALSE))*G849,(VLOOKUP(B849,Trades!A:N,6,FALSE)-F849)*G849)</f>
        <v>8.5999999999999943</v>
      </c>
      <c r="I849">
        <f>H849/VLOOKUP(B849,Trades!A$1:$N$100794,9,FALSE)</f>
        <v>0.85999999999999943</v>
      </c>
    </row>
    <row r="850" spans="1:9" x14ac:dyDescent="0.25">
      <c r="A850">
        <f t="shared" si="89"/>
        <v>849</v>
      </c>
      <c r="B850" s="1" t="s">
        <v>1094</v>
      </c>
      <c r="C850" s="1">
        <v>46275</v>
      </c>
      <c r="D850" t="str">
        <f>VLOOKUP(B850,Trades!A$1:N101642,3,FALSE)</f>
        <v>MU</v>
      </c>
      <c r="E850" t="s">
        <v>61</v>
      </c>
      <c r="F850">
        <v>979.6</v>
      </c>
      <c r="G850">
        <v>1</v>
      </c>
      <c r="H850">
        <f>IF(VLOOKUP(B850,Trades!A:N,4,FALSE)="Long",(F850-VLOOKUP(B850,Trades!A:N,6,FALSE))*G850,(VLOOKUP(B850,Trades!A:N,6,FALSE)-F850)*G850)</f>
        <v>-12.039999999999964</v>
      </c>
      <c r="I850">
        <f>H850/VLOOKUP(B850,Trades!A$1:$N$100794,9,FALSE)</f>
        <v>-12.039999999999964</v>
      </c>
    </row>
    <row r="851" spans="1:9" x14ac:dyDescent="0.25">
      <c r="A851">
        <f t="shared" si="89"/>
        <v>850</v>
      </c>
      <c r="B851" s="1" t="s">
        <v>1095</v>
      </c>
      <c r="C851" s="1">
        <v>46276</v>
      </c>
      <c r="D851" t="str">
        <f>VLOOKUP(B851,Trades!A$1:N101643,3,FALSE)</f>
        <v>INTC</v>
      </c>
      <c r="E851" t="s">
        <v>61</v>
      </c>
      <c r="F851">
        <v>101.58</v>
      </c>
      <c r="G851">
        <v>10</v>
      </c>
      <c r="H851">
        <f>IF(VLOOKUP(B851,Trades!A:N,4,FALSE)="Long",(F851-VLOOKUP(B851,Trades!A:N,6,FALSE))*G851,(VLOOKUP(B851,Trades!A:N,6,FALSE)-F851)*G851)</f>
        <v>-4.0999999999999659</v>
      </c>
      <c r="I851">
        <f>H851/VLOOKUP(B851,Trades!A$1:$N$100794,9,FALSE)</f>
        <v>-0.40999999999999659</v>
      </c>
    </row>
    <row r="852" spans="1:9" x14ac:dyDescent="0.25">
      <c r="A852">
        <f t="shared" si="89"/>
        <v>851</v>
      </c>
      <c r="B852" s="1" t="s">
        <v>1096</v>
      </c>
      <c r="C852" s="1">
        <v>46276</v>
      </c>
      <c r="D852" t="str">
        <f>VLOOKUP(B852,Trades!A$1:N101644,3,FALSE)</f>
        <v>INTC</v>
      </c>
      <c r="E852" t="s">
        <v>61</v>
      </c>
      <c r="F852">
        <v>101.24</v>
      </c>
      <c r="G852">
        <v>10</v>
      </c>
      <c r="H852">
        <f>IF(VLOOKUP(B852,Trades!A:N,4,FALSE)="Long",(F852-VLOOKUP(B852,Trades!A:N,6,FALSE))*G852,(VLOOKUP(B852,Trades!A:N,6,FALSE)-F852)*G852)</f>
        <v>-10.100000000000051</v>
      </c>
      <c r="I852">
        <f>H852/VLOOKUP(B852,Trades!A$1:$N$100794,9,FALSE)</f>
        <v>-1.0100000000000051</v>
      </c>
    </row>
    <row r="853" spans="1:9" x14ac:dyDescent="0.25">
      <c r="A853">
        <f t="shared" si="89"/>
        <v>852</v>
      </c>
      <c r="B853" s="1" t="s">
        <v>1098</v>
      </c>
      <c r="C853" s="1">
        <v>46276</v>
      </c>
      <c r="D853" t="str">
        <f>VLOOKUP(B853,Trades!A$1:N101645,3,FALSE)</f>
        <v>ORCL</v>
      </c>
      <c r="E853" t="s">
        <v>61</v>
      </c>
      <c r="F853">
        <v>154.21</v>
      </c>
      <c r="G853">
        <v>4</v>
      </c>
      <c r="H853">
        <f>IF(VLOOKUP(B853,Trades!A:N,4,FALSE)="Long",(F853-VLOOKUP(B853,Trades!A:N,6,FALSE))*G853,(VLOOKUP(B853,Trades!A:N,6,FALSE)-F853)*G853)</f>
        <v>-11.919999999999959</v>
      </c>
      <c r="I853">
        <f>H853/VLOOKUP(B853,Trades!A$1:$N$100794,9,FALSE)</f>
        <v>-2.9799999999999898</v>
      </c>
    </row>
    <row r="854" spans="1:9" x14ac:dyDescent="0.25">
      <c r="A854">
        <f t="shared" si="89"/>
        <v>853</v>
      </c>
      <c r="B854" s="1" t="s">
        <v>1101</v>
      </c>
      <c r="C854" s="1">
        <v>46276</v>
      </c>
      <c r="D854" t="str">
        <f>VLOOKUP(B854,Trades!A$1:N101646,3,FALSE)</f>
        <v>NVDA</v>
      </c>
      <c r="E854" t="s">
        <v>61</v>
      </c>
      <c r="F854">
        <v>218.88</v>
      </c>
      <c r="G854">
        <v>5</v>
      </c>
      <c r="H854">
        <f>IF(VLOOKUP(B854,Trades!A:N,4,FALSE)="Long",(F854-VLOOKUP(B854,Trades!A:N,6,FALSE))*G854,(VLOOKUP(B854,Trades!A:N,6,FALSE)-F854)*G854)</f>
        <v>-6.8000000000000682</v>
      </c>
      <c r="I854">
        <f>H854/VLOOKUP(B854,Trades!A$1:$N$100794,9,FALSE)</f>
        <v>-1.3600000000000136</v>
      </c>
    </row>
    <row r="855" spans="1:9" x14ac:dyDescent="0.25">
      <c r="A855">
        <f t="shared" si="89"/>
        <v>854</v>
      </c>
      <c r="B855" s="1" t="s">
        <v>1102</v>
      </c>
      <c r="C855" s="1">
        <v>46276</v>
      </c>
      <c r="D855" t="str">
        <f>VLOOKUP(B855,Trades!A$1:N101647,3,FALSE)</f>
        <v>ECHO</v>
      </c>
      <c r="E855" t="s">
        <v>61</v>
      </c>
      <c r="F855">
        <v>92.21</v>
      </c>
      <c r="G855">
        <v>5</v>
      </c>
      <c r="H855">
        <f>IF(VLOOKUP(B855,Trades!A:N,4,FALSE)="Long",(F855-VLOOKUP(B855,Trades!A:N,6,FALSE))*G855,(VLOOKUP(B855,Trades!A:N,6,FALSE)-F855)*G855)</f>
        <v>-4.2500000000000426</v>
      </c>
      <c r="I855">
        <f>H855/VLOOKUP(B855,Trades!A$1:$N$100794,9,FALSE)</f>
        <v>-0.85000000000000853</v>
      </c>
    </row>
    <row r="856" spans="1:9" x14ac:dyDescent="0.25">
      <c r="A856">
        <f t="shared" si="89"/>
        <v>855</v>
      </c>
      <c r="B856" s="1" t="s">
        <v>1103</v>
      </c>
      <c r="C856" s="1">
        <v>46276</v>
      </c>
      <c r="D856" t="str">
        <f>VLOOKUP(B856,Trades!A$1:N101648,3,FALSE)</f>
        <v>AMD</v>
      </c>
      <c r="E856" t="s">
        <v>61</v>
      </c>
      <c r="F856">
        <v>517.03</v>
      </c>
      <c r="G856">
        <v>2</v>
      </c>
      <c r="H856">
        <f>IF(VLOOKUP(B856,Trades!A:N,4,FALSE)="Long",(F856-VLOOKUP(B856,Trades!A:N,6,FALSE))*G856,(VLOOKUP(B856,Trades!A:N,6,FALSE)-F856)*G856)</f>
        <v>20.3599999999999</v>
      </c>
      <c r="I856">
        <f>H856/VLOOKUP(B856,Trades!A$1:$N$100794,9,FALSE)</f>
        <v>10.17999999999995</v>
      </c>
    </row>
    <row r="857" spans="1:9" x14ac:dyDescent="0.25">
      <c r="A857">
        <f t="shared" si="89"/>
        <v>856</v>
      </c>
      <c r="B857" s="1" t="s">
        <v>1100</v>
      </c>
      <c r="C857" s="1">
        <v>46276</v>
      </c>
      <c r="D857" t="str">
        <f>VLOOKUP(B857,Trades!A$1:N101649,3,FALSE)</f>
        <v>APP</v>
      </c>
      <c r="E857" t="s">
        <v>61</v>
      </c>
      <c r="F857">
        <v>324.31</v>
      </c>
      <c r="G857">
        <v>2</v>
      </c>
      <c r="H857">
        <f>IF(VLOOKUP(B857,Trades!A:N,4,FALSE)="Long",(F857-VLOOKUP(B857,Trades!A:N,6,FALSE))*G857,(VLOOKUP(B857,Trades!A:N,6,FALSE)-F857)*G857)</f>
        <v>17.32000000000005</v>
      </c>
      <c r="I857">
        <f>H857/VLOOKUP(B857,Trades!A$1:$N$100794,9,FALSE)</f>
        <v>8.660000000000025</v>
      </c>
    </row>
    <row r="858" spans="1:9" x14ac:dyDescent="0.25">
      <c r="A858">
        <f t="shared" si="89"/>
        <v>857</v>
      </c>
      <c r="B858" s="1" t="s">
        <v>1104</v>
      </c>
      <c r="C858" s="1">
        <v>46276</v>
      </c>
      <c r="D858" t="str">
        <f>VLOOKUP(B858,Trades!A$1:N101650,3,FALSE)</f>
        <v>MU</v>
      </c>
      <c r="E858" t="s">
        <v>61</v>
      </c>
      <c r="F858">
        <v>975.26</v>
      </c>
      <c r="G858">
        <v>1</v>
      </c>
      <c r="H858">
        <f>IF(VLOOKUP(B858,Trades!A:N,4,FALSE)="Long",(F858-VLOOKUP(B858,Trades!A:N,6,FALSE))*G858,(VLOOKUP(B858,Trades!A:N,6,FALSE)-F858)*G858)</f>
        <v>-0.21000000000003638</v>
      </c>
      <c r="I858">
        <f>H858/VLOOKUP(B858,Trades!A$1:$N$100794,9,FALSE)</f>
        <v>-0.21000000000003638</v>
      </c>
    </row>
    <row r="859" spans="1:9" x14ac:dyDescent="0.25">
      <c r="A859">
        <f t="shared" ref="A859:A866" si="90">ROW()-1</f>
        <v>858</v>
      </c>
      <c r="B859" s="1" t="s">
        <v>1105</v>
      </c>
      <c r="C859" s="1">
        <v>46279</v>
      </c>
      <c r="D859" t="str">
        <f>VLOOKUP(B859,Trades!A$1:N101651,3,FALSE)</f>
        <v>AMPX</v>
      </c>
      <c r="E859" t="s">
        <v>61</v>
      </c>
      <c r="F859">
        <v>8.89</v>
      </c>
      <c r="G859">
        <v>10</v>
      </c>
      <c r="H859">
        <f>IF(VLOOKUP(B859,Trades!A:N,4,FALSE)="Long",(F859-VLOOKUP(B859,Trades!A:N,6,FALSE))*G859,(VLOOKUP(B859,Trades!A:N,6,FALSE)-F859)*G859)</f>
        <v>-16.199999999999992</v>
      </c>
      <c r="I859">
        <f>H859/VLOOKUP(B859,Trades!A$1:$N$100794,9,FALSE)</f>
        <v>-1.6199999999999992</v>
      </c>
    </row>
    <row r="860" spans="1:9" x14ac:dyDescent="0.25">
      <c r="A860">
        <f t="shared" si="90"/>
        <v>859</v>
      </c>
      <c r="B860" s="1" t="s">
        <v>1106</v>
      </c>
      <c r="C860" s="1">
        <v>46279</v>
      </c>
      <c r="D860" t="str">
        <f>VLOOKUP(B860,Trades!A$1:N101652,3,FALSE)</f>
        <v>APP</v>
      </c>
      <c r="E860" t="s">
        <v>61</v>
      </c>
      <c r="F860">
        <v>320.5</v>
      </c>
      <c r="G860">
        <v>3</v>
      </c>
      <c r="H860">
        <f>IF(VLOOKUP(B860,Trades!A:N,4,FALSE)="Long",(F860-VLOOKUP(B860,Trades!A:N,6,FALSE))*G860,(VLOOKUP(B860,Trades!A:N,6,FALSE)-F860)*G860)</f>
        <v>-14.370000000000061</v>
      </c>
      <c r="I860">
        <f>H860/VLOOKUP(B860,Trades!A$1:$N$100794,9,FALSE)</f>
        <v>-4.7900000000000205</v>
      </c>
    </row>
    <row r="861" spans="1:9" x14ac:dyDescent="0.25">
      <c r="A861">
        <f t="shared" si="90"/>
        <v>860</v>
      </c>
      <c r="B861" s="1" t="s">
        <v>1107</v>
      </c>
      <c r="C861" s="1">
        <v>46279</v>
      </c>
      <c r="D861" t="str">
        <f>VLOOKUP(B861,Trades!A$1:N101653,3,FALSE)</f>
        <v>DELL</v>
      </c>
      <c r="E861" t="s">
        <v>61</v>
      </c>
      <c r="F861">
        <v>527.07000000000005</v>
      </c>
      <c r="G861">
        <v>2</v>
      </c>
      <c r="H861">
        <f>IF(VLOOKUP(B861,Trades!A:N,4,FALSE)="Long",(F861-VLOOKUP(B861,Trades!A:N,6,FALSE))*G861,(VLOOKUP(B861,Trades!A:N,6,FALSE)-F861)*G861)</f>
        <v>-9.9799999999997908</v>
      </c>
      <c r="I861">
        <f>H861/VLOOKUP(B861,Trades!A$1:$N$100794,9,FALSE)</f>
        <v>-4.9899999999998954</v>
      </c>
    </row>
    <row r="862" spans="1:9" x14ac:dyDescent="0.25">
      <c r="A862">
        <f t="shared" si="90"/>
        <v>861</v>
      </c>
      <c r="B862" s="1" t="s">
        <v>1108</v>
      </c>
      <c r="C862" s="1">
        <v>46279</v>
      </c>
      <c r="D862" t="str">
        <f>VLOOKUP(B862,Trades!A$1:N101654,3,FALSE)</f>
        <v>APP</v>
      </c>
      <c r="E862" t="s">
        <v>61</v>
      </c>
      <c r="F862">
        <v>331.54</v>
      </c>
      <c r="G862">
        <v>3</v>
      </c>
      <c r="H862">
        <f>IF(VLOOKUP(B862,Trades!A:N,4,FALSE)="Long",(F862-VLOOKUP(B862,Trades!A:N,6,FALSE))*G862,(VLOOKUP(B862,Trades!A:N,6,FALSE)-F862)*G862)</f>
        <v>16.860000000000014</v>
      </c>
      <c r="I862">
        <f>H862/VLOOKUP(B862,Trades!A$1:$N$100794,9,FALSE)</f>
        <v>5.6200000000000045</v>
      </c>
    </row>
    <row r="863" spans="1:9" x14ac:dyDescent="0.25">
      <c r="A863">
        <f t="shared" si="90"/>
        <v>862</v>
      </c>
      <c r="B863" s="1" t="s">
        <v>1109</v>
      </c>
      <c r="C863" s="1">
        <v>46279</v>
      </c>
      <c r="D863" t="str">
        <f>VLOOKUP(B863,Trades!A$1:N101655,3,FALSE)</f>
        <v>DELL</v>
      </c>
      <c r="E863" t="s">
        <v>61</v>
      </c>
      <c r="F863">
        <v>542.22</v>
      </c>
      <c r="G863">
        <v>2</v>
      </c>
      <c r="H863">
        <f>IF(VLOOKUP(B863,Trades!A:N,4,FALSE)="Long",(F863-VLOOKUP(B863,Trades!A:N,6,FALSE))*G863,(VLOOKUP(B863,Trades!A:N,6,FALSE)-F863)*G863)</f>
        <v>17.380000000000109</v>
      </c>
      <c r="I863">
        <f>H863/VLOOKUP(B863,Trades!A$1:$N$100794,9,FALSE)</f>
        <v>8.6900000000000546</v>
      </c>
    </row>
    <row r="864" spans="1:9" x14ac:dyDescent="0.25">
      <c r="A864">
        <f t="shared" si="90"/>
        <v>863</v>
      </c>
      <c r="B864" s="1" t="s">
        <v>1110</v>
      </c>
      <c r="C864" s="1">
        <v>46279</v>
      </c>
      <c r="D864" t="str">
        <f>VLOOKUP(B864,Trades!A$1:N101656,3,FALSE)</f>
        <v>AFRM</v>
      </c>
      <c r="E864" t="s">
        <v>61</v>
      </c>
      <c r="F864">
        <v>72.69</v>
      </c>
      <c r="G864">
        <v>10</v>
      </c>
      <c r="H864">
        <f>IF(VLOOKUP(B864,Trades!A:N,4,FALSE)="Long",(F864-VLOOKUP(B864,Trades!A:N,6,FALSE))*G864,(VLOOKUP(B864,Trades!A:N,6,FALSE)-F864)*G864)</f>
        <v>2.0000000000000284</v>
      </c>
      <c r="I864">
        <f>H864/VLOOKUP(B864,Trades!A$1:$N$100794,9,FALSE)</f>
        <v>0.20000000000000284</v>
      </c>
    </row>
    <row r="865" spans="1:9" x14ac:dyDescent="0.25">
      <c r="A865">
        <f t="shared" si="90"/>
        <v>864</v>
      </c>
      <c r="B865" s="1" t="s">
        <v>1111</v>
      </c>
      <c r="C865" s="1">
        <v>46279</v>
      </c>
      <c r="D865" t="str">
        <f>VLOOKUP(B865,Trades!A$1:N101657,3,FALSE)</f>
        <v>MU</v>
      </c>
      <c r="E865" t="s">
        <v>61</v>
      </c>
      <c r="F865">
        <v>927.95</v>
      </c>
      <c r="G865">
        <v>1</v>
      </c>
      <c r="H865">
        <f>IF(VLOOKUP(B865,Trades!A:N,4,FALSE)="Long",(F865-VLOOKUP(B865,Trades!A:N,6,FALSE))*G865,(VLOOKUP(B865,Trades!A:N,6,FALSE)-F865)*G865)</f>
        <v>11.860000000000014</v>
      </c>
      <c r="I865">
        <f>H865/VLOOKUP(B865,Trades!A$1:$N$100794,9,FALSE)</f>
        <v>11.860000000000014</v>
      </c>
    </row>
    <row r="866" spans="1:9" x14ac:dyDescent="0.25">
      <c r="A866">
        <f t="shared" si="90"/>
        <v>865</v>
      </c>
      <c r="B866" s="1" t="s">
        <v>1112</v>
      </c>
      <c r="C866" s="1">
        <v>46279</v>
      </c>
      <c r="D866" t="str">
        <f>VLOOKUP(B866,Trades!A$1:N101658,3,FALSE)</f>
        <v>HPQ</v>
      </c>
      <c r="E866" t="s">
        <v>61</v>
      </c>
      <c r="F866">
        <v>34.284999999999997</v>
      </c>
      <c r="G866">
        <v>20</v>
      </c>
      <c r="H866">
        <f>IF(VLOOKUP(B866,Trades!A:N,4,FALSE)="Long",(F866-VLOOKUP(B866,Trades!A:N,6,FALSE))*G866,(VLOOKUP(B866,Trades!A:N,6,FALSE)-F866)*G866)</f>
        <v>4.8999999999999488</v>
      </c>
      <c r="I866">
        <f>H866/VLOOKUP(B866,Trades!A$1:$N$100794,9,FALSE)</f>
        <v>0.24499999999999744</v>
      </c>
    </row>
    <row r="867" spans="1:9" x14ac:dyDescent="0.25">
      <c r="A867">
        <f t="shared" ref="A867:A882" si="91">ROW()-1</f>
        <v>866</v>
      </c>
      <c r="B867" s="1" t="s">
        <v>1114</v>
      </c>
      <c r="C867" s="1">
        <v>46280</v>
      </c>
      <c r="D867" t="str">
        <f>VLOOKUP(B867,Trades!A$1:N101659,3,FALSE)</f>
        <v>NVDA</v>
      </c>
      <c r="E867" t="s">
        <v>61</v>
      </c>
      <c r="F867">
        <v>211.98</v>
      </c>
      <c r="G867">
        <v>4</v>
      </c>
      <c r="H867">
        <f>IF(VLOOKUP(B867,Trades!A:N,4,FALSE)="Long",(F867-VLOOKUP(B867,Trades!A:N,6,FALSE))*G867,(VLOOKUP(B867,Trades!A:N,6,FALSE)-F867)*G867)</f>
        <v>-7.9200000000000728</v>
      </c>
      <c r="I867">
        <f>H867/VLOOKUP(B867,Trades!A$1:$N$100794,9,FALSE)</f>
        <v>-1.9800000000000182</v>
      </c>
    </row>
    <row r="868" spans="1:9" x14ac:dyDescent="0.25">
      <c r="A868">
        <f t="shared" si="91"/>
        <v>867</v>
      </c>
      <c r="B868" s="1" t="s">
        <v>1115</v>
      </c>
      <c r="C868" s="1">
        <v>46280</v>
      </c>
      <c r="D868" t="str">
        <f>VLOOKUP(B868,Trades!A$1:N101660,3,FALSE)</f>
        <v>AMD</v>
      </c>
      <c r="E868" t="s">
        <v>61</v>
      </c>
      <c r="F868">
        <v>504.04</v>
      </c>
      <c r="G868">
        <v>2</v>
      </c>
      <c r="H868">
        <f>IF(VLOOKUP(B868,Trades!A:N,4,FALSE)="Long",(F868-VLOOKUP(B868,Trades!A:N,6,FALSE))*G868,(VLOOKUP(B868,Trades!A:N,6,FALSE)-F868)*G868)</f>
        <v>4.6800000000000637</v>
      </c>
      <c r="I868">
        <f>H868/VLOOKUP(B868,Trades!A$1:$N$100794,9,FALSE)</f>
        <v>2.3400000000000318</v>
      </c>
    </row>
    <row r="869" spans="1:9" x14ac:dyDescent="0.25">
      <c r="A869">
        <f t="shared" si="91"/>
        <v>868</v>
      </c>
      <c r="B869" s="1" t="s">
        <v>1116</v>
      </c>
      <c r="C869" s="1">
        <v>46280</v>
      </c>
      <c r="D869" t="str">
        <f>VLOOKUP(B869,Trades!A$1:N101661,3,FALSE)</f>
        <v>APP</v>
      </c>
      <c r="E869" t="s">
        <v>61</v>
      </c>
      <c r="F869">
        <v>324.14</v>
      </c>
      <c r="G869">
        <v>2</v>
      </c>
      <c r="H869">
        <f>IF(VLOOKUP(B869,Trades!A:N,4,FALSE)="Long",(F869-VLOOKUP(B869,Trades!A:N,6,FALSE))*G869,(VLOOKUP(B869,Trades!A:N,6,FALSE)-F869)*G869)</f>
        <v>-15.800000000000068</v>
      </c>
      <c r="I869">
        <f>H869/VLOOKUP(B869,Trades!A$1:$N$100794,9,FALSE)</f>
        <v>-7.9000000000000341</v>
      </c>
    </row>
    <row r="870" spans="1:9" x14ac:dyDescent="0.25">
      <c r="A870">
        <f t="shared" si="91"/>
        <v>869</v>
      </c>
      <c r="B870" s="1" t="s">
        <v>1117</v>
      </c>
      <c r="C870" s="1">
        <v>46280</v>
      </c>
      <c r="D870" t="str">
        <f>VLOOKUP(B870,Trades!A$1:N101662,3,FALSE)</f>
        <v>FTFT</v>
      </c>
      <c r="E870" t="s">
        <v>61</v>
      </c>
      <c r="F870">
        <v>5.22</v>
      </c>
      <c r="G870">
        <v>12</v>
      </c>
      <c r="H870">
        <f>IF(VLOOKUP(B870,Trades!A:N,4,FALSE)="Long",(F870-VLOOKUP(B870,Trades!A:N,6,FALSE))*G870,(VLOOKUP(B870,Trades!A:N,6,FALSE)-F870)*G870)</f>
        <v>-10.680000000000007</v>
      </c>
      <c r="I870">
        <f>H870/VLOOKUP(B870,Trades!A$1:$N$100794,9,FALSE)</f>
        <v>-0.89000000000000057</v>
      </c>
    </row>
    <row r="871" spans="1:9" x14ac:dyDescent="0.25">
      <c r="A871">
        <f t="shared" si="91"/>
        <v>870</v>
      </c>
      <c r="B871" s="1" t="s">
        <v>1118</v>
      </c>
      <c r="C871" s="1">
        <v>46265</v>
      </c>
      <c r="D871" t="str">
        <f>VLOOKUP(B871,Trades!A$1:N101663,3,FALSE)</f>
        <v>MU</v>
      </c>
      <c r="E871" t="s">
        <v>61</v>
      </c>
      <c r="F871">
        <v>941.87</v>
      </c>
      <c r="G871">
        <v>1</v>
      </c>
      <c r="H871">
        <f>IF(VLOOKUP(B871,Trades!A:N,4,FALSE)="Long",(F871-VLOOKUP(B871,Trades!A:N,6,FALSE))*G871,(VLOOKUP(B871,Trades!A:N,6,FALSE)-F871)*G871)</f>
        <v>-2.4099999999999682</v>
      </c>
      <c r="I871">
        <f>H871/VLOOKUP(B871,Trades!A$1:$N$100794,9,FALSE)</f>
        <v>-2.4099999999999682</v>
      </c>
    </row>
    <row r="872" spans="1:9" x14ac:dyDescent="0.25">
      <c r="A872">
        <f t="shared" si="91"/>
        <v>871</v>
      </c>
      <c r="B872" s="1" t="s">
        <v>1119</v>
      </c>
      <c r="C872" s="1">
        <v>46265</v>
      </c>
      <c r="D872" t="str">
        <f>VLOOKUP(B872,Trades!A$1:N101664,3,FALSE)</f>
        <v>ARM</v>
      </c>
      <c r="E872" t="s">
        <v>61</v>
      </c>
      <c r="F872">
        <v>238.24</v>
      </c>
      <c r="G872">
        <v>4</v>
      </c>
      <c r="H872">
        <f>IF(VLOOKUP(B872,Trades!A:N,4,FALSE)="Long",(F872-VLOOKUP(B872,Trades!A:N,6,FALSE))*G872,(VLOOKUP(B872,Trades!A:N,6,FALSE)-F872)*G872)</f>
        <v>-14.439999999999941</v>
      </c>
      <c r="I872">
        <f>H872/VLOOKUP(B872,Trades!A$1:$N$100794,9,FALSE)</f>
        <v>-3.6099999999999852</v>
      </c>
    </row>
    <row r="873" spans="1:9" x14ac:dyDescent="0.25">
      <c r="A873">
        <f t="shared" si="91"/>
        <v>872</v>
      </c>
      <c r="B873" s="1" t="s">
        <v>1120</v>
      </c>
      <c r="C873" s="1">
        <v>46265</v>
      </c>
      <c r="D873" t="str">
        <f>VLOOKUP(B873,Trades!A$1:N101665,3,FALSE)</f>
        <v>UEC</v>
      </c>
      <c r="E873" t="s">
        <v>61</v>
      </c>
      <c r="F873">
        <v>12.32</v>
      </c>
      <c r="G873">
        <v>50</v>
      </c>
      <c r="H873">
        <f>IF(VLOOKUP(B873,Trades!A:N,4,FALSE)="Long",(F873-VLOOKUP(B873,Trades!A:N,6,FALSE))*G873,(VLOOKUP(B873,Trades!A:N,6,FALSE)-F873)*G873)</f>
        <v>1.5000000000000568</v>
      </c>
      <c r="I873">
        <f>H873/VLOOKUP(B873,Trades!A$1:$N$100794,9,FALSE)</f>
        <v>3.0000000000001137E-2</v>
      </c>
    </row>
    <row r="874" spans="1:9" x14ac:dyDescent="0.25">
      <c r="A874">
        <f t="shared" si="91"/>
        <v>873</v>
      </c>
      <c r="B874" s="1" t="s">
        <v>1121</v>
      </c>
      <c r="C874" s="1">
        <v>46265</v>
      </c>
      <c r="D874" t="str">
        <f>VLOOKUP(B874,Trades!A$1:N101666,3,FALSE)</f>
        <v>UUUU</v>
      </c>
      <c r="E874" t="s">
        <v>61</v>
      </c>
      <c r="F874">
        <v>14.640499999999999</v>
      </c>
      <c r="G874">
        <v>30</v>
      </c>
      <c r="H874">
        <f>IF(VLOOKUP(B874,Trades!A:N,4,FALSE)="Long",(F874-VLOOKUP(B874,Trades!A:N,6,FALSE))*G874,(VLOOKUP(B874,Trades!A:N,6,FALSE)-F874)*G874)</f>
        <v>1.4999999999965041E-2</v>
      </c>
      <c r="I874">
        <f>H874/VLOOKUP(B874,Trades!A$1:$N$100794,9,FALSE)</f>
        <v>4.9999999999883471E-4</v>
      </c>
    </row>
    <row r="875" spans="1:9" x14ac:dyDescent="0.25">
      <c r="A875">
        <f t="shared" si="91"/>
        <v>874</v>
      </c>
      <c r="B875" s="1" t="s">
        <v>1122</v>
      </c>
      <c r="C875" s="1">
        <v>46265</v>
      </c>
      <c r="D875" t="str">
        <f>VLOOKUP(B875,Trades!A$1:N101667,3,FALSE)</f>
        <v>NVDA</v>
      </c>
      <c r="E875" t="s">
        <v>61</v>
      </c>
      <c r="F875">
        <v>219.31</v>
      </c>
      <c r="G875">
        <v>4</v>
      </c>
      <c r="H875">
        <f>IF(VLOOKUP(B875,Trades!A:N,4,FALSE)="Long",(F875-VLOOKUP(B875,Trades!A:N,6,FALSE))*G875,(VLOOKUP(B875,Trades!A:N,6,FALSE)-F875)*G875)</f>
        <v>0.39999999999997726</v>
      </c>
      <c r="I875">
        <f>H875/VLOOKUP(B875,Trades!A$1:$N$100794,9,FALSE)</f>
        <v>9.9999999999994316E-2</v>
      </c>
    </row>
    <row r="876" spans="1:9" x14ac:dyDescent="0.25">
      <c r="A876">
        <f t="shared" si="91"/>
        <v>875</v>
      </c>
      <c r="B876" s="1" t="s">
        <v>1123</v>
      </c>
      <c r="C876" s="1">
        <v>46265</v>
      </c>
      <c r="D876" t="str">
        <f>VLOOKUP(B876,Trades!A$1:N101668,3,FALSE)</f>
        <v>AMD</v>
      </c>
      <c r="E876" t="s">
        <v>61</v>
      </c>
      <c r="F876">
        <v>466.9</v>
      </c>
      <c r="G876">
        <v>2</v>
      </c>
      <c r="H876">
        <f>IF(VLOOKUP(B876,Trades!A:N,4,FALSE)="Long",(F876-VLOOKUP(B876,Trades!A:N,6,FALSE))*G876,(VLOOKUP(B876,Trades!A:N,6,FALSE)-F876)*G876)</f>
        <v>-8</v>
      </c>
      <c r="I876">
        <f>H876/VLOOKUP(B876,Trades!A$1:$N$100794,9,FALSE)</f>
        <v>-4</v>
      </c>
    </row>
    <row r="877" spans="1:9" x14ac:dyDescent="0.25">
      <c r="A877">
        <f t="shared" si="91"/>
        <v>876</v>
      </c>
      <c r="B877" s="1" t="s">
        <v>1124</v>
      </c>
      <c r="C877" s="1">
        <v>46265</v>
      </c>
      <c r="D877" t="str">
        <f>VLOOKUP(B877,Trades!A$1:N101669,3,FALSE)</f>
        <v>NFLX</v>
      </c>
      <c r="E877" t="s">
        <v>61</v>
      </c>
      <c r="F877">
        <v>81.344999999999999</v>
      </c>
      <c r="G877">
        <v>10</v>
      </c>
      <c r="H877">
        <f>IF(VLOOKUP(B877,Trades!A:N,4,FALSE)="Long",(F877-VLOOKUP(B877,Trades!A:N,6,FALSE))*G877,(VLOOKUP(B877,Trades!A:N,6,FALSE)-F877)*G877)</f>
        <v>-4.9999999999954525E-2</v>
      </c>
      <c r="I877">
        <f>H877/VLOOKUP(B877,Trades!A$1:$N$100794,9,FALSE)</f>
        <v>-4.9999999999954525E-3</v>
      </c>
    </row>
    <row r="878" spans="1:9" x14ac:dyDescent="0.25">
      <c r="A878">
        <f t="shared" si="91"/>
        <v>877</v>
      </c>
      <c r="B878" s="1" t="s">
        <v>1125</v>
      </c>
      <c r="C878" s="1">
        <v>46265</v>
      </c>
      <c r="D878" t="str">
        <f>VLOOKUP(B878,Trades!A$1:N101670,3,FALSE)</f>
        <v>AMZN</v>
      </c>
      <c r="E878" t="s">
        <v>61</v>
      </c>
      <c r="F878">
        <v>259.3</v>
      </c>
      <c r="G878">
        <v>2</v>
      </c>
      <c r="H878">
        <f>IF(VLOOKUP(B878,Trades!A:N,4,FALSE)="Long",(F878-VLOOKUP(B878,Trades!A:N,6,FALSE))*G878,(VLOOKUP(B878,Trades!A:N,6,FALSE)-F878)*G878)</f>
        <v>-4.1000000000000227</v>
      </c>
      <c r="I878">
        <f>H878/VLOOKUP(B878,Trades!A$1:$N$100794,9,FALSE)</f>
        <v>-2.0500000000000114</v>
      </c>
    </row>
    <row r="879" spans="1:9" x14ac:dyDescent="0.25">
      <c r="A879">
        <f t="shared" si="91"/>
        <v>878</v>
      </c>
      <c r="B879" s="1" t="s">
        <v>1126</v>
      </c>
      <c r="C879" s="1">
        <v>46280</v>
      </c>
      <c r="D879" t="str">
        <f>VLOOKUP(B879,Trades!A$1:N101671,3,FALSE)</f>
        <v>ORCL</v>
      </c>
      <c r="E879" t="s">
        <v>61</v>
      </c>
      <c r="F879">
        <v>142.38999999999999</v>
      </c>
      <c r="G879">
        <v>4</v>
      </c>
      <c r="H879">
        <f>IF(VLOOKUP(B879,Trades!A:N,4,FALSE)="Long",(F879-VLOOKUP(B879,Trades!A:N,6,FALSE))*G879,(VLOOKUP(B879,Trades!A:N,6,FALSE)-F879)*G879)</f>
        <v>-1.4000000000000909</v>
      </c>
      <c r="I879">
        <f>H879/VLOOKUP(B879,Trades!A$1:$N$100794,9,FALSE)</f>
        <v>-0.35000000000002274</v>
      </c>
    </row>
    <row r="880" spans="1:9" x14ac:dyDescent="0.25">
      <c r="A880">
        <f t="shared" si="91"/>
        <v>879</v>
      </c>
      <c r="B880" s="1" t="s">
        <v>1127</v>
      </c>
      <c r="C880" s="1">
        <v>46280</v>
      </c>
      <c r="D880" t="str">
        <f>VLOOKUP(B880,Trades!A$1:N101672,3,FALSE)</f>
        <v>HPQ</v>
      </c>
      <c r="E880" t="s">
        <v>61</v>
      </c>
      <c r="F880">
        <v>33.86</v>
      </c>
      <c r="G880">
        <v>10</v>
      </c>
      <c r="H880">
        <f>IF(VLOOKUP(B880,Trades!A:N,4,FALSE)="Long",(F880-VLOOKUP(B880,Trades!A:N,6,FALSE))*G880,(VLOOKUP(B880,Trades!A:N,6,FALSE)-F880)*G880)</f>
        <v>-6.4999999999999858</v>
      </c>
      <c r="I880">
        <f>H880/VLOOKUP(B880,Trades!A$1:$N$100794,9,FALSE)</f>
        <v>-0.64999999999999858</v>
      </c>
    </row>
    <row r="881" spans="1:9" x14ac:dyDescent="0.25">
      <c r="A881">
        <f t="shared" si="91"/>
        <v>880</v>
      </c>
      <c r="B881" s="1" t="s">
        <v>1128</v>
      </c>
      <c r="C881" s="1">
        <v>46280</v>
      </c>
      <c r="D881" t="str">
        <f>VLOOKUP(B881,Trades!A$1:N101673,3,FALSE)</f>
        <v>AMD</v>
      </c>
      <c r="E881" t="s">
        <v>61</v>
      </c>
      <c r="F881">
        <v>503.745</v>
      </c>
      <c r="G881">
        <v>2</v>
      </c>
      <c r="H881">
        <f>IF(VLOOKUP(B881,Trades!A:N,4,FALSE)="Long",(F881-VLOOKUP(B881,Trades!A:N,6,FALSE))*G881,(VLOOKUP(B881,Trades!A:N,6,FALSE)-F881)*G881)</f>
        <v>3.3700000000000045</v>
      </c>
      <c r="I881">
        <f>H881/VLOOKUP(B881,Trades!A$1:$N$100794,9,FALSE)</f>
        <v>1.6850000000000023</v>
      </c>
    </row>
    <row r="882" spans="1:9" x14ac:dyDescent="0.25">
      <c r="A882">
        <f t="shared" si="91"/>
        <v>881</v>
      </c>
      <c r="B882" s="1" t="s">
        <v>1129</v>
      </c>
      <c r="C882" s="1">
        <v>46280</v>
      </c>
      <c r="D882" t="str">
        <f>VLOOKUP(B882,Trades!A$1:N101674,3,FALSE)</f>
        <v>MU</v>
      </c>
      <c r="E882" t="s">
        <v>61</v>
      </c>
      <c r="F882">
        <v>927.41</v>
      </c>
      <c r="G882">
        <v>2</v>
      </c>
      <c r="H882">
        <f>IF(VLOOKUP(B882,Trades!A:N,4,FALSE)="Long",(F882-VLOOKUP(B882,Trades!A:N,6,FALSE))*G882,(VLOOKUP(B882,Trades!A:N,6,FALSE)-F882)*G882)</f>
        <v>-10.220000000000027</v>
      </c>
      <c r="I882">
        <f>H882/VLOOKUP(B882,Trades!A$1:$N$100794,9,FALSE)</f>
        <v>-5.1100000000000136</v>
      </c>
    </row>
    <row r="883" spans="1:9" x14ac:dyDescent="0.25">
      <c r="A883">
        <f t="shared" ref="A883:A890" si="92">ROW()-1</f>
        <v>882</v>
      </c>
      <c r="B883" s="1" t="s">
        <v>1130</v>
      </c>
      <c r="C883" s="1">
        <v>46281</v>
      </c>
      <c r="D883" t="str">
        <f>VLOOKUP(B883,Trades!A$1:N101675,3,FALSE)</f>
        <v>ARM</v>
      </c>
      <c r="E883" t="s">
        <v>61</v>
      </c>
      <c r="F883">
        <v>249.08</v>
      </c>
      <c r="G883">
        <v>4</v>
      </c>
      <c r="H883">
        <f>IF(VLOOKUP(B883,Trades!A:N,4,FALSE)="Long",(F883-VLOOKUP(B883,Trades!A:N,6,FALSE))*G883,(VLOOKUP(B883,Trades!A:N,6,FALSE)-F883)*G883)</f>
        <v>-12.959999999999923</v>
      </c>
      <c r="I883">
        <f>H883/VLOOKUP(B883,Trades!A$1:$N$100794,9,FALSE)</f>
        <v>-3.2399999999999807</v>
      </c>
    </row>
    <row r="884" spans="1:9" x14ac:dyDescent="0.25">
      <c r="A884">
        <f t="shared" si="92"/>
        <v>883</v>
      </c>
      <c r="B884" s="1" t="s">
        <v>1131</v>
      </c>
      <c r="C884" s="1">
        <v>46281</v>
      </c>
      <c r="D884" t="str">
        <f>VLOOKUP(B884,Trades!A$1:N101676,3,FALSE)</f>
        <v>DELL</v>
      </c>
      <c r="E884" t="s">
        <v>61</v>
      </c>
      <c r="F884">
        <v>566.84</v>
      </c>
      <c r="G884">
        <v>1</v>
      </c>
      <c r="H884">
        <f>IF(VLOOKUP(B884,Trades!A:N,4,FALSE)="Long",(F884-VLOOKUP(B884,Trades!A:N,6,FALSE))*G884,(VLOOKUP(B884,Trades!A:N,6,FALSE)-F884)*G884)</f>
        <v>-4.1499999999999773</v>
      </c>
      <c r="I884">
        <f>H884/VLOOKUP(B884,Trades!A$1:$N$100794,9,FALSE)</f>
        <v>-4.1499999999999773</v>
      </c>
    </row>
    <row r="885" spans="1:9" x14ac:dyDescent="0.25">
      <c r="A885">
        <f t="shared" si="92"/>
        <v>884</v>
      </c>
      <c r="B885" s="1" t="s">
        <v>1132</v>
      </c>
      <c r="C885" s="1">
        <v>46281</v>
      </c>
      <c r="D885" t="str">
        <f>VLOOKUP(B885,Trades!A$1:N101677,3,FALSE)</f>
        <v>MU</v>
      </c>
      <c r="E885" t="s">
        <v>61</v>
      </c>
      <c r="F885">
        <v>925.79</v>
      </c>
      <c r="G885">
        <v>1</v>
      </c>
      <c r="H885">
        <f>IF(VLOOKUP(B885,Trades!A:N,4,FALSE)="Long",(F885-VLOOKUP(B885,Trades!A:N,6,FALSE))*G885,(VLOOKUP(B885,Trades!A:N,6,FALSE)-F885)*G885)</f>
        <v>-10.211000000000013</v>
      </c>
      <c r="I885">
        <f>H885/VLOOKUP(B885,Trades!A$1:$N$100794,9,FALSE)</f>
        <v>-10.211000000000013</v>
      </c>
    </row>
    <row r="886" spans="1:9" x14ac:dyDescent="0.25">
      <c r="A886">
        <f t="shared" si="92"/>
        <v>885</v>
      </c>
      <c r="B886" s="1" t="s">
        <v>1133</v>
      </c>
      <c r="C886" s="1">
        <v>46281</v>
      </c>
      <c r="D886" t="str">
        <f>VLOOKUP(B886,Trades!A$1:N101678,3,FALSE)</f>
        <v>INTC</v>
      </c>
      <c r="E886" t="s">
        <v>61</v>
      </c>
      <c r="F886">
        <v>101.65</v>
      </c>
      <c r="G886">
        <v>10</v>
      </c>
      <c r="H886">
        <f>IF(VLOOKUP(B886,Trades!A:N,4,FALSE)="Long",(F886-VLOOKUP(B886,Trades!A:N,6,FALSE))*G886,(VLOOKUP(B886,Trades!A:N,6,FALSE)-F886)*G886)</f>
        <v>-17.299999999999898</v>
      </c>
      <c r="I886">
        <f>H886/VLOOKUP(B886,Trades!A$1:$N$100794,9,FALSE)</f>
        <v>-1.7299999999999898</v>
      </c>
    </row>
    <row r="887" spans="1:9" x14ac:dyDescent="0.25">
      <c r="A887">
        <f t="shared" si="92"/>
        <v>886</v>
      </c>
      <c r="B887" s="1" t="s">
        <v>1134</v>
      </c>
      <c r="C887" s="1">
        <v>46281</v>
      </c>
      <c r="D887" t="str">
        <f>VLOOKUP(B887,Trades!A$1:N101679,3,FALSE)</f>
        <v>NVDA</v>
      </c>
      <c r="E887" t="s">
        <v>61</v>
      </c>
      <c r="F887">
        <v>214.68</v>
      </c>
      <c r="G887">
        <v>4</v>
      </c>
      <c r="H887">
        <f>IF(VLOOKUP(B887,Trades!A:N,4,FALSE)="Long",(F887-VLOOKUP(B887,Trades!A:N,6,FALSE))*G887,(VLOOKUP(B887,Trades!A:N,6,FALSE)-F887)*G887)</f>
        <v>-2.4800000000000182</v>
      </c>
      <c r="I887">
        <f>H887/VLOOKUP(B887,Trades!A$1:$N$100794,9,FALSE)</f>
        <v>-0.62000000000000455</v>
      </c>
    </row>
    <row r="888" spans="1:9" x14ac:dyDescent="0.25">
      <c r="A888">
        <f t="shared" si="92"/>
        <v>887</v>
      </c>
      <c r="B888" s="1" t="s">
        <v>1135</v>
      </c>
      <c r="C888" s="1">
        <v>46281</v>
      </c>
      <c r="D888" t="str">
        <f>VLOOKUP(B888,Trades!A$1:N101680,3,FALSE)</f>
        <v>ORCL</v>
      </c>
      <c r="E888" t="s">
        <v>61</v>
      </c>
      <c r="F888">
        <v>143.36000000000001</v>
      </c>
      <c r="G888">
        <v>6</v>
      </c>
      <c r="H888">
        <f>IF(VLOOKUP(B888,Trades!A:N,4,FALSE)="Long",(F888-VLOOKUP(B888,Trades!A:N,6,FALSE))*G888,(VLOOKUP(B888,Trades!A:N,6,FALSE)-F888)*G888)</f>
        <v>6.9600000000001501</v>
      </c>
      <c r="I888">
        <f>H888/VLOOKUP(B888,Trades!A$1:$N$100794,9,FALSE)</f>
        <v>1.160000000000025</v>
      </c>
    </row>
    <row r="889" spans="1:9" x14ac:dyDescent="0.25">
      <c r="A889">
        <f t="shared" si="92"/>
        <v>888</v>
      </c>
      <c r="B889" s="1" t="s">
        <v>1136</v>
      </c>
      <c r="C889" s="1">
        <v>46281</v>
      </c>
      <c r="D889" t="str">
        <f>VLOOKUP(B889,Trades!A$1:N101681,3,FALSE)</f>
        <v>AMD</v>
      </c>
      <c r="E889" t="s">
        <v>61</v>
      </c>
      <c r="F889">
        <v>515.67999999999995</v>
      </c>
      <c r="G889">
        <v>2</v>
      </c>
      <c r="H889">
        <f>IF(VLOOKUP(B889,Trades!A:N,4,FALSE)="Long",(F889-VLOOKUP(B889,Trades!A:N,6,FALSE))*G889,(VLOOKUP(B889,Trades!A:N,6,FALSE)-F889)*G889)</f>
        <v>-9.4200000000000728</v>
      </c>
      <c r="I889">
        <f>H889/VLOOKUP(B889,Trades!A$1:$N$100794,9,FALSE)</f>
        <v>-4.7100000000000364</v>
      </c>
    </row>
    <row r="890" spans="1:9" x14ac:dyDescent="0.25">
      <c r="A890">
        <f t="shared" si="92"/>
        <v>889</v>
      </c>
      <c r="B890" s="1" t="s">
        <v>1137</v>
      </c>
      <c r="C890" s="1">
        <v>46281</v>
      </c>
      <c r="D890" t="str">
        <f>VLOOKUP(B890,Trades!A$1:N101682,3,FALSE)</f>
        <v>APP</v>
      </c>
      <c r="E890" t="s">
        <v>61</v>
      </c>
      <c r="F890">
        <v>325.7</v>
      </c>
      <c r="G890">
        <v>1</v>
      </c>
      <c r="H890">
        <f>IF(VLOOKUP(B890,Trades!A:N,4,FALSE)="Long",(F890-VLOOKUP(B890,Trades!A:N,6,FALSE))*G890,(VLOOKUP(B890,Trades!A:N,6,FALSE)-F890)*G890)</f>
        <v>-4.8400000000000318</v>
      </c>
      <c r="I890">
        <f>H890/VLOOKUP(B890,Trades!A$1:$N$100794,9,FALSE)</f>
        <v>-4.8400000000000318</v>
      </c>
    </row>
    <row r="891" spans="1:9" x14ac:dyDescent="0.25">
      <c r="A891">
        <f t="shared" ref="A891:A898" si="93">ROW()-1</f>
        <v>890</v>
      </c>
      <c r="B891" s="1" t="s">
        <v>1138</v>
      </c>
      <c r="C891" s="1">
        <v>46282</v>
      </c>
      <c r="D891" t="str">
        <f>VLOOKUP(B891,Trades!A$1:N101683,3,FALSE)</f>
        <v>MU</v>
      </c>
      <c r="E891" t="s">
        <v>61</v>
      </c>
      <c r="F891">
        <v>983.32</v>
      </c>
      <c r="G891">
        <v>1</v>
      </c>
      <c r="H891">
        <f>IF(VLOOKUP(B891,Trades!A:N,4,FALSE)="Long",(F891-VLOOKUP(B891,Trades!A:N,6,FALSE))*G891,(VLOOKUP(B891,Trades!A:N,6,FALSE)-F891)*G891)</f>
        <v>22.700000000000045</v>
      </c>
      <c r="I891">
        <f>H891/VLOOKUP(B891,Trades!A$1:$N$100794,9,FALSE)</f>
        <v>22.700000000000045</v>
      </c>
    </row>
    <row r="892" spans="1:9" x14ac:dyDescent="0.25">
      <c r="A892">
        <f t="shared" si="93"/>
        <v>891</v>
      </c>
      <c r="B892" s="1" t="s">
        <v>1139</v>
      </c>
      <c r="C892" s="1">
        <v>46282</v>
      </c>
      <c r="D892" t="str">
        <f>VLOOKUP(B892,Trades!A$1:N101684,3,FALSE)</f>
        <v>INTC</v>
      </c>
      <c r="E892" t="s">
        <v>61</v>
      </c>
      <c r="F892">
        <v>108.9</v>
      </c>
      <c r="G892">
        <v>8</v>
      </c>
      <c r="H892">
        <f>IF(VLOOKUP(B892,Trades!A:N,4,FALSE)="Long",(F892-VLOOKUP(B892,Trades!A:N,6,FALSE))*G892,(VLOOKUP(B892,Trades!A:N,6,FALSE)-F892)*G892)</f>
        <v>22.240000000000009</v>
      </c>
      <c r="I892">
        <f>H892/VLOOKUP(B892,Trades!A$1:$N$100794,9,FALSE)</f>
        <v>2.7800000000000011</v>
      </c>
    </row>
    <row r="893" spans="1:9" x14ac:dyDescent="0.25">
      <c r="A893">
        <f t="shared" si="93"/>
        <v>892</v>
      </c>
      <c r="B893" s="1" t="s">
        <v>1140</v>
      </c>
      <c r="C893" s="1">
        <v>46282</v>
      </c>
      <c r="D893" t="str">
        <f>VLOOKUP(B893,Trades!A$1:N101685,3,FALSE)</f>
        <v>APP</v>
      </c>
      <c r="E893" t="s">
        <v>61</v>
      </c>
      <c r="F893">
        <v>316.88</v>
      </c>
      <c r="G893">
        <v>3</v>
      </c>
      <c r="H893">
        <f>IF(VLOOKUP(B893,Trades!A:N,4,FALSE)="Long",(F893-VLOOKUP(B893,Trades!A:N,6,FALSE))*G893,(VLOOKUP(B893,Trades!A:N,6,FALSE)-F893)*G893)</f>
        <v>-9.75</v>
      </c>
      <c r="I893">
        <f>H893/VLOOKUP(B893,Trades!A$1:$N$100794,9,FALSE)</f>
        <v>-3.25</v>
      </c>
    </row>
    <row r="894" spans="1:9" x14ac:dyDescent="0.25">
      <c r="A894">
        <f t="shared" si="93"/>
        <v>893</v>
      </c>
      <c r="B894" s="1" t="s">
        <v>1141</v>
      </c>
      <c r="C894" s="1">
        <v>46282</v>
      </c>
      <c r="D894" t="str">
        <f>VLOOKUP(B894,Trades!A$1:N101686,3,FALSE)</f>
        <v>AMD</v>
      </c>
      <c r="E894" t="s">
        <v>61</v>
      </c>
      <c r="F894">
        <v>543.13</v>
      </c>
      <c r="G894">
        <v>2</v>
      </c>
      <c r="H894">
        <f>IF(VLOOKUP(B894,Trades!A:N,4,FALSE)="Long",(F894-VLOOKUP(B894,Trades!A:N,6,FALSE))*G894,(VLOOKUP(B894,Trades!A:N,6,FALSE)-F894)*G894)</f>
        <v>23.519999999999982</v>
      </c>
      <c r="I894">
        <f>H894/VLOOKUP(B894,Trades!A$1:$N$100794,9,FALSE)</f>
        <v>11.759999999999991</v>
      </c>
    </row>
    <row r="895" spans="1:9" x14ac:dyDescent="0.25">
      <c r="A895">
        <f t="shared" si="93"/>
        <v>894</v>
      </c>
      <c r="B895" s="1" t="s">
        <v>1142</v>
      </c>
      <c r="C895" s="1">
        <v>46282</v>
      </c>
      <c r="D895" t="str">
        <f>VLOOKUP(B895,Trades!A$1:N101687,3,FALSE)</f>
        <v>MU</v>
      </c>
      <c r="E895" t="s">
        <v>61</v>
      </c>
      <c r="F895">
        <v>975.14</v>
      </c>
      <c r="G895">
        <v>1</v>
      </c>
      <c r="H895">
        <f>IF(VLOOKUP(B895,Trades!A:N,4,FALSE)="Long",(F895-VLOOKUP(B895,Trades!A:N,6,FALSE))*G895,(VLOOKUP(B895,Trades!A:N,6,FALSE)-F895)*G895)</f>
        <v>-2.7100000000000364</v>
      </c>
      <c r="I895">
        <f>H895/VLOOKUP(B895,Trades!A$1:$N$100794,9,FALSE)</f>
        <v>-2.7100000000000364</v>
      </c>
    </row>
    <row r="896" spans="1:9" x14ac:dyDescent="0.25">
      <c r="A896">
        <f t="shared" si="93"/>
        <v>895</v>
      </c>
      <c r="B896" s="1" t="s">
        <v>1143</v>
      </c>
      <c r="C896" s="1">
        <v>46282</v>
      </c>
      <c r="D896" t="str">
        <f>VLOOKUP(B896,Trades!A$1:N101688,3,FALSE)</f>
        <v>QBTS</v>
      </c>
      <c r="E896" t="s">
        <v>61</v>
      </c>
      <c r="F896">
        <v>17.670000000000002</v>
      </c>
      <c r="G896">
        <v>20</v>
      </c>
      <c r="H896">
        <f>IF(VLOOKUP(B896,Trades!A:N,4,FALSE)="Long",(F896-VLOOKUP(B896,Trades!A:N,6,FALSE))*G896,(VLOOKUP(B896,Trades!A:N,6,FALSE)-F896)*G896)</f>
        <v>10.800000000000054</v>
      </c>
      <c r="I896">
        <f>H896/VLOOKUP(B896,Trades!A$1:$N$100794,9,FALSE)</f>
        <v>0.5400000000000027</v>
      </c>
    </row>
    <row r="897" spans="1:9" x14ac:dyDescent="0.25">
      <c r="A897">
        <f t="shared" si="93"/>
        <v>896</v>
      </c>
      <c r="B897" s="1" t="s">
        <v>1144</v>
      </c>
      <c r="C897" s="1">
        <v>46282</v>
      </c>
      <c r="D897" t="str">
        <f>VLOOKUP(B897,Trades!A$1:N101689,3,FALSE)</f>
        <v>NVDA</v>
      </c>
      <c r="E897" t="s">
        <v>61</v>
      </c>
      <c r="F897">
        <v>219.44</v>
      </c>
      <c r="G897">
        <v>4</v>
      </c>
      <c r="H897">
        <f>IF(VLOOKUP(B897,Trades!A:N,4,FALSE)="Long",(F897-VLOOKUP(B897,Trades!A:N,6,FALSE))*G897,(VLOOKUP(B897,Trades!A:N,6,FALSE)-F897)*G897)</f>
        <v>3.7599999999999909</v>
      </c>
      <c r="I897">
        <f>H897/VLOOKUP(B897,Trades!A$1:$N$100794,9,FALSE)</f>
        <v>0.93999999999999773</v>
      </c>
    </row>
    <row r="898" spans="1:9" x14ac:dyDescent="0.25">
      <c r="A898">
        <f t="shared" si="93"/>
        <v>897</v>
      </c>
      <c r="B898" s="1" t="s">
        <v>1145</v>
      </c>
      <c r="C898" s="1">
        <v>46282</v>
      </c>
      <c r="D898" t="str">
        <f>VLOOKUP(B898,Trades!A$1:N101690,3,FALSE)</f>
        <v>META</v>
      </c>
      <c r="E898" t="s">
        <v>61</v>
      </c>
      <c r="F898">
        <v>682.52</v>
      </c>
      <c r="G898">
        <v>1</v>
      </c>
      <c r="H898">
        <f>IF(VLOOKUP(B898,Trades!A:N,4,FALSE)="Long",(F898-VLOOKUP(B898,Trades!A:N,6,FALSE))*G898,(VLOOKUP(B898,Trades!A:N,6,FALSE)-F898)*G898)</f>
        <v>6.1599999999999682</v>
      </c>
      <c r="I898">
        <f>H898/VLOOKUP(B898,Trades!A$1:$N$100794,9,FALSE)</f>
        <v>6.1599999999999682</v>
      </c>
    </row>
    <row r="899" spans="1:9" x14ac:dyDescent="0.25">
      <c r="A899">
        <f>ROW()-1</f>
        <v>898</v>
      </c>
      <c r="B899" s="1" t="s">
        <v>1146</v>
      </c>
      <c r="C899" s="1">
        <v>46283</v>
      </c>
      <c r="D899" t="str">
        <f>VLOOKUP(B899,Trades!A$1:N101691,3,FALSE)</f>
        <v>NFLX</v>
      </c>
      <c r="E899" t="s">
        <v>61</v>
      </c>
      <c r="F899">
        <v>71.25</v>
      </c>
      <c r="G899">
        <v>4</v>
      </c>
      <c r="H899">
        <f>IF(VLOOKUP(B899,Trades!A:N,4,FALSE)="Long",(F899-VLOOKUP(B899,Trades!A:N,6,FALSE))*G899,(VLOOKUP(B899,Trades!A:N,6,FALSE)-F899)*G899)</f>
        <v>-22.720000000000027</v>
      </c>
      <c r="I899">
        <f>H899/VLOOKUP(B899,Trades!A$1:$N$100794,9,FALSE)</f>
        <v>-5.6800000000000068</v>
      </c>
    </row>
    <row r="900" spans="1:9" x14ac:dyDescent="0.25">
      <c r="A900">
        <f>ROW()-1</f>
        <v>899</v>
      </c>
      <c r="B900" s="1" t="s">
        <v>1147</v>
      </c>
      <c r="C900" s="1">
        <v>46283</v>
      </c>
      <c r="D900" t="str">
        <f>VLOOKUP(B900,Trades!A$1:N101692,3,FALSE)</f>
        <v>GOOG</v>
      </c>
      <c r="E900" t="s">
        <v>61</v>
      </c>
      <c r="F900">
        <v>349.56</v>
      </c>
      <c r="G900">
        <v>3</v>
      </c>
      <c r="H900">
        <f>IF(VLOOKUP(B900,Trades!A:N,4,FALSE)="Long",(F900-VLOOKUP(B900,Trades!A:N,6,FALSE))*G900,(VLOOKUP(B900,Trades!A:N,6,FALSE)-F900)*G900)</f>
        <v>-8.9700000000000273</v>
      </c>
      <c r="I900">
        <f>H900/VLOOKUP(B900,Trades!A$1:$N$100794,9,FALSE)</f>
        <v>-2.9900000000000091</v>
      </c>
    </row>
    <row r="901" spans="1:9" x14ac:dyDescent="0.25">
      <c r="A901">
        <f>ROW()-1</f>
        <v>900</v>
      </c>
      <c r="B901" s="1" t="s">
        <v>1148</v>
      </c>
      <c r="C901" s="1">
        <v>46283</v>
      </c>
      <c r="D901" t="str">
        <f>VLOOKUP(B901,Trades!A$1:N101693,3,FALSE)</f>
        <v>AMD</v>
      </c>
      <c r="E901" t="s">
        <v>61</v>
      </c>
      <c r="F901">
        <v>543.65</v>
      </c>
      <c r="G901">
        <v>2</v>
      </c>
      <c r="H901">
        <f>IF(VLOOKUP(B901,Trades!A:N,4,FALSE)="Long",(F901-VLOOKUP(B901,Trades!A:N,6,FALSE))*G901,(VLOOKUP(B901,Trades!A:N,6,FALSE)-F901)*G901)</f>
        <v>-10.519999999999982</v>
      </c>
      <c r="I901">
        <f>H901/VLOOKUP(B901,Trades!A$1:$N$100794,9,FALSE)</f>
        <v>-5.2599999999999909</v>
      </c>
    </row>
    <row r="902" spans="1:9" x14ac:dyDescent="0.25">
      <c r="A902">
        <f>ROW()-1</f>
        <v>901</v>
      </c>
      <c r="B902" s="1" t="s">
        <v>1149</v>
      </c>
      <c r="C902" s="1">
        <v>46283</v>
      </c>
      <c r="D902" t="str">
        <f>VLOOKUP(B902,Trades!A$1:N101694,3,FALSE)</f>
        <v>META</v>
      </c>
      <c r="E902" t="s">
        <v>61</v>
      </c>
      <c r="F902">
        <v>671.41</v>
      </c>
      <c r="G902">
        <v>2</v>
      </c>
      <c r="H902">
        <f>IF(VLOOKUP(B902,Trades!A:N,4,FALSE)="Long",(F902-VLOOKUP(B902,Trades!A:N,6,FALSE))*G902,(VLOOKUP(B902,Trades!A:N,6,FALSE)-F902)*G902)</f>
        <v>-5.6800000000000637</v>
      </c>
      <c r="I902">
        <f>H902/VLOOKUP(B902,Trades!A$1:$N$100794,9,FALSE)</f>
        <v>-2.8400000000000318</v>
      </c>
    </row>
    <row r="903" spans="1:9" x14ac:dyDescent="0.25">
      <c r="A903">
        <f>ROW()-1</f>
        <v>902</v>
      </c>
      <c r="B903" s="1" t="s">
        <v>1150</v>
      </c>
      <c r="C903" s="1">
        <v>46283</v>
      </c>
      <c r="D903" t="str">
        <f>VLOOKUP(B903,Trades!A$1:N101695,3,FALSE)</f>
        <v>NVDA</v>
      </c>
      <c r="E903" t="s">
        <v>61</v>
      </c>
      <c r="F903">
        <v>219.37</v>
      </c>
      <c r="G903">
        <v>4</v>
      </c>
      <c r="H903">
        <f>IF(VLOOKUP(B903,Trades!A:N,4,FALSE)="Long",(F903-VLOOKUP(B903,Trades!A:N,6,FALSE))*G903,(VLOOKUP(B903,Trades!A:N,6,FALSE)-F903)*G903)</f>
        <v>3.999999999996362E-2</v>
      </c>
      <c r="I903">
        <f>H903/VLOOKUP(B903,Trades!A$1:$N$100794,9,FALSE)</f>
        <v>9.9999999999909051E-3</v>
      </c>
    </row>
    <row r="904" spans="1:9" x14ac:dyDescent="0.25">
      <c r="A904">
        <f>ROW()-1</f>
        <v>903</v>
      </c>
      <c r="B904" s="1" t="s">
        <v>1151</v>
      </c>
      <c r="C904" s="1">
        <v>46283</v>
      </c>
      <c r="D904" t="str">
        <f>VLOOKUP(B904,Trades!A$1:N101696,3,FALSE)</f>
        <v>MU</v>
      </c>
      <c r="E904" t="s">
        <v>61</v>
      </c>
      <c r="F904">
        <v>1004.7</v>
      </c>
      <c r="G904">
        <v>1</v>
      </c>
      <c r="H904">
        <f>IF(VLOOKUP(B904,Trades!A:N,4,FALSE)="Long",(F904-VLOOKUP(B904,Trades!A:N,6,FALSE))*G904,(VLOOKUP(B904,Trades!A:N,6,FALSE)-F904)*G904)</f>
        <v>20.330000000000041</v>
      </c>
      <c r="I904">
        <f>H904/VLOOKUP(B904,Trades!A$1:$N$100794,9,FALSE)</f>
        <v>20.330000000000041</v>
      </c>
    </row>
    <row r="905" spans="1:9" x14ac:dyDescent="0.25">
      <c r="A905">
        <f>ROW()-1</f>
        <v>904</v>
      </c>
      <c r="B905" s="1" t="s">
        <v>1152</v>
      </c>
      <c r="C905" s="1">
        <v>46283</v>
      </c>
      <c r="D905" t="str">
        <f>VLOOKUP(B905,Trades!A$1:N101697,3,FALSE)</f>
        <v>AFRM</v>
      </c>
      <c r="E905" t="s">
        <v>61</v>
      </c>
      <c r="F905">
        <v>70.89</v>
      </c>
      <c r="G905">
        <v>10</v>
      </c>
      <c r="H905">
        <f>IF(VLOOKUP(B905,Trades!A:N,4,FALSE)="Long",(F905-VLOOKUP(B905,Trades!A:N,6,FALSE))*G905,(VLOOKUP(B905,Trades!A:N,6,FALSE)-F905)*G905)</f>
        <v>2.6000000000000512</v>
      </c>
      <c r="I905">
        <f>H905/VLOOKUP(B905,Trades!A$1:$N$100794,9,FALSE)</f>
        <v>0.26000000000000512</v>
      </c>
    </row>
    <row r="906" spans="1:9" x14ac:dyDescent="0.25">
      <c r="C906" s="1"/>
    </row>
  </sheetData>
  <dataValidations count="2">
    <dataValidation type="list" allowBlank="1" showInputMessage="1" showErrorMessage="1" sqref="E2:E905" xr:uid="{9C25687B-DEF5-4411-BA9A-40CB4D950704}">
      <formula1>"Sell,Cover"</formula1>
    </dataValidation>
    <dataValidation type="list" allowBlank="1" showInputMessage="1" showErrorMessage="1" sqref="E906:E1048576" xr:uid="{05958E25-911C-4ED3-A0F6-7B25054B7856}">
      <formula1>$E$2:$E100905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4C81-5CF1-4DFA-99E6-729F5B0DC763}">
  <sheetPr codeName="Hoja3"/>
  <dimension ref="A1:I15"/>
  <sheetViews>
    <sheetView workbookViewId="0">
      <selection activeCell="A8" sqref="A8"/>
    </sheetView>
  </sheetViews>
  <sheetFormatPr baseColWidth="10" defaultRowHeight="15" x14ac:dyDescent="0.25"/>
  <cols>
    <col min="1" max="1" width="18" bestFit="1" customWidth="1"/>
    <col min="5" max="6" width="13.5703125" customWidth="1"/>
    <col min="7" max="7" width="14.28515625" bestFit="1" customWidth="1"/>
    <col min="8" max="8" width="11.7109375" bestFit="1" customWidth="1"/>
  </cols>
  <sheetData>
    <row r="1" spans="1:9" x14ac:dyDescent="0.25">
      <c r="A1" t="s">
        <v>39</v>
      </c>
      <c r="B1" t="s">
        <v>40</v>
      </c>
      <c r="C1" t="s">
        <v>55</v>
      </c>
      <c r="D1" t="s">
        <v>56</v>
      </c>
      <c r="E1" t="s">
        <v>12</v>
      </c>
      <c r="F1" t="s">
        <v>5</v>
      </c>
      <c r="G1" t="s">
        <v>57</v>
      </c>
      <c r="H1" t="s">
        <v>13</v>
      </c>
      <c r="I1" t="s">
        <v>41</v>
      </c>
    </row>
    <row r="2" spans="1:9" x14ac:dyDescent="0.25">
      <c r="A2" t="s">
        <v>29</v>
      </c>
      <c r="B2">
        <f>COUNTIF(Trades!E:E,A2)</f>
        <v>6</v>
      </c>
      <c r="C2">
        <f>COUNTIFS(Trades!E:E, A2,Trades!N:N, "&gt;0")</f>
        <v>2</v>
      </c>
      <c r="D2">
        <f>COUNTIFS(Trades!E:E, A2, Trades!N:N, "&lt;0")</f>
        <v>4</v>
      </c>
      <c r="E2">
        <f>IFERROR(C2/B2,0)</f>
        <v>0.33333333333333331</v>
      </c>
      <c r="F2">
        <f>SUMIF(Trades!E:E,A2,Trades!O:O)</f>
        <v>1.3303423397487042</v>
      </c>
      <c r="G2">
        <f>IFERROR(F2/B2,0)</f>
        <v>0.22172372329145071</v>
      </c>
      <c r="H2">
        <f>IFERROR( SUMIFS(Trades!N:N, Trades!E:E, A2, Trades!N:N, "&gt;0")/ABS(SUMIFS(Trades!N:N,Trades!E:E, A2,Trades!N:N,"&lt;0")),0)</f>
        <v>1.7119198527908432</v>
      </c>
      <c r="I2">
        <f>IFERROR(F2/B2,0)</f>
        <v>0.22172372329145071</v>
      </c>
    </row>
    <row r="3" spans="1:9" x14ac:dyDescent="0.25">
      <c r="A3" t="s">
        <v>49</v>
      </c>
      <c r="B3">
        <f>COUNTIF(Trades!E:E,A3)</f>
        <v>22</v>
      </c>
      <c r="C3">
        <f>COUNTIFS(Trades!E:E, A3,Trades!N:N, "&gt;0")</f>
        <v>6</v>
      </c>
      <c r="D3">
        <f>COUNTIFS(Trades!E:E, A3, Trades!N:N, "&lt;0")</f>
        <v>16</v>
      </c>
      <c r="E3">
        <f t="shared" ref="E3:E15" si="0">IFERROR(C3/B3,0)</f>
        <v>0.27272727272727271</v>
      </c>
      <c r="F3">
        <f>SUMIF(Trades!E:E,A3,Trades!O:O)</f>
        <v>2.465170180500631</v>
      </c>
      <c r="G3">
        <f t="shared" ref="G3:G15" si="1">IFERROR(F3/B3,0)</f>
        <v>0.11205319002275595</v>
      </c>
      <c r="H3">
        <f>IFERROR( SUMIFS(Trades!N:N, Trades!E:E, A3, Trades!N:N, "&gt;0")/ABS(SUMIFS(Trades!N:N, Trades!E:E, A3, Trades!N:N,"&lt;0")),0)</f>
        <v>1.2277012327773762</v>
      </c>
      <c r="I3">
        <f t="shared" ref="I3:I15" si="2">IFERROR(F3/B3,0)</f>
        <v>0.11205319002275595</v>
      </c>
    </row>
    <row r="4" spans="1:9" x14ac:dyDescent="0.25">
      <c r="A4" t="s">
        <v>50</v>
      </c>
      <c r="B4">
        <f>COUNTIF(Trades!E:E,A4)</f>
        <v>12</v>
      </c>
      <c r="C4">
        <f>COUNTIFS(Trades!E:E, A4,Trades!N:N, "&gt;0")</f>
        <v>2</v>
      </c>
      <c r="D4">
        <f>COUNTIFS(Trades!E:E, A4, Trades!N:N, "&lt;0")</f>
        <v>10</v>
      </c>
      <c r="E4">
        <f t="shared" si="0"/>
        <v>0.16666666666666666</v>
      </c>
      <c r="F4">
        <f>SUMIF(Trades!E:E,A4,Trades!O:O)</f>
        <v>-9.5633094830686787</v>
      </c>
      <c r="G4">
        <f t="shared" si="1"/>
        <v>-0.79694245692238985</v>
      </c>
      <c r="H4">
        <f>IFERROR( SUMIFS(Trades!N:N, Trades!E:E, A4, Trades!N:N, "&gt;0")/ABS(SUMIFS(Trades!N:N, Trades!E:E, A4, Trades!N:N,"&lt;0")),0)</f>
        <v>6.2347330464115447E-2</v>
      </c>
      <c r="I4">
        <f t="shared" si="2"/>
        <v>-0.79694245692238985</v>
      </c>
    </row>
    <row r="5" spans="1:9" x14ac:dyDescent="0.25">
      <c r="A5" t="s">
        <v>27</v>
      </c>
      <c r="B5">
        <f>COUNTIF(Trades!E:E,A5)</f>
        <v>82</v>
      </c>
      <c r="C5">
        <f>COUNTIFS(Trades!E:E, A5,Trades!N:N, "&gt;0")</f>
        <v>33</v>
      </c>
      <c r="D5">
        <f>COUNTIFS(Trades!E:E, A5, Trades!N:N, "&lt;0")</f>
        <v>48</v>
      </c>
      <c r="E5">
        <f t="shared" si="0"/>
        <v>0.40243902439024393</v>
      </c>
      <c r="F5">
        <f>SUMIF(Trades!E:E,A5,Trades!O:O)</f>
        <v>-8.3656995637412415</v>
      </c>
      <c r="G5">
        <f t="shared" si="1"/>
        <v>-0.10202072638708831</v>
      </c>
      <c r="H5">
        <f>IFERROR( SUMIFS(Trades!N:N, Trades!E:E, A5, Trades!N:N, "&gt;0")/ABS(SUMIFS(Trades!N:N, Trades!E:E, A5, Trades!N:N,"&lt;0")),0)</f>
        <v>0.88476408677597318</v>
      </c>
      <c r="I5">
        <f t="shared" si="2"/>
        <v>-0.10202072638708831</v>
      </c>
    </row>
    <row r="6" spans="1:9" x14ac:dyDescent="0.25">
      <c r="A6" t="s">
        <v>51</v>
      </c>
      <c r="B6">
        <f>COUNTIF(Trades!E:E,A6)</f>
        <v>45</v>
      </c>
      <c r="C6">
        <f>COUNTIFS(Trades!E:E, A6,Trades!N:N, "&gt;0")</f>
        <v>15</v>
      </c>
      <c r="D6">
        <f>COUNTIFS(Trades!E:E, A6, Trades!N:N, "&lt;0")</f>
        <v>30</v>
      </c>
      <c r="E6">
        <f t="shared" si="0"/>
        <v>0.33333333333333331</v>
      </c>
      <c r="F6">
        <f>SUMIF(Trades!E:E,A6,Trades!O:O)</f>
        <v>13.060146783712261</v>
      </c>
      <c r="G6">
        <f t="shared" si="1"/>
        <v>0.29022548408249471</v>
      </c>
      <c r="H6">
        <f>IFERROR( SUMIFS(Trades!N:N, Trades!E:E, A6, Trades!N:N, "&gt;0")/ABS(SUMIFS(Trades!N:N, Trades!E:E, A6, Trades!N:N,"&lt;0")),0)</f>
        <v>1.0007640932759809</v>
      </c>
      <c r="I6">
        <f t="shared" si="2"/>
        <v>0.29022548408249471</v>
      </c>
    </row>
    <row r="7" spans="1:9" x14ac:dyDescent="0.25">
      <c r="A7" t="s">
        <v>52</v>
      </c>
      <c r="B7">
        <f>COUNTIF(Trades!E:E,A7)</f>
        <v>7</v>
      </c>
      <c r="C7">
        <f>COUNTIFS(Trades!E:E, A7,Trades!N:N, "&gt;0")</f>
        <v>5</v>
      </c>
      <c r="D7">
        <f>COUNTIFS(Trades!E:E, A7, Trades!N:N, "&lt;0")</f>
        <v>2</v>
      </c>
      <c r="E7">
        <f t="shared" si="0"/>
        <v>0.7142857142857143</v>
      </c>
      <c r="F7">
        <f>SUMIF(Trades!E:E,A7,Trades!O:O)</f>
        <v>8.5561251809556875</v>
      </c>
      <c r="G7">
        <f t="shared" si="1"/>
        <v>1.2223035972793839</v>
      </c>
      <c r="H7">
        <f>IFERROR( SUMIFS(Trades!N:N, Trades!E:E, A7, Trades!N:N, "&gt;0")/ABS(SUMIFS(Trades!N:N, Trades!E:E, A7, Trades!N:N,"&lt;0")),0)</f>
        <v>1.3783012791018678</v>
      </c>
      <c r="I7">
        <f t="shared" si="2"/>
        <v>1.2223035972793839</v>
      </c>
    </row>
    <row r="8" spans="1:9" x14ac:dyDescent="0.25">
      <c r="A8" t="s">
        <v>1068</v>
      </c>
      <c r="B8">
        <f>COUNTIF(Trades!E:E,A8)</f>
        <v>5</v>
      </c>
      <c r="C8">
        <f>COUNTIFS(Trades!E:E, A8,Trades!N:N, "&gt;0")</f>
        <v>0</v>
      </c>
      <c r="D8">
        <f>COUNTIFS(Trades!E:E, A8, Trades!N:N, "&lt;0")</f>
        <v>5</v>
      </c>
      <c r="E8">
        <f>IFERROR(C8/B8,0)</f>
        <v>0</v>
      </c>
      <c r="F8">
        <f>SUMIF(Trades!E:E,A8,Trades!O:O)</f>
        <v>-5.5879273057113252</v>
      </c>
      <c r="G8">
        <f>IFERROR(F8/B8,0)</f>
        <v>-1.1175854611422651</v>
      </c>
      <c r="H8">
        <f>IFERROR( SUMIFS(Trades!N:N, Trades!E:E, A8, Trades!N:N, "&gt;0")/ABS(SUMIFS(Trades!N:N, Trades!E:E, A8, Trades!N:N,"&lt;0")),0)</f>
        <v>0</v>
      </c>
      <c r="I8">
        <f>IFERROR(F8/B8,0)</f>
        <v>-1.1175854611422651</v>
      </c>
    </row>
    <row r="9" spans="1:9" x14ac:dyDescent="0.25">
      <c r="A9" t="s">
        <v>1069</v>
      </c>
      <c r="B9">
        <f>COUNTIF(Trades!E:E,A9)</f>
        <v>0</v>
      </c>
      <c r="C9">
        <f>COUNTIFS(Trades!E:E, A9,Trades!N:N, "&gt;0")</f>
        <v>0</v>
      </c>
      <c r="D9">
        <f>COUNTIFS(Trades!E:E, A9, Trades!N:N, "&lt;0")</f>
        <v>0</v>
      </c>
      <c r="E9">
        <f>IFERROR(C9/B9,0)</f>
        <v>0</v>
      </c>
      <c r="F9">
        <f>SUMIF(Trades!E:E,A9,Trades!O:O)</f>
        <v>0</v>
      </c>
      <c r="G9">
        <f>IFERROR(F9/B9,0)</f>
        <v>0</v>
      </c>
      <c r="H9">
        <f>IFERROR( SUMIFS(Trades!N:N, Trades!E:E, A9, Trades!N:N, "&gt;0")/ABS(SUMIFS(Trades!N:N, Trades!E:E, A9, Trades!N:N,"&lt;0")),0)</f>
        <v>0</v>
      </c>
      <c r="I9">
        <f>IFERROR(F9/B9,0)</f>
        <v>0</v>
      </c>
    </row>
    <row r="10" spans="1:9" x14ac:dyDescent="0.25">
      <c r="A10" t="s">
        <v>53</v>
      </c>
      <c r="B10">
        <f>COUNTIF(Trades!E:E,A10)</f>
        <v>4</v>
      </c>
      <c r="C10">
        <f>COUNTIFS(Trades!E:E, A10,Trades!N:N, "&gt;0")</f>
        <v>1</v>
      </c>
      <c r="D10">
        <f>COUNTIFS(Trades!E:E, A10, Trades!N:N, "&lt;0")</f>
        <v>3</v>
      </c>
      <c r="E10">
        <f t="shared" si="0"/>
        <v>0.25</v>
      </c>
      <c r="F10">
        <f>SUMIF(Trades!E:E,A10,Trades!O:O)</f>
        <v>-0.94635211267605923</v>
      </c>
      <c r="G10">
        <f t="shared" si="1"/>
        <v>-0.23658802816901481</v>
      </c>
      <c r="H10">
        <f>IFERROR( SUMIFS(Trades!N:N, Trades!E:E, A10, Trades!N:N, "&gt;0")/ABS(SUMIFS(Trades!N:N, Trades!E:E, A10, Trades!N:N,"&lt;0")),0)</f>
        <v>8.8225118210125505E-2</v>
      </c>
      <c r="I10">
        <f t="shared" si="2"/>
        <v>-0.23658802816901481</v>
      </c>
    </row>
    <row r="11" spans="1:9" x14ac:dyDescent="0.25">
      <c r="A11" t="s">
        <v>58</v>
      </c>
      <c r="B11">
        <f>COUNTIF(Trades!E:E,A11)</f>
        <v>435</v>
      </c>
      <c r="C11">
        <f>COUNTIFS(Trades!E:E, A11,Trades!N:N, "&gt;0")</f>
        <v>161</v>
      </c>
      <c r="D11">
        <f>COUNTIFS(Trades!E:E, A11, Trades!N:N, "&lt;0")</f>
        <v>272</v>
      </c>
      <c r="E11">
        <f>IFERROR(C11/B11,0)</f>
        <v>0.37011494252873561</v>
      </c>
      <c r="F11">
        <f>SUMIF(Trades!E:E,A11,Trades!O:O)</f>
        <v>45.117816666073452</v>
      </c>
      <c r="G11">
        <f t="shared" si="1"/>
        <v>0.10371911877258265</v>
      </c>
      <c r="H11">
        <f>IFERROR( SUMIFS(Trades!N:N, Trades!E:E, A11, Trades!N:N, "&gt;0")/ABS(SUMIFS(Trades!N:N, Trades!E:E, A11, Trades!N:N,"&lt;0")),0)</f>
        <v>1.0450799350370863</v>
      </c>
      <c r="I11">
        <f t="shared" si="2"/>
        <v>0.10371911877258265</v>
      </c>
    </row>
    <row r="12" spans="1:9" x14ac:dyDescent="0.25">
      <c r="A12" t="s">
        <v>60</v>
      </c>
      <c r="B12">
        <f>COUNTIF(Trades!E:E,A12)</f>
        <v>32</v>
      </c>
      <c r="C12">
        <f>COUNTIFS(Trades!E:E, A12,Trades!N:N, "&gt;0")</f>
        <v>5</v>
      </c>
      <c r="D12">
        <f>COUNTIFS(Trades!E:E, A12, Trades!N:N, "&lt;0")</f>
        <v>27</v>
      </c>
      <c r="E12">
        <f>IFERROR(C12/B12,0)</f>
        <v>0.15625</v>
      </c>
      <c r="F12">
        <f>SUMIF(Trades!E:E,A12,Trades!O:O)</f>
        <v>-21.705442361518394</v>
      </c>
      <c r="G12">
        <f>IFERROR(F12/B12,0)</f>
        <v>-0.6782950737974498</v>
      </c>
      <c r="H12">
        <f>IFERROR( SUMIFS(Trades!N:N, Trades!E:E, A12, Trades!N:N, "&gt;0")/ABS(SUMIFS(Trades!N:N, Trades!E:E, A12, Trades!N:N,"&lt;0")),0)</f>
        <v>0.11273932763217126</v>
      </c>
      <c r="I12">
        <f>IFERROR(F12/B12,0)</f>
        <v>-0.6782950737974498</v>
      </c>
    </row>
    <row r="13" spans="1:9" x14ac:dyDescent="0.25">
      <c r="A13" t="s">
        <v>112</v>
      </c>
      <c r="B13">
        <f>COUNTIF(Trades!E:E,A13)</f>
        <v>2</v>
      </c>
      <c r="C13">
        <f>COUNTIFS(Trades!E:E, A13,Trades!N:N, "&gt;0")</f>
        <v>0</v>
      </c>
      <c r="D13">
        <f>COUNTIFS(Trades!E:E, A13, Trades!N:N, "&lt;0")</f>
        <v>1</v>
      </c>
      <c r="E13">
        <f>IFERROR(C13/B13,0)</f>
        <v>0</v>
      </c>
      <c r="F13">
        <f>SUMIF(Trades!E:E,A13,Trades!O:O)</f>
        <v>-0.92996108949416356</v>
      </c>
      <c r="G13">
        <f>IFERROR(F13/B13,0)</f>
        <v>-0.46498054474708178</v>
      </c>
      <c r="H13">
        <f>IFERROR( SUMIFS(Trades!N:N, Trades!E:E, A13, Trades!N:N, "&gt;0")/ABS(SUMIFS(Trades!N:N, Trades!E:E, A13, Trades!N:N,"&lt;0")),0)</f>
        <v>0</v>
      </c>
      <c r="I13">
        <f>IFERROR(F13/B13,0)</f>
        <v>-0.46498054474708178</v>
      </c>
    </row>
    <row r="14" spans="1:9" x14ac:dyDescent="0.25">
      <c r="A14" t="s">
        <v>119</v>
      </c>
      <c r="B14">
        <f>COUNTIF(Trades!E:E,A14)</f>
        <v>221</v>
      </c>
      <c r="C14">
        <f>COUNTIFS(Trades!E:E, A14,Trades!N:N, "&gt;0")</f>
        <v>76</v>
      </c>
      <c r="D14">
        <f>COUNTIFS(Trades!E:E, A14, Trades!N:N, "&lt;0")</f>
        <v>145</v>
      </c>
      <c r="E14">
        <f>IFERROR(C14/B14,0)</f>
        <v>0.34389140271493213</v>
      </c>
      <c r="F14">
        <f>SUMIF(Trades!E:E,A14,Trades!O:O)</f>
        <v>-19.069511701440526</v>
      </c>
      <c r="G14">
        <f>IFERROR(F14/B14,0)</f>
        <v>-8.6287383264436773E-2</v>
      </c>
      <c r="H14">
        <f>IFERROR( SUMIFS(Trades!N:N, Trades!E:E, A14, Trades!N:N, "&gt;0")/ABS(SUMIFS(Trades!N:N, Trades!E:E, A14, Trades!N:N,"&lt;0")),0)</f>
        <v>0.91590507075471639</v>
      </c>
      <c r="I14">
        <f>IFERROR(F14/B14,0)</f>
        <v>-8.6287383264436773E-2</v>
      </c>
    </row>
    <row r="15" spans="1:9" x14ac:dyDescent="0.25">
      <c r="A15" t="s">
        <v>54</v>
      </c>
      <c r="B15">
        <f>COUNTIF(Trades!E:E,A15)</f>
        <v>2</v>
      </c>
      <c r="C15">
        <f>COUNTIFS(Trades!E:E, A15,Trades!N:N, "&gt;0")</f>
        <v>2</v>
      </c>
      <c r="D15">
        <f>COUNTIFS(Trades!E:E, A15, Trades!N:N, "&lt;0")</f>
        <v>0</v>
      </c>
      <c r="E15">
        <f t="shared" si="0"/>
        <v>1</v>
      </c>
      <c r="F15">
        <f>SUMIF(Trades!E:E,A15,Trades!O:O)</f>
        <v>3.8330080270384563</v>
      </c>
      <c r="G15">
        <f t="shared" si="1"/>
        <v>1.9165040135192282</v>
      </c>
      <c r="H15">
        <f>IFERROR( SUMIFS(Trades!N:N, Trades!E:E, A15, Trades!N:N, "&gt;0")/ABS(SUMIFS(Trades!N:N, Trades!E:E, A15, Trades!N:N,"&lt;0")),0)</f>
        <v>0</v>
      </c>
      <c r="I15">
        <f t="shared" si="2"/>
        <v>1.9165040135192282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EB4E-7DDA-44EB-AEDC-C293E2BD344F}">
  <sheetPr codeName="Hoja4"/>
  <dimension ref="A1:F5"/>
  <sheetViews>
    <sheetView workbookViewId="0">
      <selection activeCell="F5" sqref="F5"/>
    </sheetView>
  </sheetViews>
  <sheetFormatPr baseColWidth="10" defaultRowHeight="15" x14ac:dyDescent="0.25"/>
  <cols>
    <col min="3" max="3" width="12.7109375" bestFit="1" customWidth="1"/>
    <col min="6" max="6" width="172.7109375" bestFit="1" customWidth="1"/>
  </cols>
  <sheetData>
    <row r="1" spans="1:6" x14ac:dyDescent="0.25">
      <c r="A1" t="s">
        <v>0</v>
      </c>
      <c r="B1" t="s">
        <v>1</v>
      </c>
      <c r="C1" t="s">
        <v>10</v>
      </c>
      <c r="D1" t="s">
        <v>11</v>
      </c>
      <c r="E1" t="s">
        <v>42</v>
      </c>
      <c r="F1" t="s">
        <v>6</v>
      </c>
    </row>
    <row r="2" spans="1:6" x14ac:dyDescent="0.25">
      <c r="A2" t="s">
        <v>70</v>
      </c>
      <c r="B2" s="1">
        <v>46077</v>
      </c>
      <c r="C2" t="s">
        <v>62</v>
      </c>
      <c r="D2" t="s">
        <v>63</v>
      </c>
      <c r="E2">
        <v>-1</v>
      </c>
      <c r="F2" t="s">
        <v>64</v>
      </c>
    </row>
    <row r="3" spans="1:6" x14ac:dyDescent="0.25">
      <c r="A3" t="s">
        <v>77</v>
      </c>
      <c r="B3" s="1">
        <v>46078</v>
      </c>
      <c r="C3" t="s">
        <v>62</v>
      </c>
      <c r="D3" t="s">
        <v>78</v>
      </c>
      <c r="E3">
        <v>0</v>
      </c>
      <c r="F3" t="s">
        <v>79</v>
      </c>
    </row>
    <row r="4" spans="1:6" x14ac:dyDescent="0.25">
      <c r="A4" t="s">
        <v>114</v>
      </c>
      <c r="B4" s="1">
        <v>46098</v>
      </c>
      <c r="C4" t="s">
        <v>62</v>
      </c>
      <c r="D4" t="s">
        <v>63</v>
      </c>
      <c r="E4">
        <v>0</v>
      </c>
      <c r="F4" t="s">
        <v>115</v>
      </c>
    </row>
    <row r="5" spans="1:6" x14ac:dyDescent="0.25">
      <c r="A5" t="s">
        <v>124</v>
      </c>
      <c r="B5" s="1">
        <v>46101</v>
      </c>
      <c r="C5" t="s">
        <v>62</v>
      </c>
      <c r="D5" t="s">
        <v>78</v>
      </c>
      <c r="E5">
        <v>-19.71</v>
      </c>
      <c r="F5" t="s">
        <v>125</v>
      </c>
    </row>
  </sheetData>
  <dataValidations count="3">
    <dataValidation type="list" allowBlank="1" showInputMessage="1" showErrorMessage="1" sqref="C6:C1048576" xr:uid="{E90ED070-6DC6-4337-8AA1-210BB22EB913}">
      <formula1>"Emotiona,Technical"</formula1>
    </dataValidation>
    <dataValidation type="list" allowBlank="1" showInputMessage="1" showErrorMessage="1" sqref="C2:C5" xr:uid="{88B7214E-8E9D-4081-B0FD-1297110AC3FE}">
      <formula1>"Emotional,Technical"</formula1>
    </dataValidation>
    <dataValidation type="list" allowBlank="1" showInputMessage="1" showErrorMessage="1" sqref="D2:D3" xr:uid="{755AB45C-937B-4D2F-B341-462975D65465}">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9AA8-1460-4395-A15C-3B2C7C158D6A}">
  <sheetPr codeName="Hoja5"/>
  <dimension ref="A1:J7"/>
  <sheetViews>
    <sheetView workbookViewId="0">
      <selection activeCell="E7" sqref="E7"/>
    </sheetView>
  </sheetViews>
  <sheetFormatPr baseColWidth="10" defaultRowHeight="15" x14ac:dyDescent="0.25"/>
  <cols>
    <col min="2" max="2" width="15.28515625" bestFit="1" customWidth="1"/>
    <col min="3" max="3" width="12.7109375" bestFit="1" customWidth="1"/>
    <col min="4" max="4" width="7" bestFit="1" customWidth="1"/>
    <col min="5" max="5" width="56.7109375" customWidth="1"/>
    <col min="6" max="6" width="10.85546875" customWidth="1"/>
    <col min="7" max="7" width="65.140625" customWidth="1"/>
    <col min="8" max="8" width="64.28515625" customWidth="1"/>
    <col min="9" max="9" width="12.42578125" bestFit="1" customWidth="1"/>
  </cols>
  <sheetData>
    <row r="1" spans="1:10" ht="30" x14ac:dyDescent="0.25">
      <c r="A1" t="s">
        <v>1</v>
      </c>
      <c r="B1" t="s">
        <v>43</v>
      </c>
      <c r="C1" t="s">
        <v>14</v>
      </c>
      <c r="D1" t="s">
        <v>44</v>
      </c>
      <c r="E1" t="s">
        <v>45</v>
      </c>
      <c r="F1" s="2" t="s">
        <v>46</v>
      </c>
      <c r="G1" t="s">
        <v>47</v>
      </c>
      <c r="H1" t="s">
        <v>48</v>
      </c>
      <c r="I1" t="s">
        <v>15</v>
      </c>
      <c r="J1" t="s">
        <v>16</v>
      </c>
    </row>
    <row r="2" spans="1:10" ht="30" x14ac:dyDescent="0.25">
      <c r="A2" s="1">
        <v>46077</v>
      </c>
      <c r="B2">
        <v>9076</v>
      </c>
      <c r="C2">
        <v>9117</v>
      </c>
      <c r="D2">
        <f>C2-B2</f>
        <v>41</v>
      </c>
      <c r="E2" s="2" t="s">
        <v>80</v>
      </c>
      <c r="F2" s="3" t="s">
        <v>69</v>
      </c>
      <c r="G2" s="2" t="s">
        <v>65</v>
      </c>
      <c r="H2" s="2" t="s">
        <v>66</v>
      </c>
      <c r="I2" t="s">
        <v>67</v>
      </c>
      <c r="J2" t="s">
        <v>68</v>
      </c>
    </row>
    <row r="3" spans="1:10" ht="30" x14ac:dyDescent="0.25">
      <c r="A3" s="1">
        <v>46078</v>
      </c>
      <c r="B3">
        <v>9117</v>
      </c>
      <c r="C3">
        <v>9113</v>
      </c>
      <c r="D3">
        <f>C3-B3</f>
        <v>-4</v>
      </c>
      <c r="E3" s="2" t="s">
        <v>84</v>
      </c>
      <c r="F3" s="3" t="s">
        <v>69</v>
      </c>
      <c r="G3" t="s">
        <v>81</v>
      </c>
      <c r="H3" s="2" t="s">
        <v>82</v>
      </c>
      <c r="I3" t="s">
        <v>67</v>
      </c>
      <c r="J3" t="s">
        <v>83</v>
      </c>
    </row>
    <row r="4" spans="1:10" ht="45" x14ac:dyDescent="0.25">
      <c r="A4" s="1">
        <v>46079</v>
      </c>
      <c r="B4">
        <v>9113</v>
      </c>
      <c r="C4">
        <v>9171</v>
      </c>
      <c r="D4">
        <f>C4-B4</f>
        <v>58</v>
      </c>
      <c r="E4" s="2" t="s">
        <v>88</v>
      </c>
      <c r="F4" s="3" t="s">
        <v>89</v>
      </c>
      <c r="G4" s="2" t="s">
        <v>85</v>
      </c>
      <c r="H4" t="s">
        <v>90</v>
      </c>
      <c r="I4" t="s">
        <v>67</v>
      </c>
      <c r="J4" t="s">
        <v>68</v>
      </c>
    </row>
    <row r="5" spans="1:10" ht="90" x14ac:dyDescent="0.25">
      <c r="A5" s="1">
        <v>46080</v>
      </c>
      <c r="B5">
        <v>9171</v>
      </c>
      <c r="C5">
        <v>9186</v>
      </c>
      <c r="D5">
        <f>C5-B5</f>
        <v>15</v>
      </c>
      <c r="E5" s="2" t="s">
        <v>93</v>
      </c>
      <c r="F5" s="3" t="s">
        <v>89</v>
      </c>
      <c r="G5" s="2" t="s">
        <v>91</v>
      </c>
      <c r="H5" t="s">
        <v>94</v>
      </c>
      <c r="I5" t="s">
        <v>67</v>
      </c>
      <c r="J5" t="s">
        <v>92</v>
      </c>
    </row>
    <row r="6" spans="1:10" ht="45" x14ac:dyDescent="0.25">
      <c r="A6" s="1">
        <v>46098</v>
      </c>
      <c r="B6">
        <v>8855</v>
      </c>
      <c r="E6" s="2" t="s">
        <v>117</v>
      </c>
      <c r="F6" s="3" t="s">
        <v>89</v>
      </c>
      <c r="G6" s="2" t="s">
        <v>116</v>
      </c>
      <c r="I6" t="s">
        <v>67</v>
      </c>
    </row>
    <row r="7" spans="1:10" x14ac:dyDescent="0.25">
      <c r="A7" s="1">
        <v>46101</v>
      </c>
      <c r="B7">
        <v>8784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A6BB-7E7E-4D43-B922-A46A9755A746}">
  <sheetPr codeName="Hoja6"/>
  <dimension ref="A1:B14"/>
  <sheetViews>
    <sheetView workbookViewId="0">
      <selection activeCell="B5" sqref="B5"/>
    </sheetView>
  </sheetViews>
  <sheetFormatPr baseColWidth="10" defaultRowHeight="15" x14ac:dyDescent="0.25"/>
  <cols>
    <col min="1" max="1" width="13.85546875" bestFit="1" customWidth="1"/>
  </cols>
  <sheetData>
    <row r="1" spans="1:2" x14ac:dyDescent="0.25">
      <c r="A1" t="s">
        <v>19</v>
      </c>
    </row>
    <row r="2" spans="1:2" x14ac:dyDescent="0.25">
      <c r="A2" t="s">
        <v>17</v>
      </c>
      <c r="B2">
        <f>COUNTA(Trades!A:A)-1</f>
        <v>875</v>
      </c>
    </row>
    <row r="3" spans="1:2" x14ac:dyDescent="0.25">
      <c r="A3" t="s">
        <v>18</v>
      </c>
      <c r="B3">
        <f>COUNTIF(Trades!N:N,"&gt;0")/COUNT(Trades!N:N)</f>
        <v>0.35199999999999998</v>
      </c>
    </row>
    <row r="4" spans="1:2" x14ac:dyDescent="0.25">
      <c r="A4" t="s">
        <v>20</v>
      </c>
      <c r="B4">
        <f>AVERAGE(Trades!O:O)</f>
        <v>9.365034926147214E-3</v>
      </c>
    </row>
    <row r="5" spans="1:2" x14ac:dyDescent="0.25">
      <c r="A5" t="s">
        <v>21</v>
      </c>
      <c r="B5">
        <f>SUM(Trades!O:O)</f>
        <v>8.1944055603788115</v>
      </c>
    </row>
    <row r="6" spans="1:2" x14ac:dyDescent="0.25">
      <c r="A6" t="s">
        <v>13</v>
      </c>
      <c r="B6">
        <f>SUMIF(Trades!N:N,"&gt;0")/ABS(SUM(Trades!N:N,""&lt;0))</f>
        <v>12.016387365477335</v>
      </c>
    </row>
    <row r="7" spans="1:2" x14ac:dyDescent="0.25">
      <c r="A7" t="s">
        <v>780</v>
      </c>
      <c r="B7">
        <f>SUM(Trades!N:N)</f>
        <v>-387.90859999999986</v>
      </c>
    </row>
    <row r="8" spans="1:2" x14ac:dyDescent="0.25">
      <c r="A8" t="s">
        <v>781</v>
      </c>
      <c r="B8">
        <f>B7-Executions!L1</f>
        <v>-1291.9085999999998</v>
      </c>
    </row>
    <row r="10" spans="1:2" x14ac:dyDescent="0.25">
      <c r="A10" t="s">
        <v>22</v>
      </c>
    </row>
    <row r="11" spans="1:2" x14ac:dyDescent="0.25">
      <c r="A11" t="s">
        <v>23</v>
      </c>
      <c r="B11">
        <f>MAX(Trades!N:N)</f>
        <v>165.71999999999997</v>
      </c>
    </row>
    <row r="12" spans="1:2" x14ac:dyDescent="0.25">
      <c r="A12" t="s">
        <v>24</v>
      </c>
      <c r="B12">
        <f>MIN(Trades!N:N)</f>
        <v>-155.00000000000014</v>
      </c>
    </row>
    <row r="13" spans="1:2" x14ac:dyDescent="0.25">
      <c r="A13" t="s">
        <v>25</v>
      </c>
      <c r="B13">
        <f>AVERAGEIF(Trades!N:N,"&gt;0")</f>
        <v>15.13396103896104</v>
      </c>
    </row>
    <row r="14" spans="1:2" x14ac:dyDescent="0.25">
      <c r="A14" t="s">
        <v>26</v>
      </c>
      <c r="B14">
        <f>AVERAGEIF(Trades!N:N,"&lt;0")</f>
        <v>-8.96832788632328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Trades</vt:lpstr>
      <vt:lpstr>Executions</vt:lpstr>
      <vt:lpstr>Setups</vt:lpstr>
      <vt:lpstr>Mistakes</vt:lpstr>
      <vt:lpstr>Daily Journal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Alonso</dc:creator>
  <cp:lastModifiedBy>Karina Méndez Serrano</cp:lastModifiedBy>
  <dcterms:created xsi:type="dcterms:W3CDTF">2026-02-19T21:54:29Z</dcterms:created>
  <dcterms:modified xsi:type="dcterms:W3CDTF">2026-09-18T19:57:53Z</dcterms:modified>
</cp:coreProperties>
</file>